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CAMBIOS v2.6" sheetId="1" state="visible" r:id="rId1"/>
    <sheet xmlns:r="http://schemas.openxmlformats.org/officeDocument/2006/relationships" name="GUÍA DE USO" sheetId="2" state="visible" r:id="rId2"/>
    <sheet xmlns:r="http://schemas.openxmlformats.org/officeDocument/2006/relationships" name="FUENTES DE DATOS" sheetId="3" state="visible" r:id="rId3"/>
    <sheet xmlns:r="http://schemas.openxmlformats.org/officeDocument/2006/relationships" name="LAYOUT DE CARGA" sheetId="4" state="visible" r:id="rId4"/>
    <sheet xmlns:r="http://schemas.openxmlformats.org/officeDocument/2006/relationships" name="BASE DE CARGA" sheetId="5" state="visible" r:id="rId5"/>
    <sheet xmlns:r="http://schemas.openxmlformats.org/officeDocument/2006/relationships" name="EQUIVALENCIAS" sheetId="6" state="visible" r:id="rId6"/>
    <sheet xmlns:r="http://schemas.openxmlformats.org/officeDocument/2006/relationships" name="INVALIDACIONES" sheetId="7" state="visible" r:id="rId7"/>
    <sheet xmlns:r="http://schemas.openxmlformats.org/officeDocument/2006/relationships" name="3. BASE VARIABLES" sheetId="8" state="visible" r:id="rId8"/>
    <sheet xmlns:r="http://schemas.openxmlformats.org/officeDocument/2006/relationships" name="5. MODELO EJEMPLO FID" sheetId="9" state="visible" r:id="rId9"/>
    <sheet xmlns:r="http://schemas.openxmlformats.org/officeDocument/2006/relationships" name="CAPTURA INTEGRANTES" sheetId="10" state="hidden" r:id="rId10"/>
    <sheet xmlns:r="http://schemas.openxmlformats.org/officeDocument/2006/relationships" name="MATRIZ CONSOLIDADA" sheetId="11" state="hidden" r:id="rId11"/>
    <sheet xmlns:r="http://schemas.openxmlformats.org/officeDocument/2006/relationships" name="LISTAS" sheetId="12" state="visible" r:id="rId12"/>
    <sheet xmlns:r="http://schemas.openxmlformats.org/officeDocument/2006/relationships" name="CAMBIOS v2.5" sheetId="13" state="visible" r:id="rId13"/>
  </sheets>
  <definedNames>
    <definedName name="PF12">'3. BASE VARIABLES'!$H$39:$H$1416</definedName>
    <definedName name="PF18">'3. BASE VARIABLES'!$H$1474:$H$1478</definedName>
    <definedName name="PF2">'3. BASE VARIABLES'!$H$1482:$H$1492</definedName>
    <definedName name="PF4">'3. BASE VARIABLES'!$H$1783:$H$2041</definedName>
    <definedName name="PF5">'3. BASE VARIABLES'!$H$2042:$H$2300</definedName>
    <definedName name="PF6">'3. BASE VARIABLES'!$H$2301:$H$2559</definedName>
    <definedName name="PF7">'3. BASE VARIABLES'!$H$2560:$H$2592</definedName>
    <definedName name="PFF1">'3. BASE VARIABLES'!$H$2635:$H$2642</definedName>
    <definedName name="PFF2">'3. BASE VARIABLES'!$H$2643:$H$2647</definedName>
    <definedName name="PFF3">'3. BASE VARIABLES'!$H$2648:$H$2652</definedName>
    <definedName name="PFF4">'3. BASE VARIABLES'!$H$2653:$H$2656</definedName>
    <definedName name="PFF5">'3. BASE VARIABLES'!$H$2657:$H$2660</definedName>
    <definedName name="PFF6">'3. BASE VARIABLES'!$H$2661:$H$2663</definedName>
    <definedName name="PFF7">'3. BASE VARIABLES'!$H$2664:$H$2667</definedName>
    <definedName name="PFF8">'3. BASE VARIABLES'!$H$2668:$H$2670</definedName>
    <definedName name="PFF9">'3. BASE VARIABLES'!$H$2671:$H$2673</definedName>
    <definedName name="VF12">'3. BASE VARIABLES'!$F$39:$F$1416</definedName>
    <definedName name="VF18">'3. BASE VARIABLES'!$F$1474:$F$1478</definedName>
    <definedName name="VF2">'3. BASE VARIABLES'!$F$1482:$F$1492</definedName>
    <definedName name="VF4">'3. BASE VARIABLES'!$F$1783:$F$2041</definedName>
    <definedName name="VF5">'3. BASE VARIABLES'!$F$2042:$F$2300</definedName>
    <definedName name="VF6">'3. BASE VARIABLES'!$F$2301:$F$2559</definedName>
    <definedName name="VF7">'3. BASE VARIABLES'!$F$2560:$F$2592</definedName>
    <definedName name="VFF1">'3. BASE VARIABLES'!$F$2635:$F$2642</definedName>
    <definedName name="VFF2">'3. BASE VARIABLES'!$F$2643:$F$2647</definedName>
    <definedName name="VFF3">'3. BASE VARIABLES'!$F$2648:$F$2652</definedName>
    <definedName name="VFF4">'3. BASE VARIABLES'!$F$2653:$F$2656</definedName>
    <definedName name="VFF5">'3. BASE VARIABLES'!$F$2657:$F$2660</definedName>
    <definedName name="VFF6">'3. BASE VARIABLES'!$F$2661:$F$2663</definedName>
    <definedName name="VFF7">'3. BASE VARIABLES'!$F$2664:$F$2667</definedName>
    <definedName name="VFF8">'3. BASE VARIABLES'!$F$2668:$F$2670</definedName>
    <definedName name="VFF9">'3. BASE VARIABLES'!$F$2671:$F$2673</definedName>
    <definedName name="_xlnm._FilterDatabase" localSheetId="4" hidden="1">'BASE DE CARGA'!$A$5:$AF$6</definedName>
    <definedName name="_xlnm._FilterDatabase" localSheetId="7" hidden="1">'3. BASE VARIABLES'!$B$4:$X$2751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dd/mm/yyyy"/>
  </numFmts>
  <fonts count="54">
    <font>
      <name val="Calibri"/>
      <charset val="1"/>
      <family val="2"/>
      <color theme="1"/>
      <sz val="11"/>
    </font>
    <font>
      <name val="Calibri Light"/>
      <charset val="1"/>
      <b val="1"/>
      <color rgb="FF1A365D"/>
      <sz val="15"/>
    </font>
    <font>
      <name val="Calibri Light"/>
      <charset val="1"/>
      <b val="1"/>
      <color rgb="FFFFFFFF"/>
      <sz val="12"/>
    </font>
    <font>
      <name val="Calibri"/>
      <charset val="1"/>
      <b val="1"/>
      <color rgb="FF2C5282"/>
      <sz val="10"/>
    </font>
    <font>
      <name val="Calibri"/>
      <charset val="1"/>
      <color rgb="FF2D3748"/>
      <sz val="10"/>
    </font>
    <font>
      <name val="Calibri"/>
      <charset val="1"/>
      <sz val="10"/>
    </font>
    <font>
      <name val="Calibri"/>
      <charset val="1"/>
      <b val="1"/>
      <i val="1"/>
      <color rgb="FF2C5282"/>
      <sz val="9"/>
    </font>
    <font>
      <name val="Calibri"/>
      <charset val="1"/>
      <b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color rgb="FF1A365D"/>
      <sz val="10"/>
    </font>
    <font>
      <name val="Calibri"/>
      <charset val="1"/>
      <color rgb="FF2D3748"/>
      <sz val="9"/>
    </font>
    <font>
      <name val="Calibri"/>
      <charset val="1"/>
      <color rgb="FF4A5568"/>
      <sz val="8"/>
    </font>
    <font>
      <name val="Calibri"/>
      <charset val="1"/>
      <b val="1"/>
      <i val="1"/>
      <color rgb="FF4A5568"/>
      <sz val="8"/>
    </font>
    <font>
      <name val="Calibri"/>
      <charset val="1"/>
      <b val="1"/>
      <sz val="10"/>
    </font>
    <font>
      <name val="Calibri Light"/>
      <charset val="1"/>
      <b val="1"/>
      <color rgb="FF1A365D"/>
      <sz val="13"/>
    </font>
    <font>
      <name val="Calibri"/>
      <charset val="1"/>
      <i val="1"/>
      <color rgb="FF4A5568"/>
      <sz val="9"/>
    </font>
    <font>
      <name val="Calibri"/>
      <charset val="1"/>
      <i val="1"/>
      <color rgb="FF718096"/>
      <sz val="9"/>
    </font>
    <font>
      <name val="Calibri"/>
      <charset val="1"/>
      <b val="1"/>
      <color rgb="FF2C5282"/>
      <sz val="11"/>
    </font>
    <font>
      <name val="Calibri"/>
      <charset val="1"/>
      <b val="1"/>
      <color rgb="FF2C5282"/>
      <sz val="9"/>
    </font>
    <font>
      <name val="Calibri"/>
      <charset val="1"/>
      <b val="1"/>
      <color rgb="FF2D3748"/>
      <sz val="9"/>
    </font>
    <font>
      <name val="Calibri"/>
      <charset val="1"/>
      <b val="1"/>
      <color rgb="FF1A365D"/>
      <sz val="9"/>
    </font>
    <font>
      <name val="Calibri"/>
      <charset val="1"/>
      <b val="1"/>
      <color rgb="FFFFFFFF"/>
      <sz val="11"/>
    </font>
    <font>
      <name val="Calibri"/>
      <charset val="1"/>
      <color rgb="FF2D3748"/>
      <sz val="8"/>
    </font>
    <font>
      <name val="Calibri"/>
      <charset val="1"/>
      <b val="1"/>
      <color rgb="FF4A5568"/>
      <sz val="9"/>
    </font>
    <font>
      <name val="Calibri"/>
      <charset val="1"/>
      <b val="1"/>
      <color rgb="FFFFFFFF"/>
      <sz val="12"/>
    </font>
    <font>
      <name val="Calibri"/>
      <charset val="1"/>
      <i val="1"/>
      <color rgb="FF718096"/>
      <sz val="8"/>
    </font>
    <font>
      <name val="Calibri"/>
      <family val="2"/>
      <color rgb="FFFF0000"/>
      <sz val="9"/>
    </font>
    <font>
      <name val="Calibri"/>
      <family val="2"/>
      <strike val="1"/>
      <color rgb="FFFF0000"/>
      <sz val="9"/>
    </font>
    <font>
      <name val="Calibri"/>
      <family val="2"/>
      <color rgb="FF2D3748"/>
      <sz val="9"/>
    </font>
    <font>
      <name val="Tahoma"/>
      <charset val="1"/>
      <color indexed="81"/>
      <sz val="9"/>
    </font>
    <font>
      <name val="Calibri"/>
      <family val="2"/>
      <b val="1"/>
      <color rgb="FFFF0000"/>
      <sz val="9"/>
    </font>
    <font>
      <name val="Calibri"/>
      <color rgb="FF2C5282"/>
      <sz val="9"/>
    </font>
    <font>
      <name val="Calibri Light"/>
      <b val="1"/>
      <color rgb="001A365D"/>
      <sz val="16"/>
    </font>
    <font>
      <name val="Calibri"/>
      <color rgb="004A5568"/>
      <sz val="10"/>
    </font>
    <font>
      <name val="Calibri"/>
      <b val="1"/>
      <color rgb="00FFFFFF"/>
      <sz val="10"/>
    </font>
    <font>
      <name val="Calibri"/>
      <color rgb="002D3748"/>
      <sz val="10"/>
    </font>
    <font>
      <name val="Calibri"/>
      <b val="1"/>
      <color rgb="002D3748"/>
      <sz val="10"/>
    </font>
    <font>
      <name val="Calibri Light"/>
      <b val="1"/>
      <color rgb="001A365D"/>
      <sz val="12"/>
    </font>
    <font>
      <name val="Calibri"/>
      <b val="1"/>
      <color rgb="002C5282"/>
    </font>
    <font>
      <name val="Calibri"/>
      <b val="1"/>
      <color rgb="001A365D"/>
      <sz val="10"/>
    </font>
    <font>
      <name val="Calibri"/>
      <i val="1"/>
      <color rgb="00A0AEC0"/>
    </font>
    <font>
      <name val="Calibri"/>
      <color rgb="002C5282"/>
    </font>
    <font>
      <name val="Calibri Light"/>
      <color rgb="001A365D"/>
      <sz val="16"/>
    </font>
    <font>
      <name val="Calibri"/>
      <color rgb="004A5568"/>
    </font>
    <font>
      <name val="Calibri"/>
      <b val="1"/>
      <color rgb="00FFFFFF"/>
    </font>
    <font>
      <name val="Calibri"/>
      <b val="1"/>
      <color rgb="001A365D"/>
    </font>
    <font>
      <name val="Calibri"/>
      <i val="1"/>
      <color rgb="004A5568"/>
      <sz val="10"/>
    </font>
    <font>
      <name val="Calibri"/>
      <b val="1"/>
      <color rgb="001A365D"/>
      <sz val="12"/>
    </font>
    <font>
      <name val="Calibri"/>
      <b val="1"/>
      <sz val="12"/>
    </font>
    <font>
      <name val="Calibri"/>
      <b val="1"/>
      <color rgb="001A365D"/>
      <sz val="14"/>
    </font>
    <font>
      <name val="Calibri"/>
      <color rgb="002D3748"/>
    </font>
    <font>
      <name val="Calibri"/>
      <color rgb="001A365D"/>
    </font>
    <font>
      <name val="Calibri"/>
      <b val="1"/>
      <color rgb="00FFFFFF"/>
      <sz val="9"/>
    </font>
    <font>
      <name val="Calibri"/>
      <b val="1"/>
      <color rgb="002D3748"/>
    </font>
  </fonts>
  <fills count="17">
    <fill>
      <patternFill/>
    </fill>
    <fill>
      <patternFill patternType="gray125"/>
    </fill>
    <fill>
      <patternFill patternType="solid">
        <fgColor rgb="FF1A365D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E8B923"/>
        <bgColor rgb="FFFF9900"/>
      </patternFill>
    </fill>
    <fill>
      <patternFill patternType="solid">
        <fgColor rgb="FFFFF2A8"/>
        <bgColor rgb="FFF7FAFC"/>
      </patternFill>
    </fill>
    <fill>
      <patternFill patternType="solid">
        <fgColor rgb="FFD6E4F0"/>
        <bgColor rgb="FFDFE3E8"/>
      </patternFill>
    </fill>
    <fill>
      <patternFill patternType="solid">
        <fgColor rgb="FFDFE3E8"/>
        <bgColor rgb="FFE2E8F0"/>
      </patternFill>
    </fill>
    <fill>
      <patternFill patternType="solid">
        <fgColor rgb="FFFFFFFF"/>
        <bgColor rgb="FFF7FAFC"/>
      </patternFill>
    </fill>
    <fill>
      <patternFill patternType="solid">
        <fgColor rgb="FFDBEAFE"/>
        <bgColor rgb="FFE2E8F0"/>
      </patternFill>
    </fill>
    <fill>
      <patternFill patternType="solid">
        <fgColor rgb="FF2C5282"/>
        <bgColor rgb="FF4A5568"/>
      </patternFill>
    </fill>
    <fill>
      <patternFill patternType="solid">
        <fgColor rgb="FF2D3748"/>
        <bgColor rgb="FF1A365D"/>
      </patternFill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DBE7F5"/>
      </patternFill>
    </fill>
    <fill>
      <patternFill patternType="solid">
        <fgColor rgb="00E2E8F0"/>
      </patternFill>
    </fill>
    <fill>
      <patternFill patternType="solid">
        <fgColor rgb="00EDF2F7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bottom style="thin">
        <color rgb="00E2E8F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9" fontId="10" fillId="0" borderId="1" pivotButton="0" quotePrefix="0" xfId="0"/>
    <xf numFmtId="0" fontId="11" fillId="0" borderId="1" pivotButton="0" quotePrefix="0" xfId="0"/>
    <xf numFmtId="0" fontId="5" fillId="0" borderId="2" applyAlignment="1" pivotButton="0" quotePrefix="0" xfId="0">
      <alignment vertical="top" wrapText="1"/>
    </xf>
    <xf numFmtId="0" fontId="5" fillId="5" borderId="2" pivotButton="0" quotePrefix="0" xfId="0"/>
    <xf numFmtId="0" fontId="3" fillId="0" borderId="0" pivotButton="0" quotePrefix="0" xfId="0"/>
    <xf numFmtId="0" fontId="0" fillId="6" borderId="0" pivotButton="0" quotePrefix="0" xfId="0"/>
    <xf numFmtId="0" fontId="10" fillId="6" borderId="1" pivotButton="0" quotePrefix="0" xfId="0"/>
    <xf numFmtId="9" fontId="10" fillId="6" borderId="1" pivotButton="0" quotePrefix="0" xfId="0"/>
    <xf numFmtId="0" fontId="11" fillId="6" borderId="1" pivotButton="0" quotePrefix="0" xfId="0"/>
    <xf numFmtId="0" fontId="5" fillId="6" borderId="2" applyAlignment="1" pivotButton="0" quotePrefix="0" xfId="0">
      <alignment vertical="top" wrapText="1"/>
    </xf>
    <xf numFmtId="0" fontId="0" fillId="7" borderId="0" pivotButton="0" quotePrefix="0" xfId="0"/>
    <xf numFmtId="0" fontId="10" fillId="7" borderId="1" pivotButton="0" quotePrefix="0" xfId="0"/>
    <xf numFmtId="9" fontId="10" fillId="7" borderId="1" pivotButton="0" quotePrefix="0" xfId="0"/>
    <xf numFmtId="0" fontId="11" fillId="7" borderId="1" pivotButton="0" quotePrefix="0" xfId="0"/>
    <xf numFmtId="0" fontId="5" fillId="7" borderId="2" applyAlignment="1" pivotButton="0" quotePrefix="0" xfId="0">
      <alignment vertical="top" wrapText="1"/>
    </xf>
    <xf numFmtId="0" fontId="12" fillId="0" borderId="0" pivotButton="0" quotePrefix="0" xfId="0"/>
    <xf numFmtId="0" fontId="10" fillId="8" borderId="1" pivotButton="0" quotePrefix="0" xfId="0"/>
    <xf numFmtId="0" fontId="13" fillId="6" borderId="2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8" borderId="1" applyAlignment="1" pivotButton="0" quotePrefix="0" xfId="0">
      <alignment horizontal="center" vertical="center" wrapText="1"/>
    </xf>
    <xf numFmtId="9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8" fillId="10" borderId="1" pivotButton="0" quotePrefix="0" xfId="0"/>
    <xf numFmtId="0" fontId="2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2" fillId="9" borderId="1" pivotButton="0" quotePrefix="0" xfId="0"/>
    <xf numFmtId="0" fontId="23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21" fillId="2" borderId="1" pivotButton="0" quotePrefix="0" xfId="0"/>
    <xf numFmtId="0" fontId="24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0" fontId="19" fillId="9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9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19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7" fillId="11" borderId="1" pivotButton="0" quotePrefix="0" xfId="0"/>
    <xf numFmtId="0" fontId="7" fillId="11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0" fontId="28" fillId="6" borderId="1" pivotButton="0" quotePrefix="0" xfId="0"/>
    <xf numFmtId="0" fontId="27" fillId="6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6" fillId="6" borderId="1" pivotButton="0" quotePrefix="0" xfId="0"/>
    <xf numFmtId="0" fontId="28" fillId="7" borderId="1" pivotButton="0" quotePrefix="0" xfId="0"/>
    <xf numFmtId="0" fontId="28" fillId="8" borderId="1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12" borderId="0" applyAlignment="1" pivotButton="0" quotePrefix="0" xfId="0">
      <alignment vertical="center" wrapText="1"/>
    </xf>
    <xf numFmtId="0" fontId="35" fillId="0" borderId="3" applyAlignment="1" pivotButton="0" quotePrefix="0" xfId="0">
      <alignment vertical="top" wrapText="1"/>
    </xf>
    <xf numFmtId="0" fontId="35" fillId="13" borderId="3" applyAlignment="1" pivotButton="0" quotePrefix="0" xfId="0">
      <alignment vertical="top" wrapText="1"/>
    </xf>
    <xf numFmtId="0" fontId="36" fillId="13" borderId="3" applyAlignment="1" pivotButton="0" quotePrefix="0" xfId="0">
      <alignment vertical="top" wrapText="1"/>
    </xf>
    <xf numFmtId="0" fontId="37" fillId="0" borderId="0" pivotButton="0" quotePrefix="0" xfId="0"/>
    <xf numFmtId="0" fontId="35" fillId="0" borderId="0" pivotButton="0" quotePrefix="0" xfId="0"/>
    <xf numFmtId="0" fontId="31" fillId="6" borderId="1" pivotButton="0" quotePrefix="0" xfId="0"/>
    <xf numFmtId="0" fontId="31" fillId="7" borderId="1" pivotButton="0" quotePrefix="0" xfId="0"/>
    <xf numFmtId="0" fontId="31" fillId="8" borderId="1" pivotButton="0" quotePrefix="0" xfId="0"/>
    <xf numFmtId="0" fontId="31" fillId="9" borderId="1" pivotButton="0" quotePrefix="0" xfId="0"/>
    <xf numFmtId="0" fontId="39" fillId="0" borderId="0" pivotButton="0" quotePrefix="0" xfId="0"/>
    <xf numFmtId="0" fontId="38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12" borderId="0" applyAlignment="1" pivotButton="0" quotePrefix="0" xfId="0">
      <alignment vertical="top" wrapText="1"/>
    </xf>
    <xf numFmtId="0" fontId="50" fillId="0" borderId="0" applyAlignment="1" pivotButton="0" quotePrefix="0" xfId="0">
      <alignment vertical="top" wrapText="1"/>
    </xf>
    <xf numFmtId="0" fontId="50" fillId="13" borderId="0" applyAlignment="1" pivotButton="0" quotePrefix="0" xfId="0">
      <alignment vertical="top" wrapText="1"/>
    </xf>
    <xf numFmtId="0" fontId="45" fillId="0" borderId="0" pivotButton="0" quotePrefix="0" xfId="0"/>
    <xf numFmtId="0" fontId="50" fillId="0" borderId="0" pivotButton="0" quotePrefix="0" xfId="0"/>
    <xf numFmtId="0" fontId="40" fillId="6" borderId="1" pivotButton="0" quotePrefix="0" xfId="0"/>
    <xf numFmtId="0" fontId="40" fillId="6" borderId="0" pivotButton="0" quotePrefix="0" xfId="0"/>
    <xf numFmtId="9" fontId="40" fillId="6" borderId="1" pivotButton="0" quotePrefix="0" xfId="0"/>
    <xf numFmtId="0" fontId="40" fillId="6" borderId="2" applyAlignment="1" pivotButton="0" quotePrefix="0" xfId="0">
      <alignment vertical="top" wrapText="1"/>
    </xf>
    <xf numFmtId="0" fontId="40" fillId="5" borderId="2" pivotButton="0" quotePrefix="0" xfId="0"/>
    <xf numFmtId="0" fontId="40" fillId="6" borderId="2" applyAlignment="1" pivotButton="0" quotePrefix="0" xfId="0">
      <alignment horizontal="center" vertical="center" wrapText="1"/>
    </xf>
    <xf numFmtId="0" fontId="40" fillId="0" borderId="0" pivotButton="0" quotePrefix="0" xfId="0"/>
    <xf numFmtId="0" fontId="40" fillId="7" borderId="2" applyAlignment="1" pivotButton="0" quotePrefix="0" xfId="0">
      <alignment vertical="top" wrapText="1"/>
    </xf>
    <xf numFmtId="0" fontId="40" fillId="7" borderId="2" applyAlignment="1" pivotButton="0" quotePrefix="0" xfId="0">
      <alignment horizontal="center" vertical="center" wrapText="1"/>
    </xf>
    <xf numFmtId="0" fontId="41" fillId="0" borderId="0" pivotButton="0" quotePrefix="0" xfId="0"/>
    <xf numFmtId="0" fontId="44" fillId="12" borderId="1" applyAlignment="1" pivotButton="0" quotePrefix="0" xfId="0">
      <alignment horizontal="center" vertical="center" wrapText="1"/>
    </xf>
    <xf numFmtId="0" fontId="10" fillId="14" borderId="1" pivotButton="0" quotePrefix="0" xfId="0"/>
    <xf numFmtId="0" fontId="31" fillId="14" borderId="1" pivotButton="0" quotePrefix="0" xfId="0"/>
    <xf numFmtId="0" fontId="45" fillId="3" borderId="1" pivotButton="0" quotePrefix="0" xfId="0"/>
    <xf numFmtId="0" fontId="10" fillId="14" borderId="1" applyAlignment="1" pivotButton="0" quotePrefix="0" xfId="0">
      <alignment horizontal="center" vertical="center" wrapText="1"/>
    </xf>
    <xf numFmtId="0" fontId="46" fillId="0" borderId="0" pivotButton="0" quotePrefix="0" xfId="0"/>
    <xf numFmtId="0" fontId="0" fillId="14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44" fillId="12" borderId="1" applyAlignment="1" pivotButton="0" quotePrefix="0" xfId="0">
      <alignment vertical="top" wrapText="1"/>
    </xf>
    <xf numFmtId="0" fontId="44" fillId="12" borderId="0" pivotButton="0" quotePrefix="0" xfId="0"/>
    <xf numFmtId="0" fontId="53" fillId="0" borderId="0" applyAlignment="1" pivotButton="0" quotePrefix="0" xfId="0">
      <alignment vertical="top" wrapText="1"/>
    </xf>
    <xf numFmtId="0" fontId="52" fillId="12" borderId="0" applyAlignment="1" pivotButton="0" quotePrefix="0" xfId="0">
      <alignment vertical="top" wrapText="1"/>
    </xf>
    <xf numFmtId="49" fontId="0" fillId="15" borderId="0" pivotButton="0" quotePrefix="0" xfId="0"/>
    <xf numFmtId="49" fontId="0" fillId="16" borderId="0" pivotButton="0" quotePrefix="0" xfId="0"/>
    <xf numFmtId="166" fontId="0" fillId="0" borderId="0" pivotButton="0" quotePrefix="0" xfId="0"/>
    <xf numFmtId="0" fontId="5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FE3E8"/>
      <rgbColor rgb="FF718096"/>
      <rgbColor rgb="FF9999FF"/>
      <rgbColor rgb="FF993366"/>
      <rgbColor rgb="FFF7FAFC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6E4F0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E8B923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2C5282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80" customWidth="1" min="5" max="5"/>
  </cols>
  <sheetData>
    <row r="1">
      <c r="A1" s="94" t="inlineStr">
        <is>
          <t>MATRIZ DE RIESGO FIDEICOMISOS · CAMBIOS v2.5 → v2.6 (21-oct-2026)</t>
        </is>
      </c>
    </row>
    <row r="2">
      <c r="A2" s="95" t="inlineStr">
        <is>
          <t>Recoge los acuerdos de las sesiones del 8 y 16 de octubre. Las hojas nuevas son FUENTES DE DATOS, INVALIDACIONES y LISTAS.</t>
        </is>
      </c>
    </row>
    <row r="4">
      <c r="A4" s="96" t="inlineStr">
        <is>
          <t>Factor</t>
        </is>
      </c>
      <c r="B4" s="96" t="inlineStr">
        <is>
          <t>Nombre</t>
        </is>
      </c>
      <c r="C4" s="96" t="inlineStr">
        <is>
          <t>Peso v2.5</t>
        </is>
      </c>
      <c r="D4" s="96" t="inlineStr">
        <is>
          <t>Peso v2.6</t>
        </is>
      </c>
      <c r="E4" s="96" t="inlineStr">
        <is>
          <t>Por qué</t>
        </is>
      </c>
    </row>
    <row r="5">
      <c r="A5" s="97" t="inlineStr">
        <is>
          <t>FF1</t>
        </is>
      </c>
      <c r="B5" s="97" t="inlineStr">
        <is>
          <t>Tipo de fideicomiso</t>
        </is>
      </c>
      <c r="C5" s="97" t="n">
        <v>16</v>
      </c>
      <c r="D5" s="97" t="n">
        <v>30</v>
      </c>
      <c r="E5" s="97" t="inlineStr">
        <is>
          <t>Se conserva: tipo de la Cartera Fids de BX+ y de los expedientes. Nueva opción: administración inmobiliaria (nivel 3)</t>
        </is>
      </c>
    </row>
    <row r="6">
      <c r="A6" s="98" t="inlineStr">
        <is>
          <t>FF4</t>
        </is>
      </c>
      <c r="B6" s="98" t="inlineStr">
        <is>
          <t>Antigüedad del fideicomiso</t>
        </is>
      </c>
      <c r="C6" s="98" t="n">
        <v>7</v>
      </c>
      <c r="D6" s="98" t="n">
        <v>13</v>
      </c>
      <c r="E6" s="98" t="inlineStr">
        <is>
          <t>Existe en las bases</t>
        </is>
      </c>
    </row>
    <row r="7">
      <c r="A7" s="97" t="inlineStr">
        <is>
          <t>FF6</t>
        </is>
      </c>
      <c r="B7" s="97" t="inlineStr">
        <is>
          <t>Actividad vulnerable LFPIORPI</t>
        </is>
      </c>
      <c r="C7" s="97" t="n">
        <v>14</v>
      </c>
      <c r="D7" s="97" t="n">
        <v>27</v>
      </c>
      <c r="E7" s="97" t="inlineStr">
        <is>
          <t>Base de expedientes + validación de BX+</t>
        </is>
      </c>
    </row>
    <row r="8">
      <c r="A8" s="98" t="inlineStr">
        <is>
          <t>FF7</t>
        </is>
      </c>
      <c r="B8" s="98" t="inlineStr">
        <is>
          <t>Procedencia de los recursos</t>
        </is>
      </c>
      <c r="C8" s="98" t="n">
        <v>10</v>
      </c>
      <c r="D8" s="98" t="n">
        <v>19</v>
      </c>
      <c r="E8" s="98" t="inlineStr">
        <is>
          <t>Existe en la Base SharePoint</t>
        </is>
      </c>
    </row>
    <row r="9">
      <c r="A9" s="97" t="inlineStr">
        <is>
          <t>FF8</t>
        </is>
      </c>
      <c r="B9" s="97" t="inlineStr">
        <is>
          <t>Operaciones en USD / transfronterizas</t>
        </is>
      </c>
      <c r="C9" s="97" t="n">
        <v>6</v>
      </c>
      <c r="D9" s="97" t="n">
        <v>11</v>
      </c>
      <c r="E9" s="97" t="inlineStr">
        <is>
          <t>Existe en la Base SharePoint</t>
        </is>
      </c>
    </row>
    <row r="10">
      <c r="A10" s="98" t="inlineStr">
        <is>
          <t>FF2</t>
        </is>
      </c>
      <c r="B10" s="98" t="inlineStr">
        <is>
          <t>Patrimonio aportado</t>
        </is>
      </c>
      <c r="C10" s="98" t="n">
        <v>10</v>
      </c>
      <c r="D10" s="98" t="n">
        <v>0</v>
      </c>
      <c r="E10" s="98" t="inlineStr">
        <is>
          <t>Segunda fase: no está en las bases</t>
        </is>
      </c>
    </row>
    <row r="11">
      <c r="A11" s="97" t="inlineStr">
        <is>
          <t>FF3</t>
        </is>
      </c>
      <c r="B11" s="97" t="inlineStr">
        <is>
          <t>Valor del patrimonio</t>
        </is>
      </c>
      <c r="C11" s="97" t="n">
        <v>11</v>
      </c>
      <c r="D11" s="97" t="n">
        <v>0</v>
      </c>
      <c r="E11" s="97" t="inlineStr">
        <is>
          <t>Segunda fase: no está en las bases</t>
        </is>
      </c>
    </row>
    <row r="12">
      <c r="A12" s="98" t="inlineStr">
        <is>
          <t>FF5</t>
        </is>
      </c>
      <c r="B12" s="98" t="inlineStr">
        <is>
          <t>Número de partes</t>
        </is>
      </c>
      <c r="C12" s="98" t="n">
        <v>9</v>
      </c>
      <c r="D12" s="98" t="n">
        <v>0</v>
      </c>
      <c r="E12" s="98" t="inlineStr">
        <is>
          <t>Segunda fase: sólo existe en la base de expedientes (376)</t>
        </is>
      </c>
    </row>
    <row r="13">
      <c r="A13" s="97" t="inlineStr">
        <is>
          <t>FF9</t>
        </is>
      </c>
      <c r="B13" s="97" t="inlineStr">
        <is>
          <t>Operación distinta al fin del contrato</t>
        </is>
      </c>
      <c r="C13" s="97" t="n">
        <v>5</v>
      </c>
      <c r="D13" s="97" t="n">
        <v>0</v>
      </c>
      <c r="E13" s="97" t="inlineStr">
        <is>
          <t>Segunda fase: requiere monitoreo</t>
        </is>
      </c>
    </row>
    <row r="14">
      <c r="A14" s="98" t="inlineStr">
        <is>
          <t>FF10</t>
        </is>
      </c>
      <c r="B14" s="98" t="inlineStr">
        <is>
          <t>Ubicación del patrimonio</t>
        </is>
      </c>
      <c r="C14" s="98" t="n">
        <v>12</v>
      </c>
      <c r="D14" s="98" t="n">
        <v>0</v>
      </c>
      <c r="E14" s="98" t="inlineStr">
        <is>
          <t>Segunda fase: no está en las bases</t>
        </is>
      </c>
    </row>
    <row r="15">
      <c r="A15" s="97" t="inlineStr"/>
      <c r="B15" s="97" t="inlineStr">
        <is>
          <t>TOTAL DEL VEHÍCULO</t>
        </is>
      </c>
      <c r="C15" s="97" t="n">
        <v>100</v>
      </c>
      <c r="D15" s="97" t="n">
        <v>100</v>
      </c>
      <c r="E15" s="97" t="inlineStr">
        <is>
          <t>Los 53 puntos de los factores que quedan se llevaron a 100 en proporción</t>
        </is>
      </c>
    </row>
    <row r="18">
      <c r="A18" s="99" t="inlineStr">
        <is>
          <t>OTROS CAMBIOS</t>
        </is>
      </c>
    </row>
    <row r="19">
      <c r="A19" s="100" t="inlineStr">
        <is>
          <t>• Riesgo heredado del banco como piso del consolidado (el mayor entre Base SharePoint y SIPREV).</t>
        </is>
      </c>
    </row>
    <row r="20">
      <c r="A20" s="100" t="inlineStr">
        <is>
          <t>• Se elimina la marca «S» del campo de listas. Las invalidaciones por listas se mantienen (hoja INVALIDACIONES).</t>
        </is>
      </c>
    </row>
    <row r="21">
      <c r="A21" s="100" t="inlineStr">
        <is>
          <t>• Nueva invalidación A8: investigación del integrante (noticias negativas, buró legal y fiscal), captura manual.</t>
        </is>
      </c>
    </row>
    <row r="22">
      <c r="A22" s="100" t="inlineStr">
        <is>
          <t>• Actividad vulnerable: las fracciones V y V Bis se registran por separado en la base de carga.</t>
        </is>
      </c>
    </row>
    <row r="23">
      <c r="A23" s="100" t="inlineStr">
        <is>
          <t>• CALIFICACIÓN FINAL = consolidado con invalidaciones (prohibitiva 500; alto riesgo mínimo 291), en el modelo de ejemplo y en la captura masiva.</t>
        </is>
      </c>
    </row>
    <row r="24">
      <c r="A24" s="100" t="inlineStr">
        <is>
          <t>• Bloque B (integrantes) y bandas de la Tabla 5 sin cambio.</t>
        </is>
      </c>
    </row>
    <row r="25">
      <c r="A25" s="99" t="inlineStr">
        <is>
          <t>DECISIONES PENDIENTES (Maribel / BX+)</t>
        </is>
      </c>
    </row>
    <row r="26">
      <c r="A26" s="100" t="inlineStr">
        <is>
          <t>1. Nivel de la nueva opción «administración inmobiliaria» en FF1 (propuesto 3).</t>
        </is>
      </c>
    </row>
    <row r="27">
      <c r="A27" s="100" t="inlineStr">
        <is>
          <t>2. Actividad vulnerable de la base de expedientes: desarrollo inmobiliario como confirmada (5) y arrendamiento como potencial (3) hasta verificar el umbral.</t>
        </is>
      </c>
    </row>
    <row r="28">
      <c r="A28" s="100" t="inlineStr">
        <is>
          <t>3. Dato faltante: se mantiene NO DETERMINADO = 2.58 (regla del 24-sep). Efecto: un fideicomiso sin datos queda en MEDIO aunque el banco lo tenga en BAJO. Alternativa: tomar el riesgo heredado como único criterio cuando falten datos.</t>
        </is>
      </c>
    </row>
    <row r="29">
      <c r="A29" s="100" t="inlineStr">
        <is>
          <t>4. Criterio de calificación única Banco–Fiduciario: propuesta enviada el 21-oct (prevalece la más alta).</t>
        </is>
      </c>
    </row>
    <row r="31">
      <c r="A31" s="99" t="inlineStr">
        <is>
          <t>LAYOUT DEL BANCO Y BASE DE CARGA</t>
        </is>
      </c>
    </row>
    <row r="32">
      <c r="A32" s="100" t="inlineStr">
        <is>
          <t>• BASE DE CARGA con los 1,205 fideicomisos: columnas con los nombres de campo del banco, traducción con búsqueda y cálculo. Sustituye a CAPTURA FIDEICOMISOS (niveles capturados a mano).</t>
        </is>
      </c>
    </row>
    <row r="33">
      <c r="A33" s="100" t="inlineStr">
        <is>
          <t>• Columna Y en 3. BASE VARIABLES: clave o valor del sistema del banco para cada variable (p. ej. ZTIPOCTE 1 = persona física, ZCALIFICA A = BAJO, ZVALF0021 MXN = sin USD).</t>
        </is>
      </c>
    </row>
    <row r="34">
      <c r="A34" s="100" t="inlineStr">
        <is>
          <t>• Hojas LAYOUT DE CARGA y EQUIVALENCIAS: el mismo criterio de traducción programado en la aplicación v2.0.</t>
        </is>
      </c>
    </row>
    <row r="35">
      <c r="A35" s="100" t="inlineStr">
        <is>
          <t>• Fuentes cargadas: base conciliada, expedientes (376), Cartera Fids de BX+ al 08-oct (1,190) e inferencia de AV en espera de la validación de BX+.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3" customWidth="1" min="1" max="1"/>
    <col width="28" customWidth="1" min="2" max="2"/>
    <col width="100" customWidth="1" min="3" max="3"/>
  </cols>
  <sheetData>
    <row r="2" ht="27.75" customHeight="1">
      <c r="B2" s="75" t="inlineStr">
        <is>
          <t>LEX QUO · MATRIZ DE RIESGO DE FIDEICOMISOS v2.6 — espejo del modelo de clientes BX+</t>
        </is>
      </c>
    </row>
    <row r="4" ht="24" customHeight="1">
      <c r="B4" s="76" t="inlineStr">
        <is>
          <t>Flujo de operación (idéntico en lógica al modelo del banco)</t>
        </is>
      </c>
    </row>
    <row r="5" ht="45.75" customHeight="1">
      <c r="B5" s="1" t="inlineStr">
        <is>
          <t>1 · 3. BASE VARIABLES</t>
        </is>
      </c>
      <c r="C5" s="2" t="inlineStr">
        <is>
          <t>Copiada TAL CUAL del modelo de clientes BX+ (2,628 variables con sus claves, probabilidades y multiplicadores — ya viven en el sistema). Al final se agregaron 39 variables fiduciarias nuevas (serie de claves 9000) con la misma lógica: PUNTAJE = PROBABILIDAD × MULTIPLICADOR.</t>
        </is>
      </c>
    </row>
    <row r="6" ht="51.75" customHeight="1">
      <c r="B6" s="1" t="inlineStr">
        <is>
          <t>2 · MODELO EJEMPLO FID</t>
        </is>
      </c>
      <c r="C6" s="2" t="inlineStr">
        <is>
          <t>Motor didáctico para UN fideicomiso: se capturan las variables del vehículo y de cada integrante, y se ve el cálculo completo hasta el riesgo consolidado. Escala 100–500 y bandas de la Tabla 5 de la Matriz BX+ (grado de riesgo de cliente — NO la escala de la Guía CNBV, que aplica al EBR de la entidad) (100–223 BAJO · 224–258 MEDIO · 259–290 MEDIO ALTO · 291–500 ALTO).</t>
        </is>
      </c>
    </row>
    <row r="7" ht="45.75" customHeight="1">
      <c r="B7" s="1" t="inlineStr">
        <is>
          <t>3 · CAPTURA INTEGRANTES</t>
        </is>
      </c>
      <c r="C7" s="2" t="inlineStr">
        <is>
          <t>Una LÍNEA POR PARTE (como el banco captura una línea por cuenta): ID del fideicomiso, rol y los 7 factores personales (niveles 1–5 según la base de variables). Calcula el riesgo de cada integrante y su aporte ponderado por rol.</t>
        </is>
      </c>
    </row>
    <row r="8" ht="45.75" customHeight="1">
      <c r="B8" s="1" t="inlineStr">
        <is>
          <t>4 · BASE DE CARGA</t>
        </is>
      </c>
      <c r="C8" s="2" t="inlineStr">
        <is>
          <t>Una fila por fideicomiso con las columnas del LAYOUT DE CARGA, tal como salen del sistema del banco (claves ZCALIFICA, ZVALF0011, ZVALF0021…, textos de tipo y producto). Cada valor se traduce a su nivel buscando la clave en la columna G de 3. BASE VARIABLES (procedencia) o en EQUIVALENCIAS. La columna Y de la base de variables dice qué clave del banco corresponde a cada variable. El mismo archivo se carga en la aplicación v2.0.</t>
        </is>
      </c>
    </row>
    <row r="9" ht="45.75" customHeight="1">
      <c r="B9" s="1" t="inlineStr">
        <is>
          <t>5 · MATRIZ CONSOLIDADA</t>
        </is>
      </c>
      <c r="C9" s="2" t="inlineStr">
        <is>
          <t>Estadística de TODA la base por fórmulas (COUNTIFS): distribución por banda, prohibitivos, invalidaciones y promedio.</t>
        </is>
      </c>
    </row>
    <row r="11" ht="24" customHeight="1">
      <c r="B11" s="76" t="inlineStr">
        <is>
          <t>Reglas de consolidación e invalidaciones</t>
        </is>
      </c>
    </row>
    <row r="12" ht="49.5" customHeight="1">
      <c r="B12" s="1" t="inlineStr">
        <is>
          <t>Consolidado</t>
        </is>
      </c>
      <c r="C12" s="2" t="inlineStr">
        <is>
          <t>CONSOLIDADO = el mayor entre riesgo heredado del banco, estructural del vehículo y promedio ponderado de integrantes; si la peor parte es ALTO (≥291), el fideicomiso no baja de ella. Después se aplican las invalidaciones: prohibitiva → 500; de alto riesgo → mínimo 291. Pesos de rol: fideicomitente 40% · fideicomisario 25% · comité técnico 20% · apoderado 15% (normalizados).</t>
        </is>
      </c>
    </row>
    <row r="13" ht="55.5" customHeight="1">
      <c r="B13" s="1" t="inlineStr">
        <is>
          <t>Invalidaciones (cascada del banco)</t>
        </is>
      </c>
      <c r="C13" s="2" t="inlineStr">
        <is>
          <t>Ver hoja INVALIDACIONES: B1–B3 prohibitivas (no se opera) y A1–A8 de alto riesgo (requieren aprobación de nivel directivo). La marca «S» del campo de listas de la Base SharePoint ya no se usa.</t>
        </is>
      </c>
    </row>
    <row r="14" ht="60" customHeight="1">
      <c r="B14" s="1" t="inlineStr">
        <is>
          <t>Pesos por factor</t>
        </is>
      </c>
      <c r="C14" s="2" t="inlineStr">
        <is>
          <t>Fideicomiso (suma 100, v2.6): FF1 tipo de fideicomiso 30 · FF4 antigüedad 13 · FF6 actividad vulnerable 27 · FF7 procedencia 19 · FF8 USD 11. Segunda fase (peso 0): FF2 patrimonio, FF3 valor, FF5 número de partes, FF9 operación distinta al fin, FF10 ubicación. FF11 giro no pondera (dispara TR-23). Integrante (suma 100): FI1 15 · FI2 23 · FI3 9 · FI4 11 · FI5 11 · FI6 12 · FI7 7 · FI8 rol 12. Ruta heredada del integrante que ya es cliente del banco: nivel del banco 80 + rol 20, con piso en el puntaje del banco. ACTUALIZADO 21-OCT-2026.</t>
        </is>
      </c>
    </row>
    <row r="16" ht="24" customHeight="1">
      <c r="B16" s="76" t="inlineStr">
        <is>
          <t>Multiplicador vs. ponderación — propuesta para el sistema nuevo</t>
        </is>
      </c>
    </row>
    <row r="17" ht="78" customHeight="1">
      <c r="B17" s="1" t="inlineStr">
        <is>
          <t>Equivalencia</t>
        </is>
      </c>
      <c r="C17" s="2" t="inlineStr">
        <is>
          <t>El MULTIPLICADOR del banco es el peso del factor expresado como entero (mult = peso% × 100): nivel×multiplicador ≡ nivel×peso%. Por eso hoy cada factor queda en escala distinta (7–35, 8–40…). Para el SISTEMA NUEVO se propone: capturar todas las variables en escala uniforme 1–5 y ponderar con la tabla de PESOS % (columna R de 3. BASE VARIABLES) — mismo resultado numérico, pero con la escala y el peso como procesos separados, principio de separación escala/peso (buena práctica alineada a la Guía CNBV del EBR). La columna MULTIPLICADOR se conserva por compatibilidad con la operación actual del banco.</t>
        </is>
      </c>
    </row>
    <row r="19" ht="24" customHeight="1">
      <c r="B19" s="76" t="inlineStr">
        <is>
          <t>Alcance del instrumento</t>
        </is>
      </c>
    </row>
    <row r="20" ht="63.75" customHeight="1">
      <c r="B20" s="1" t="inlineStr">
        <is>
          <t>Cliente ≠ EBR</t>
        </is>
      </c>
      <c r="C20" s="2" t="inlineStr">
        <is>
          <t>Esta matriz determina el GRADO DE RIESGO DE CADA CLIENTE (fideicomiso y sus integrantes), conforme a las Disposiciones (clasificación por grado de riesgo). Es un instrumento DISTINTO E INDEPENDIENTE de la Metodología de Evaluación de Riesgos (MEBR/EBR de la entidad): la escala y bandas aquí usadas provienen de la Tabla 5 de la Matriz de Riesgo BX+ (modelo de clientes), no de la escala de la Guía CNBV, que aplica al EBR de la entidad.</t>
        </is>
      </c>
    </row>
    <row r="22">
      <c r="A22" t="inlineStr">
        <is>
          <t>ACTUALIZACIÓN 28-AGO-2026: el Bloque B (integrantes) del MODELO EJEMPLO usa ahora los CATÁLOGOS OPERATIVOS V1 (final de la hoja 3. BASE VARIABLES, serie 9100), idénticos a las listas de la aplicación web, para que Excel y aplicación den el mismo resultado. Los catálogos completos del banco se conservan en la misma hoja como referencia y trazabilidad; la homologación fina (p. ej. mapear cada actividad del catálogo banco a su categoría operativa) queda para V2.  |  ACTUALIZACIÓN 5-SEP-2026: se renombró TIPOLOGÍA DEL FIDEICOMISO a TIPO DE FIDEICOMISO (en PLD/FT "tipología" designa un patrón de lavado; usarlo para la figura jurídica del contrato inducía a error). Se repesó el Bloque A a 10 factores con la ubicación del patrimonio, se incorporaron los pesos del Bloque B a la base, y se agregaron los catálogos de giro del fideicomiso y de nivel heredado del banco.</t>
        </is>
      </c>
    </row>
  </sheetData>
  <mergeCells count="5">
    <mergeCell ref="B2:C2"/>
    <mergeCell ref="B16:C16"/>
    <mergeCell ref="B11:C11"/>
    <mergeCell ref="B19:C19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52" customWidth="1" min="3" max="3"/>
    <col width="16" customWidth="1" min="4" max="4"/>
    <col width="60" customWidth="1" min="5" max="5"/>
    <col width="22" customWidth="1" min="6" max="6"/>
  </cols>
  <sheetData>
    <row r="1">
      <c r="A1" s="94" t="inlineStr">
        <is>
          <t>FUENTES DE DATOS — de qué base sale cada factor para la carga</t>
        </is>
      </c>
    </row>
    <row r="2">
      <c r="A2" s="95" t="inlineStr">
        <is>
          <t>Universo: base conciliada por fideicomiso (1,205 registros). Base de expedientes: Base_Fiduciaria (Ana Lilia, 8-oct), 376 coinciden. Cartera Fids (BX+, 08-oct): 1,610 fideicomisos activos, 1,190 coinciden.</t>
        </is>
      </c>
    </row>
    <row r="4">
      <c r="A4" s="96" t="inlineStr">
        <is>
          <t>Factor</t>
        </is>
      </c>
      <c r="B4" s="96" t="inlineStr">
        <is>
          <t>Peso</t>
        </is>
      </c>
      <c r="C4" s="96" t="inlineStr">
        <is>
          <t>Fuente principal</t>
        </is>
      </c>
      <c r="D4" s="96" t="inlineStr">
        <is>
          <t>Cobertura</t>
        </is>
      </c>
      <c r="E4" s="96" t="inlineStr">
        <is>
          <t>Respaldo / regla cuando no hay dato</t>
        </is>
      </c>
      <c r="F4" s="96" t="inlineStr">
        <is>
          <t>Estado</t>
        </is>
      </c>
    </row>
    <row r="5">
      <c r="A5" s="97" t="inlineStr">
        <is>
          <t>Riesgo heredado del banco</t>
        </is>
      </c>
      <c r="B5" s="97" t="inlineStr">
        <is>
          <t>Piso</t>
        </is>
      </c>
      <c r="C5" s="97" t="inlineStr">
        <is>
          <t>Base conciliada: banda Base SharePoint (equivalencia CAT) y nivel SIPREV, el mayor</t>
        </is>
      </c>
      <c r="D5" s="97" t="inlineStr">
        <is>
          <t>1,205 de 1,205</t>
        </is>
      </c>
      <c r="E5" s="97" t="inlineStr">
        <is>
          <t>—</t>
        </is>
      </c>
      <c r="F5" s="97" t="inlineStr">
        <is>
          <t>Listo</t>
        </is>
      </c>
    </row>
    <row r="6">
      <c r="A6" s="98" t="inlineStr">
        <is>
          <t>FF1 Tipo de fideicomiso</t>
        </is>
      </c>
      <c r="B6" s="98" t="inlineStr">
        <is>
          <t>30</t>
        </is>
      </c>
      <c r="C6" s="98" t="inlineStr">
        <is>
          <t>Base de expedientes: tipo y subtipo (376, distingue inmobiliario)</t>
        </is>
      </c>
      <c r="D6" s="98" t="inlineStr">
        <is>
          <t>376</t>
        </is>
      </c>
      <c r="E6" s="98" t="inlineStr">
        <is>
          <t>Cartera Fids (BX+, 08-oct): tipo y producto (814 más). Si es mixto, se toma el de mayor nivel. Sin dato: NO DETERMINADO (2.58)</t>
        </is>
      </c>
      <c r="F6" s="98" t="inlineStr">
        <is>
          <t>Listo (15 sin dato)</t>
        </is>
      </c>
    </row>
    <row r="7">
      <c r="A7" s="97" t="inlineStr">
        <is>
          <t>FF4 Antigüedad</t>
        </is>
      </c>
      <c r="B7" s="97" t="inlineStr">
        <is>
          <t>13</t>
        </is>
      </c>
      <c r="C7" s="97" t="inlineStr">
        <is>
          <t>Base de expedientes: fecha de constitución</t>
        </is>
      </c>
      <c r="D7" s="97" t="inlineStr">
        <is>
          <t>376</t>
        </is>
      </c>
      <c r="E7" s="97" t="inlineStr">
        <is>
          <t>Cartera Fids: fecha de constitución (resto). Último recurso: Base SharePoint campo 0020</t>
        </is>
      </c>
      <c r="F7" s="97" t="inlineStr">
        <is>
          <t>Listo</t>
        </is>
      </c>
    </row>
    <row r="8">
      <c r="A8" s="98" t="inlineStr">
        <is>
          <t>FF6 Actividad vulnerable</t>
        </is>
      </c>
      <c r="B8" s="98" t="inlineStr">
        <is>
          <t>27</t>
        </is>
      </c>
      <c r="C8" s="98" t="inlineStr">
        <is>
          <t>Base de expedientes: actividad vulnerable identificada (284 de 376 con AV)</t>
        </is>
      </c>
      <c r="D8" s="98" t="inlineStr">
        <is>
          <t>376</t>
        </is>
      </c>
      <c r="E8" s="98" t="inlineStr">
        <is>
          <t>Validación BX+ de los 34 inferidos (22-oct). Desarrollo inmobiliario → confirmada (5); sólo arrendamiento → potencial (3) hasta verificar el umbral de 1,605 UMA. Sin dato: NO DETERMINADO (2.58)</t>
        </is>
      </c>
      <c r="F8" s="98" t="inlineStr">
        <is>
          <t>Criterio a validar con BX+</t>
        </is>
      </c>
    </row>
    <row r="9">
      <c r="A9" s="97" t="inlineStr">
        <is>
          <t>FF7 Procedencia de los recursos</t>
        </is>
      </c>
      <c r="B9" s="97" t="inlineStr">
        <is>
          <t>19</t>
        </is>
      </c>
      <c r="C9" s="97" t="inlineStr">
        <is>
          <t>Base SharePoint (factor F8 del modelo del banco)</t>
        </is>
      </c>
      <c r="D9" s="97" t="inlineStr">
        <is>
          <t>Todos</t>
        </is>
      </c>
      <c r="E9" s="97" t="inlineStr">
        <is>
          <t>—</t>
        </is>
      </c>
      <c r="F9" s="97" t="inlineStr">
        <is>
          <t>Listo</t>
        </is>
      </c>
    </row>
    <row r="10">
      <c r="A10" s="98" t="inlineStr">
        <is>
          <t>FF8 Operaciones en USD / transfronterizas</t>
        </is>
      </c>
      <c r="B10" s="98" t="inlineStr">
        <is>
          <t>11</t>
        </is>
      </c>
      <c r="C10" s="98" t="inlineStr">
        <is>
          <t>Base SharePoint (factores F24 y F26)</t>
        </is>
      </c>
      <c r="D10" s="98" t="inlineStr">
        <is>
          <t>Todos</t>
        </is>
      </c>
      <c r="E10" s="98" t="inlineStr">
        <is>
          <t>—</t>
        </is>
      </c>
      <c r="F10" s="98" t="inlineStr">
        <is>
          <t>Listo</t>
        </is>
      </c>
    </row>
    <row r="11">
      <c r="A11" s="97" t="inlineStr">
        <is>
          <t>Invalidaciones</t>
        </is>
      </c>
      <c r="B11" s="97" t="inlineStr">
        <is>
          <t>—</t>
        </is>
      </c>
      <c r="C11" s="97" t="inlineStr">
        <is>
          <t>Base SharePoint (listas sin la «S», PEP, actividad determinante) + captura manual A8</t>
        </is>
      </c>
      <c r="D11" s="97" t="inlineStr">
        <is>
          <t>Todos</t>
        </is>
      </c>
      <c r="E11" s="97" t="inlineStr">
        <is>
          <t>—</t>
        </is>
      </c>
      <c r="F11" s="97" t="inlineStr">
        <is>
          <t>Listo</t>
        </is>
      </c>
    </row>
    <row r="12">
      <c r="A12" s="98" t="inlineStr">
        <is>
          <t>Segunda fase: FF2, FF3, FF5, FF9, FF10</t>
        </is>
      </c>
      <c r="B12" s="98" t="inlineStr">
        <is>
          <t>0</t>
        </is>
      </c>
      <c r="C12" s="98" t="inlineStr">
        <is>
          <t>Contrato / captura en la apertura</t>
        </is>
      </c>
      <c r="D12" s="98" t="inlineStr">
        <is>
          <t>—</t>
        </is>
      </c>
      <c r="E12" s="98" t="inlineStr">
        <is>
          <t>Número de partes (FF5) ya existe en la base de expedientes para 376; se puede activar cuando se amplíe la cobertura</t>
        </is>
      </c>
      <c r="F12" s="98" t="inlineStr">
        <is>
          <t>Segunda 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8" customWidth="1" min="3" max="3"/>
    <col width="34" customWidth="1" min="4" max="4"/>
    <col width="16" customWidth="1" min="5" max="5"/>
  </cols>
  <sheetData>
    <row r="1">
      <c r="A1" s="94" t="inlineStr">
        <is>
          <t>LAYOUT DE CARGA v2.0 — una fila por fideicomiso, con los valores tal como salen del sistema del banco</t>
        </is>
      </c>
    </row>
    <row r="2">
      <c r="A2" s="95" t="inlineStr">
        <is>
          <t>Archivo CSV (UTF-8) con estos encabezados. Si un fideicomiso tiene varias cuentas, puede venir en varias filas: la aplicación toma el valor de mayor riesgo de cada campo. Columnas extra se ignoran.</t>
        </is>
      </c>
    </row>
    <row r="4">
      <c r="A4" s="122" t="inlineStr">
        <is>
          <t>Columna</t>
        </is>
      </c>
      <c r="B4" s="122" t="inlineStr">
        <is>
          <t>Fuente en el banco</t>
        </is>
      </c>
      <c r="C4" s="122" t="inlineStr">
        <is>
          <t>Contenido</t>
        </is>
      </c>
      <c r="D4" s="122" t="inlineStr">
        <is>
          <t>Ejemplo</t>
        </is>
      </c>
      <c r="E4" s="122" t="inlineStr">
        <is>
          <t>Alimenta</t>
        </is>
      </c>
    </row>
    <row r="5">
      <c r="A5" s="123" t="inlineStr">
        <is>
          <t>NUM_FIDEICOMISO</t>
        </is>
      </c>
      <c r="B5" s="97" t="inlineStr">
        <is>
          <t>Cartera Fids</t>
        </is>
      </c>
      <c r="C5" s="97" t="inlineStr">
        <is>
          <t>Número de fideicomiso</t>
        </is>
      </c>
      <c r="D5" s="97" t="inlineStr">
        <is>
          <t>1317</t>
        </is>
      </c>
      <c r="E5" s="97" t="inlineStr">
        <is>
          <t>Obligatorio</t>
        </is>
      </c>
    </row>
    <row r="6">
      <c r="A6" s="123" t="inlineStr">
        <is>
          <t>NOMBRE_FIDEICOMISO</t>
        </is>
      </c>
      <c r="B6" s="97" t="inlineStr">
        <is>
          <t>Cartera Fids</t>
        </is>
      </c>
      <c r="C6" s="97" t="inlineStr">
        <is>
          <t>Nombre</t>
        </is>
      </c>
      <c r="D6" s="97" t="inlineStr">
        <is>
          <t>PROMOCIONES INDUSTRIALES QUERÉTARO</t>
        </is>
      </c>
      <c r="E6" s="97" t="inlineStr">
        <is>
          <t>Opcional</t>
        </is>
      </c>
    </row>
    <row r="7">
      <c r="A7" s="123" t="inlineStr">
        <is>
          <t>TIPO</t>
        </is>
      </c>
      <c r="B7" s="97" t="inlineStr">
        <is>
          <t>Cartera Fids («Tipo»)</t>
        </is>
      </c>
      <c r="C7" s="97" t="inlineStr">
        <is>
          <t>Tipo de fideicomiso del sistema</t>
        </is>
      </c>
      <c r="D7" s="97" t="inlineStr">
        <is>
          <t>Administración</t>
        </is>
      </c>
      <c r="E7" s="97" t="inlineStr">
        <is>
          <t>FF1</t>
        </is>
      </c>
    </row>
    <row r="8">
      <c r="A8" s="123" t="inlineStr">
        <is>
          <t>PRODUCTO</t>
        </is>
      </c>
      <c r="B8" s="97" t="inlineStr">
        <is>
          <t>Cartera Fids («Producto»)</t>
        </is>
      </c>
      <c r="C8" s="97" t="inlineStr">
        <is>
          <t>Producto del sistema</t>
        </is>
      </c>
      <c r="D8" s="97" t="inlineStr">
        <is>
          <t>Fideicomiso de Administración</t>
        </is>
      </c>
      <c r="E8" s="97" t="inlineStr">
        <is>
          <t>FF1</t>
        </is>
      </c>
    </row>
    <row r="9">
      <c r="A9" s="123" t="inlineStr">
        <is>
          <t>SUBTIPO_EXPEDIENTE</t>
        </is>
      </c>
      <c r="B9" s="97" t="inlineStr">
        <is>
          <t>Expediente (cédula)</t>
        </is>
      </c>
      <c r="C9" s="97" t="inlineStr">
        <is>
          <t>Subtipo de la cédula</t>
        </is>
      </c>
      <c r="D9" s="97" t="inlineStr">
        <is>
          <t>Inmobiliario</t>
        </is>
      </c>
      <c r="E9" s="97" t="inlineStr">
        <is>
          <t>FF1</t>
        </is>
      </c>
    </row>
    <row r="10">
      <c r="A10" s="123" t="inlineStr">
        <is>
          <t>FECHA_CONSTITUCION</t>
        </is>
      </c>
      <c r="B10" s="97" t="inlineStr">
        <is>
          <t>Cartera Fids / campo 0020</t>
        </is>
      </c>
      <c r="C10" s="97" t="inlineStr">
        <is>
          <t>dd/mm/aaaa o aaaammdd</t>
        </is>
      </c>
      <c r="D10" s="97" t="inlineStr">
        <is>
          <t>23/02/2015</t>
        </is>
      </c>
      <c r="E10" s="97" t="inlineStr">
        <is>
          <t>FF4</t>
        </is>
      </c>
    </row>
    <row r="11">
      <c r="A11" s="123" t="inlineStr">
        <is>
          <t>ACTIVIDAD_VULNERABLE</t>
        </is>
      </c>
      <c r="B11" s="97" t="inlineStr">
        <is>
          <t>Cartera Fids / expediente / validación</t>
        </is>
      </c>
      <c r="C11" s="97" t="inlineStr">
        <is>
          <t>Texto de la actividad vulnerable</t>
        </is>
      </c>
      <c r="D11" s="97" t="inlineStr">
        <is>
          <t>Desarrollo Inmobiliario</t>
        </is>
      </c>
      <c r="E11" s="97" t="inlineStr">
        <is>
          <t>FF6</t>
        </is>
      </c>
    </row>
    <row r="12">
      <c r="A12" s="123" t="inlineStr">
        <is>
          <t>ZCALIFICA</t>
        </is>
      </c>
      <c r="B12" s="97" t="inlineStr">
        <is>
          <t>Base SharePoint /BIC/ZCALIFICA</t>
        </is>
      </c>
      <c r="C12" s="97" t="inlineStr">
        <is>
          <t>Calificación del modelo del banco (A, B, C)</t>
        </is>
      </c>
      <c r="D12" s="97" t="inlineStr">
        <is>
          <t>A</t>
        </is>
      </c>
      <c r="E12" s="97" t="inlineStr">
        <is>
          <t>Riesgo heredado</t>
        </is>
      </c>
    </row>
    <row r="13">
      <c r="A13" s="123" t="inlineStr">
        <is>
          <t>NIVEL_SIPREV</t>
        </is>
      </c>
      <c r="B13" s="97" t="inlineStr">
        <is>
          <t>SIPREV</t>
        </is>
      </c>
      <c r="C13" s="97" t="inlineStr">
        <is>
          <t>Nivel de riesgo del cliente</t>
        </is>
      </c>
      <c r="D13" s="97" t="inlineStr">
        <is>
          <t>MEDIO</t>
        </is>
      </c>
      <c r="E13" s="97" t="inlineStr">
        <is>
          <t>Riesgo heredado</t>
        </is>
      </c>
    </row>
    <row r="14">
      <c r="A14" s="123" t="inlineStr">
        <is>
          <t>ZVALF0011_PROCEDENCIA</t>
        </is>
      </c>
      <c r="B14" s="97" t="inlineStr">
        <is>
          <t>Base SharePoint /BIC/ZVALF0011</t>
        </is>
      </c>
      <c r="C14" s="97" t="inlineStr">
        <is>
          <t>Clave de procedencia (factor F8)</t>
        </is>
      </c>
      <c r="D14" s="97" t="inlineStr">
        <is>
          <t>IN</t>
        </is>
      </c>
      <c r="E14" s="97" t="inlineStr">
        <is>
          <t>FF7</t>
        </is>
      </c>
    </row>
    <row r="15">
      <c r="A15" s="123" t="inlineStr">
        <is>
          <t>ZVALF0021_MONEDA</t>
        </is>
      </c>
      <c r="B15" s="97" t="inlineStr">
        <is>
          <t>Base SharePoint /BIC/ZVALF0021</t>
        </is>
      </c>
      <c r="C15" s="97" t="inlineStr">
        <is>
          <t>Moneda de la cuenta</t>
        </is>
      </c>
      <c r="D15" s="97" t="inlineStr">
        <is>
          <t>MXN</t>
        </is>
      </c>
      <c r="E15" s="97" t="inlineStr">
        <is>
          <t>FF8</t>
        </is>
      </c>
    </row>
    <row r="16">
      <c r="A16" s="123" t="inlineStr">
        <is>
          <t>ZVALF0004_PEP</t>
        </is>
      </c>
      <c r="B16" s="97" t="inlineStr">
        <is>
          <t>Base SharePoint /BIC/ZVALF0004</t>
        </is>
      </c>
      <c r="C16" s="97" t="inlineStr">
        <is>
          <t>S / N</t>
        </is>
      </c>
      <c r="D16" s="97" t="inlineStr">
        <is>
          <t>N</t>
        </is>
      </c>
      <c r="E16" s="97" t="inlineStr">
        <is>
          <t>Invalidación A1</t>
        </is>
      </c>
    </row>
    <row r="17">
      <c r="A17" s="123" t="inlineStr">
        <is>
          <t>ZVALF0023_REPORTES_PREVIOS</t>
        </is>
      </c>
      <c r="B17" s="97" t="inlineStr">
        <is>
          <t>Base SharePoint /BIC/ZVALF0023</t>
        </is>
      </c>
      <c r="C17" s="97" t="inlineStr">
        <is>
          <t>SI / NO</t>
        </is>
      </c>
      <c r="D17" s="97" t="inlineStr">
        <is>
          <t>NO</t>
        </is>
      </c>
      <c r="E17" s="97" t="inlineStr">
        <is>
          <t>Invalidación A3</t>
        </is>
      </c>
    </row>
    <row r="18">
      <c r="A18" s="123" t="inlineStr">
        <is>
          <t>INVESTIGACION_ADVERSA</t>
        </is>
      </c>
      <c r="B18" s="97" t="inlineStr">
        <is>
          <t>Captura manual (Fiduciario)</t>
        </is>
      </c>
      <c r="C18" s="97" t="inlineStr">
        <is>
          <t>SI / NO: noticias negativas, buró legal o fiscal</t>
        </is>
      </c>
      <c r="D18" s="97" t="inlineStr">
        <is>
          <t>NO</t>
        </is>
      </c>
      <c r="E18" s="97" t="inlineStr">
        <is>
          <t>Invalidación A8</t>
        </is>
      </c>
    </row>
    <row r="19">
      <c r="A19" s="123" t="inlineStr">
        <is>
          <t>INVALIDACION_PROHIBITIVA</t>
        </is>
      </c>
      <c r="B19" s="97" t="inlineStr">
        <is>
          <t>Captura manual (Cumplimiento)</t>
        </is>
      </c>
      <c r="C19" s="97" t="inlineStr">
        <is>
          <t>SI / NO: lista de bloqueados, GAFI negra, actividad prohibida</t>
        </is>
      </c>
      <c r="D19" s="97" t="inlineStr">
        <is>
          <t>NO</t>
        </is>
      </c>
      <c r="E19" s="97" t="inlineStr">
        <is>
          <t>Invalidación B</t>
        </is>
      </c>
    </row>
    <row r="20">
      <c r="A20" s="123" t="inlineStr">
        <is>
          <t>ORIGEN_TIPO / ORIGEN_FECHA / ORIGEN_AV</t>
        </is>
      </c>
      <c r="B20" s="97" t="inlineStr">
        <is>
          <t>Lex Quo</t>
        </is>
      </c>
      <c r="C20" s="97" t="inlineStr">
        <is>
          <t>Traza de la fuente; no se calcula</t>
        </is>
      </c>
      <c r="D20" s="97" t="inlineStr">
        <is>
          <t>Cartera Fids</t>
        </is>
      </c>
      <c r="E20" s="9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22" customWidth="1" min="4" max="4"/>
    <col width="14" customWidth="1" min="5" max="5"/>
    <col width="11" customWidth="1" min="6" max="6"/>
    <col width="22" customWidth="1" min="7" max="7"/>
    <col width="7" customWidth="1" min="8" max="8"/>
    <col width="12" customWidth="1" min="9" max="9"/>
    <col width="8" customWidth="1" min="10" max="10"/>
    <col width="8" customWidth="1" min="11" max="11"/>
    <col width="6" customWidth="1" min="12" max="12"/>
    <col width="8" customWidth="1" min="13" max="13"/>
    <col width="9" customWidth="1" min="14" max="14"/>
    <col width="9" customWidth="1" min="15" max="15"/>
    <col width="16" customWidth="1" min="16" max="16"/>
    <col width="14" customWidth="1" min="17" max="17"/>
    <col width="18" customWidth="1" min="18" max="18"/>
    <col width="8" customWidth="1" min="19" max="19"/>
    <col width="30" customWidth="1" min="20" max="20"/>
    <col width="6" customWidth="1" min="21" max="21"/>
    <col width="6" customWidth="1" min="22" max="22"/>
    <col width="6" customWidth="1" min="23" max="23"/>
    <col width="26" customWidth="1" min="24" max="24"/>
    <col width="6" customWidth="1" min="25" max="25"/>
    <col width="8" customWidth="1" min="26" max="26"/>
    <col width="6" customWidth="1" min="27" max="27"/>
    <col width="9" customWidth="1" min="28" max="28"/>
    <col width="9" customWidth="1" min="29" max="29"/>
    <col width="8" customWidth="1" min="30" max="30"/>
    <col width="9" customWidth="1" min="31" max="31"/>
    <col width="10" customWidth="1" min="32" max="32"/>
  </cols>
  <sheetData>
    <row r="1">
      <c r="A1" s="94" t="inlineStr">
        <is>
          <t>BASE DE CARGA — los fideicomisos tal como los da el sistema del banco, traducidos y calificados</t>
        </is>
      </c>
    </row>
    <row r="2">
      <c r="A2" s="95" t="inlineStr">
        <is>
          <t>Gris: columnas del LAYOUT DE CARGA (mismos nombres de campo del banco; es el mismo archivo que se carga en la aplicación). Azul: traducción automática. Blanco: cálculo. Para recargar, pegue debajo del renglón 5 las columnas A a R.</t>
        </is>
      </c>
    </row>
    <row r="3">
      <c r="A3" t="inlineStr">
        <is>
          <t>PLANTILLA SIN DATOS DE CLIENTES: un renglón de ejemplo. Pegue debajo los fideicomisos del layout.</t>
        </is>
      </c>
    </row>
    <row r="4">
      <c r="A4" s="99" t="inlineStr">
        <is>
          <t>LAYOUT DE CARGA — TAL COMO VIENE DEL BANCO</t>
        </is>
      </c>
      <c r="P4" s="99" t="inlineStr">
        <is>
          <t>TRAZA (no se calcula)</t>
        </is>
      </c>
      <c r="S4" s="99" t="inlineStr">
        <is>
          <t>TRADUCIDO CON LA BASE DE VARIABLES</t>
        </is>
      </c>
      <c r="AB4" s="99" t="inlineStr">
        <is>
          <t>CÁLCULO</t>
        </is>
      </c>
    </row>
    <row r="5">
      <c r="A5" s="124" t="inlineStr">
        <is>
          <t>NUM_FIDEICOMISO</t>
        </is>
      </c>
      <c r="B5" s="124" t="inlineStr">
        <is>
          <t>NOMBRE_FIDEICOMISO</t>
        </is>
      </c>
      <c r="C5" s="124" t="inlineStr">
        <is>
          <t>TIPO</t>
        </is>
      </c>
      <c r="D5" s="124" t="inlineStr">
        <is>
          <t>PRODUCTO</t>
        </is>
      </c>
      <c r="E5" s="124" t="inlineStr">
        <is>
          <t>SUBTIPO_EXPEDIENTE</t>
        </is>
      </c>
      <c r="F5" s="124" t="inlineStr">
        <is>
          <t>FECHA_CONSTITUCION</t>
        </is>
      </c>
      <c r="G5" s="124" t="inlineStr">
        <is>
          <t>ACTIVIDAD_VULNERABLE</t>
        </is>
      </c>
      <c r="H5" s="124" t="inlineStr">
        <is>
          <t>ZCALIFICA</t>
        </is>
      </c>
      <c r="I5" s="124" t="inlineStr">
        <is>
          <t>NIVEL_SIPREV</t>
        </is>
      </c>
      <c r="J5" s="124" t="inlineStr">
        <is>
          <t>ZVALF0011_PROCEDENCIA</t>
        </is>
      </c>
      <c r="K5" s="124" t="inlineStr">
        <is>
          <t>ZVALF0021_MONEDA</t>
        </is>
      </c>
      <c r="L5" s="124" t="inlineStr">
        <is>
          <t>ZVALF0004_PEP</t>
        </is>
      </c>
      <c r="M5" s="124" t="inlineStr">
        <is>
          <t>ZVALF0023_REPORTES_PREVIOS</t>
        </is>
      </c>
      <c r="N5" s="124" t="inlineStr">
        <is>
          <t>INVESTIGACION_ADVERSA</t>
        </is>
      </c>
      <c r="O5" s="124" t="inlineStr">
        <is>
          <t>INVALIDACION_PROHIBITIVA</t>
        </is>
      </c>
      <c r="P5" s="124" t="inlineStr">
        <is>
          <t>ORIGEN_TIPO</t>
        </is>
      </c>
      <c r="Q5" s="124" t="inlineStr">
        <is>
          <t>ORIGEN_FECHA</t>
        </is>
      </c>
      <c r="R5" s="124" t="inlineStr">
        <is>
          <t>ORIGEN_AV</t>
        </is>
      </c>
      <c r="S5" s="124" t="inlineStr">
        <is>
          <t>Heredado · puntaje</t>
        </is>
      </c>
      <c r="T5" s="124" t="inlineStr">
        <is>
          <t>FF1 Tipo · variable</t>
        </is>
      </c>
      <c r="U5" s="124" t="inlineStr">
        <is>
          <t>FF1 · nivel</t>
        </is>
      </c>
      <c r="V5" s="124" t="inlineStr">
        <is>
          <t>FF4 · años</t>
        </is>
      </c>
      <c r="W5" s="124" t="inlineStr">
        <is>
          <t>FF4 · nivel</t>
        </is>
      </c>
      <c r="X5" s="124" t="inlineStr">
        <is>
          <t>FF6 AV · variable</t>
        </is>
      </c>
      <c r="Y5" s="124" t="inlineStr">
        <is>
          <t>FF6 · nivel</t>
        </is>
      </c>
      <c r="Z5" s="124" t="inlineStr">
        <is>
          <t>FF7 · nivel (F8 del banco)</t>
        </is>
      </c>
      <c r="AA5" s="124" t="inlineStr">
        <is>
          <t>FF8 · nivel</t>
        </is>
      </c>
      <c r="AB5" s="124" t="inlineStr">
        <is>
          <t>Estructural</t>
        </is>
      </c>
      <c r="AC5" s="124" t="inlineStr">
        <is>
          <t>Consolidado</t>
        </is>
      </c>
      <c r="AD5" s="124" t="inlineStr">
        <is>
          <t>Invalidación</t>
        </is>
      </c>
      <c r="AE5" s="124" t="inlineStr">
        <is>
          <t>Calificación final</t>
        </is>
      </c>
      <c r="AF5" s="124" t="inlineStr">
        <is>
          <t>Banda</t>
        </is>
      </c>
    </row>
    <row r="6">
      <c r="A6" s="125" t="inlineStr">
        <is>
          <t>1317</t>
        </is>
      </c>
      <c r="B6" s="125" t="inlineStr">
        <is>
          <t>EJEMPLO SA</t>
        </is>
      </c>
      <c r="C6" s="125" t="inlineStr">
        <is>
          <t>Administración</t>
        </is>
      </c>
      <c r="D6" s="125" t="inlineStr">
        <is>
          <t>Fideicomiso de Administración</t>
        </is>
      </c>
      <c r="E6" s="125" t="inlineStr">
        <is>
          <t>Inmobiliario</t>
        </is>
      </c>
      <c r="F6" s="125" t="inlineStr">
        <is>
          <t>23/02/2015</t>
        </is>
      </c>
      <c r="G6" s="125" t="inlineStr">
        <is>
          <t>Desarrollo Inmobiliario</t>
        </is>
      </c>
      <c r="H6" s="125" t="inlineStr">
        <is>
          <t>A</t>
        </is>
      </c>
      <c r="I6" s="125" t="inlineStr">
        <is>
          <t>MEDIO</t>
        </is>
      </c>
      <c r="J6" s="125" t="inlineStr">
        <is>
          <t>IN</t>
        </is>
      </c>
      <c r="K6" s="125" t="inlineStr">
        <is>
          <t>MXN</t>
        </is>
      </c>
      <c r="L6" s="125" t="inlineStr">
        <is>
          <t>N</t>
        </is>
      </c>
      <c r="M6" s="125" t="inlineStr">
        <is>
          <t>NO</t>
        </is>
      </c>
      <c r="N6" s="125" t="inlineStr">
        <is>
          <t>NO</t>
        </is>
      </c>
      <c r="O6" s="125" t="inlineStr">
        <is>
          <t>NO</t>
        </is>
      </c>
      <c r="P6" s="126" t="inlineStr">
        <is>
          <t>Ejemplo</t>
        </is>
      </c>
      <c r="Q6" s="126" t="inlineStr">
        <is>
          <t>Ejemplo</t>
        </is>
      </c>
      <c r="R6" s="126" t="inlineStr">
        <is>
          <t>Ejemplo</t>
        </is>
      </c>
      <c r="S6" s="117">
        <f>MAX(IFERROR(VLOOKUP(H6,EQUIVALENCIAS!$A$5:$B$7,2,0),0),IFERROR(VLOOKUP(I6,EQUIVALENCIAS!$A$10:$B$14,2,0),0))</f>
        <v/>
      </c>
      <c r="T6" s="117">
        <f>IFERROR(VLOOKUP(C6&amp;" | "&amp;D6&amp;" | "&amp;E6,EQUIVALENCIAS!$E$5:$F$64,2,0),"NO DETERMINADO")</f>
        <v/>
      </c>
      <c r="U6" s="117">
        <f>IFERROR(INDEX(LISTAS!$B$5:$B$14,MATCH(T6,LISTAS!$A$5:$A$14,0)),2.58)</f>
        <v/>
      </c>
      <c r="V6" s="117">
        <f>IF(F6="","",ROUND((EQUIVALENCIAS!$B$16-IF(LEN(F6)=8,DATE(LEFT(F6,4),MID(F6,5,2),RIGHT(F6,2)),DATE(RIGHT(F6,4),MID(F6,4,2),LEFT(F6,2))))/365.25,2))</f>
        <v/>
      </c>
      <c r="W6" s="117">
        <f>IF(V6="",2.58,IF(V6&lt;1,5,IF(V6&lt;3,4,IF(V6&lt;=10,2,1))))</f>
        <v/>
      </c>
      <c r="X6" s="117">
        <f>IFERROR(VLOOKUP(G6,EQUIVALENCIAS!$I$5:$J$18,2,0),"NO DETERMINADO")</f>
        <v/>
      </c>
      <c r="Y6" s="117">
        <f>IFERROR(INDEX(LISTAS!$H$5:$H$8,MATCH(X6,LISTAS!$G$5:$G$8,0)),2.58)</f>
        <v/>
      </c>
      <c r="Z6" s="117">
        <f>IFERROR(INDEX('3. BASE VARIABLES'!$H$2593:$H$2618,MATCH(J6,'3. BASE VARIABLES'!$G$2593:$G$2618,0)),2.58)</f>
        <v/>
      </c>
      <c r="AA6" s="117">
        <f>IFERROR(VLOOKUP(K6,EQUIVALENCIAS!$A$19:$C$22,3,0),2.58)</f>
        <v/>
      </c>
      <c r="AB6">
        <f>ROUND(U6*30+W6*13+Y6*27+Z6*19+AA6*11,0)</f>
        <v/>
      </c>
      <c r="AC6">
        <f>MAX(S6,AB6)</f>
        <v/>
      </c>
      <c r="AD6">
        <f>IF(UPPER(O6)="SI","B",IF(OR(UPPER(L6)="S",UPPER(M6)="SI",UPPER(N6)="SI"),"A",""))</f>
        <v/>
      </c>
      <c r="AE6">
        <f>IF(AD6="B",500,IF(AD6="A",MAX(AC6,291),AC6))</f>
        <v/>
      </c>
      <c r="AF6">
        <f>IF(AE6&gt;=500,"PROHIBITIVO",IF(AE6&gt;=291,"ALTO",IF(AE6&gt;=259,"MEDIO ALTO",IF(AE6&gt;=224,"MEDIO","BAJO"))))</f>
        <v/>
      </c>
    </row>
  </sheetData>
  <autoFilter ref="A5:A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2" customWidth="1" min="4" max="4"/>
    <col width="62" customWidth="1" min="5" max="5"/>
    <col width="58" customWidth="1" min="6" max="6"/>
    <col width="7" customWidth="1" min="7" max="7"/>
    <col width="2" customWidth="1" min="8" max="8"/>
    <col width="44" customWidth="1" min="9" max="9"/>
    <col width="40" customWidth="1" min="10" max="10"/>
    <col width="7" customWidth="1" min="11" max="11"/>
  </cols>
  <sheetData>
    <row r="1">
      <c r="A1" s="94" t="inlineStr">
        <is>
          <t>EQUIVALENCIAS — cómo se traduce cada valor del banco a una variable de la matriz</t>
        </is>
      </c>
    </row>
    <row r="2">
      <c r="A2" s="95" t="inlineStr">
        <is>
          <t>Los mismos criterios están programados en la aplicación v2.0. La procedencia (ZVALF0011) se busca directo en la columna G de 3. BASE VARIABLES. Celdas azules: criterio editable.</t>
        </is>
      </c>
    </row>
    <row r="4">
      <c r="A4" s="96" t="inlineStr">
        <is>
          <t>ZCALIFICA (Base SharePoint)</t>
        </is>
      </c>
      <c r="B4" s="96" t="inlineStr">
        <is>
          <t>Puntaje heredado</t>
        </is>
      </c>
      <c r="E4" s="96" t="inlineStr">
        <is>
          <t>TIPO | PRODUCTO | SUBTIPO_EXPEDIENTE (como llega)</t>
        </is>
      </c>
      <c r="F4" s="96" t="inlineStr">
        <is>
          <t>Variable FF1 asignada</t>
        </is>
      </c>
      <c r="G4" s="96" t="inlineStr">
        <is>
          <t>Nivel</t>
        </is>
      </c>
      <c r="I4" s="96" t="inlineStr">
        <is>
          <t>ACTIVIDAD_VULNERABLE (como llega)</t>
        </is>
      </c>
      <c r="J4" s="96" t="inlineStr">
        <is>
          <t>Variable FF6 asignada</t>
        </is>
      </c>
      <c r="K4" s="96" t="inlineStr">
        <is>
          <t>Nivel</t>
        </is>
      </c>
    </row>
    <row r="5">
      <c r="A5" t="inlineStr">
        <is>
          <t>A</t>
        </is>
      </c>
      <c r="B5" s="117" t="n">
        <v>162</v>
      </c>
      <c r="E5" t="inlineStr">
        <is>
          <t xml:space="preserve"> |  | </t>
        </is>
      </c>
      <c r="F5" s="117" t="inlineStr">
        <is>
          <t>NO DETERMINADO</t>
        </is>
      </c>
      <c r="G5">
        <f>IFERROR(INDEX(LISTAS!$B$5:$B$14,MATCH(F5,LISTAS!$A$5:$A$14,0)),2.58)</f>
        <v/>
      </c>
      <c r="I5" t="inlineStr">
        <is>
          <t>Arrendamiento</t>
        </is>
      </c>
      <c r="J5" s="117" t="inlineStr">
        <is>
          <t>AV POTENCIAL / EN DICTAMEN (TIPO C)</t>
        </is>
      </c>
      <c r="K5">
        <f>IFERROR(INDEX(LISTAS!$H$5:$H$8,MATCH(J5,LISTAS!$G$5:$G$8,0)),2.58)</f>
        <v/>
      </c>
    </row>
    <row r="6">
      <c r="A6" t="inlineStr">
        <is>
          <t>B</t>
        </is>
      </c>
      <c r="B6" s="117" t="n">
        <v>241</v>
      </c>
      <c r="E6" t="inlineStr">
        <is>
          <t>Administación, Garantía y Fuente de Pago | Fideicomiso de Garantía | Inmobiliario</t>
        </is>
      </c>
      <c r="F6" s="117" t="inlineStr">
        <is>
          <t>FIDEICOMISO DE ADMINISTRACIÓN INMOBILIARIA (DESARROLLO O ARRENDAMIENTO)</t>
        </is>
      </c>
      <c r="G6">
        <f>IFERROR(INDEX(LISTAS!$B$5:$B$14,MATCH(F6,LISTAS!$A$5:$A$14,0)),2.58)</f>
        <v/>
      </c>
      <c r="I6" t="inlineStr">
        <is>
          <t>Arrendamiento y desarrollo inmobiliario</t>
        </is>
      </c>
      <c r="J6" s="117" t="inlineStr">
        <is>
          <t>AV CONFIRMADA ART. 17 (TIPO B)</t>
        </is>
      </c>
      <c r="K6">
        <f>IFERROR(INDEX(LISTAS!$H$5:$H$8,MATCH(J6,LISTAS!$G$5:$G$8,0)),2.58)</f>
        <v/>
      </c>
    </row>
    <row r="7">
      <c r="A7" t="inlineStr">
        <is>
          <t>C</t>
        </is>
      </c>
      <c r="B7" s="117" t="n">
        <v>330</v>
      </c>
      <c r="E7" t="inlineStr">
        <is>
          <t>Administración e Inversión | Fideicomiso de Administración | Inmobiliario</t>
        </is>
      </c>
      <c r="F7" s="117" t="inlineStr">
        <is>
          <t>FIDEICOMISO DE ADMINISTRACIÓN INMOBILIARIA (DESARROLLO O ARRENDAMIENTO)</t>
        </is>
      </c>
      <c r="G7">
        <f>IFERROR(INDEX(LISTAS!$B$5:$B$14,MATCH(F7,LISTAS!$A$5:$A$14,0)),2.58)</f>
        <v/>
      </c>
      <c r="I7" t="inlineStr">
        <is>
          <t>Dearrollo Inmobiliario y Arrendamiento</t>
        </is>
      </c>
      <c r="J7" s="117" t="inlineStr">
        <is>
          <t>AV CONFIRMADA ART. 17 (TIPO B)</t>
        </is>
      </c>
      <c r="K7">
        <f>IFERROR(INDEX(LISTAS!$H$5:$H$8,MATCH(J7,LISTAS!$G$5:$G$8,0)),2.58)</f>
        <v/>
      </c>
    </row>
    <row r="8">
      <c r="E8" t="inlineStr">
        <is>
          <t>Administración y Fuente de Pago | Fideicomiso de Administración | Patrimonial</t>
        </is>
      </c>
      <c r="F8" s="117" t="inlineStr">
        <is>
          <t>FIDEICOMISO FUENTE DE PAGO</t>
        </is>
      </c>
      <c r="G8">
        <f>IFERROR(INDEX(LISTAS!$B$5:$B$14,MATCH(F8,LISTAS!$A$5:$A$14,0)),2.58)</f>
        <v/>
      </c>
      <c r="I8" t="inlineStr">
        <is>
          <t>Desarrollo Inmobiliario</t>
        </is>
      </c>
      <c r="J8" s="117" t="inlineStr">
        <is>
          <t>AV CONFIRMADA ART. 17 (TIPO B)</t>
        </is>
      </c>
      <c r="K8">
        <f>IFERROR(INDEX(LISTAS!$H$5:$H$8,MATCH(J8,LISTAS!$G$5:$G$8,0)),2.58)</f>
        <v/>
      </c>
    </row>
    <row r="9">
      <c r="A9" s="96" t="inlineStr">
        <is>
          <t>NIVEL_SIPREV</t>
        </is>
      </c>
      <c r="B9" s="96" t="inlineStr">
        <is>
          <t>Puntaje heredado</t>
        </is>
      </c>
      <c r="E9" t="inlineStr">
        <is>
          <t>Administración y Fuente de Pago | Fuente de Pago | Patrimonial</t>
        </is>
      </c>
      <c r="F9" s="117" t="inlineStr">
        <is>
          <t>FIDEICOMISO FUENTE DE PAGO</t>
        </is>
      </c>
      <c r="G9">
        <f>IFERROR(INDEX(LISTAS!$B$5:$B$14,MATCH(F9,LISTAS!$A$5:$A$14,0)),2.58)</f>
        <v/>
      </c>
      <c r="I9" t="inlineStr">
        <is>
          <t>Desarrollo Inmobiliario y Aarrendamiento</t>
        </is>
      </c>
      <c r="J9" s="117" t="inlineStr">
        <is>
          <t>AV CONFIRMADA ART. 17 (TIPO B)</t>
        </is>
      </c>
      <c r="K9">
        <f>IFERROR(INDEX(LISTAS!$H$5:$H$8,MATCH(J9,LISTAS!$G$5:$G$8,0)),2.58)</f>
        <v/>
      </c>
    </row>
    <row r="10">
      <c r="A10" t="inlineStr">
        <is>
          <t>BAJO</t>
        </is>
      </c>
      <c r="B10" s="117" t="n">
        <v>162</v>
      </c>
      <c r="E10" t="inlineStr">
        <is>
          <t>Administración y Fuente de Pago | Fuente/Alterna de Pago | Garantía</t>
        </is>
      </c>
      <c r="F10" s="117" t="inlineStr">
        <is>
          <t>FIDEICOMISO FUENTE DE PAGO</t>
        </is>
      </c>
      <c r="G10">
        <f>IFERROR(INDEX(LISTAS!$B$5:$B$14,MATCH(F10,LISTAS!$A$5:$A$14,0)),2.58)</f>
        <v/>
      </c>
      <c r="I10" t="inlineStr">
        <is>
          <t>Desarrollo Inmobiliario y Arrendamiento</t>
        </is>
      </c>
      <c r="J10" s="117" t="inlineStr">
        <is>
          <t>AV CONFIRMADA ART. 17 (TIPO B)</t>
        </is>
      </c>
      <c r="K10">
        <f>IFERROR(INDEX(LISTAS!$H$5:$H$8,MATCH(J10,LISTAS!$G$5:$G$8,0)),2.58)</f>
        <v/>
      </c>
    </row>
    <row r="11">
      <c r="A11" t="inlineStr">
        <is>
          <t>MEDIO</t>
        </is>
      </c>
      <c r="B11" s="117" t="n">
        <v>241</v>
      </c>
      <c r="E11" t="inlineStr">
        <is>
          <t>Administración y Garantía | Fideicomiso de Garantía | Inmobiliario</t>
        </is>
      </c>
      <c r="F11" s="117" t="inlineStr">
        <is>
          <t>FIDEICOMISO DE ADMINISTRACIÓN INMOBILIARIA (DESARROLLO O ARRENDAMIENTO)</t>
        </is>
      </c>
      <c r="G11">
        <f>IFERROR(INDEX(LISTAS!$B$5:$B$14,MATCH(F11,LISTAS!$A$5:$A$14,0)),2.58)</f>
        <v/>
      </c>
      <c r="I11" t="inlineStr">
        <is>
          <t>Desarrollo Inmobiliario y arrendamiento</t>
        </is>
      </c>
      <c r="J11" s="117" t="inlineStr">
        <is>
          <t>AV CONFIRMADA ART. 17 (TIPO B)</t>
        </is>
      </c>
      <c r="K11">
        <f>IFERROR(INDEX(LISTAS!$H$5:$H$8,MATCH(J11,LISTAS!$G$5:$G$8,0)),2.58)</f>
        <v/>
      </c>
    </row>
    <row r="12">
      <c r="A12" t="inlineStr">
        <is>
          <t>MEDIO ALTO</t>
        </is>
      </c>
      <c r="B12" s="117" t="n">
        <v>275</v>
      </c>
      <c r="E12" t="inlineStr">
        <is>
          <t>Administración y Medio de Pago | Fuente/Alterna de Pago | Patrimonial</t>
        </is>
      </c>
      <c r="F12" s="117" t="inlineStr">
        <is>
          <t>FIDEICOMISO FUENTE DE PAGO</t>
        </is>
      </c>
      <c r="G12">
        <f>IFERROR(INDEX(LISTAS!$B$5:$B$14,MATCH(F12,LISTAS!$A$5:$A$14,0)),2.58)</f>
        <v/>
      </c>
      <c r="I12" t="inlineStr">
        <is>
          <t>Inferida: Indicio</t>
        </is>
      </c>
      <c r="J12" s="117" t="inlineStr">
        <is>
          <t>AV POTENCIAL / EN DICTAMEN (TIPO C)</t>
        </is>
      </c>
      <c r="K12">
        <f>IFERROR(INDEX(LISTAS!$H$5:$H$8,MATCH(J12,LISTAS!$G$5:$G$8,0)),2.58)</f>
        <v/>
      </c>
    </row>
    <row r="13">
      <c r="A13" t="inlineStr">
        <is>
          <t>ALTO</t>
        </is>
      </c>
      <c r="B13" s="117" t="n">
        <v>330</v>
      </c>
      <c r="E13" t="inlineStr">
        <is>
          <t>Administración |  | Inversión</t>
        </is>
      </c>
      <c r="F13" s="117" t="inlineStr">
        <is>
          <t>FIDEICOMISO DE INVERSIÓN</t>
        </is>
      </c>
      <c r="G13">
        <f>IFERROR(INDEX(LISTAS!$B$5:$B$14,MATCH(F13,LISTAS!$A$5:$A$14,0)),2.58)</f>
        <v/>
      </c>
      <c r="I13" t="inlineStr">
        <is>
          <t>Inferida: No probable</t>
        </is>
      </c>
      <c r="J13" s="117" t="inlineStr">
        <is>
          <t>SIN ACTIVIDAD VULNERABLE (TIPO A)</t>
        </is>
      </c>
      <c r="K13">
        <f>IFERROR(INDEX(LISTAS!$H$5:$H$8,MATCH(J13,LISTAS!$G$5:$G$8,0)),2.58)</f>
        <v/>
      </c>
    </row>
    <row r="14">
      <c r="A14" t="inlineStr">
        <is>
          <t>ALTO RIESGO (INVALIDACION TIPO A)</t>
        </is>
      </c>
      <c r="B14" s="117" t="n">
        <v>330</v>
      </c>
      <c r="E14" t="inlineStr">
        <is>
          <t xml:space="preserve">Administración | Fideicomiso de Administración | </t>
        </is>
      </c>
      <c r="F14" s="117" t="inlineStr">
        <is>
          <t>FIDEICOMISO DE ADMINISTRACIÓN</t>
        </is>
      </c>
      <c r="G14">
        <f>IFERROR(INDEX(LISTAS!$B$5:$B$14,MATCH(F14,LISTAS!$A$5:$A$14,0)),2.58)</f>
        <v/>
      </c>
      <c r="I14" t="inlineStr">
        <is>
          <t>Inferida: Sin elementos</t>
        </is>
      </c>
      <c r="J14" s="117" t="inlineStr">
        <is>
          <t>NO DETERMINADO</t>
        </is>
      </c>
      <c r="K14">
        <f>IFERROR(INDEX(LISTAS!$H$5:$H$8,MATCH(J14,LISTAS!$G$5:$G$8,0)),2.58)</f>
        <v/>
      </c>
    </row>
    <row r="15">
      <c r="E15" t="inlineStr">
        <is>
          <t>Administración | Fideicomiso de Administración | Fuente de Pago</t>
        </is>
      </c>
      <c r="F15" s="117" t="inlineStr">
        <is>
          <t>FIDEICOMISO FUENTE DE PAGO</t>
        </is>
      </c>
      <c r="G15">
        <f>IFERROR(INDEX(LISTAS!$B$5:$B$14,MATCH(F15,LISTAS!$A$5:$A$14,0)),2.58)</f>
        <v/>
      </c>
      <c r="I15" t="inlineStr">
        <is>
          <t>Inferida: Sí probable</t>
        </is>
      </c>
      <c r="J15" s="117" t="inlineStr">
        <is>
          <t>AV POTENCIAL / EN DICTAMEN (TIPO C)</t>
        </is>
      </c>
      <c r="K15">
        <f>IFERROR(INDEX(LISTAS!$H$5:$H$8,MATCH(J15,LISTAS!$G$5:$G$8,0)),2.58)</f>
        <v/>
      </c>
    </row>
    <row r="16">
      <c r="A16" s="99" t="inlineStr">
        <is>
          <t>Fecha de corte (antigüedad):</t>
        </is>
      </c>
      <c r="B16" s="127">
        <f>TODAY()</f>
        <v/>
      </c>
      <c r="E16" t="inlineStr">
        <is>
          <t>Administración | Fideicomiso de Administración | Garantía</t>
        </is>
      </c>
      <c r="F16" s="117" t="inlineStr">
        <is>
          <t>FIDEICOMISO DE GARANTÍA</t>
        </is>
      </c>
      <c r="G16">
        <f>IFERROR(INDEX(LISTAS!$B$5:$B$14,MATCH(F16,LISTAS!$A$5:$A$14,0)),2.58)</f>
        <v/>
      </c>
      <c r="I16" t="inlineStr">
        <is>
          <t>No</t>
        </is>
      </c>
      <c r="J16" s="117" t="inlineStr">
        <is>
          <t>SIN ACTIVIDAD VULNERABLE (TIPO A)</t>
        </is>
      </c>
      <c r="K16">
        <f>IFERROR(INDEX(LISTAS!$H$5:$H$8,MATCH(J16,LISTAS!$G$5:$G$8,0)),2.58)</f>
        <v/>
      </c>
    </row>
    <row r="17">
      <c r="E17" t="inlineStr">
        <is>
          <t>Administración | Fideicomiso de Administración | Garantía e Inmobiliario</t>
        </is>
      </c>
      <c r="F17" s="117" t="inlineStr">
        <is>
          <t>FIDEICOMISO DE ADMINISTRACIÓN INMOBILIARIA (DESARROLLO O ARRENDAMIENTO)</t>
        </is>
      </c>
      <c r="G17">
        <f>IFERROR(INDEX(LISTAS!$B$5:$B$14,MATCH(F17,LISTAS!$A$5:$A$14,0)),2.58)</f>
        <v/>
      </c>
      <c r="I17" t="inlineStr">
        <is>
          <t>Revisar</t>
        </is>
      </c>
      <c r="J17" s="117" t="inlineStr">
        <is>
          <t>AV POTENCIAL / EN DICTAMEN (TIPO C)</t>
        </is>
      </c>
      <c r="K17">
        <f>IFERROR(INDEX(LISTAS!$H$5:$H$8,MATCH(J17,LISTAS!$G$5:$G$8,0)),2.58)</f>
        <v/>
      </c>
    </row>
    <row r="18">
      <c r="A18" s="96" t="inlineStr">
        <is>
          <t>ZVALF0021_MONEDA</t>
        </is>
      </c>
      <c r="B18" s="96" t="inlineStr">
        <is>
          <t>Variable FF8</t>
        </is>
      </c>
      <c r="C18" s="96" t="inlineStr">
        <is>
          <t>Nivel</t>
        </is>
      </c>
      <c r="E18" t="inlineStr">
        <is>
          <t>Administración | Fideicomiso de Administración | Garantía y Fuente de Pago</t>
        </is>
      </c>
      <c r="F18" s="117" t="inlineStr">
        <is>
          <t>FIDEICOMISO FUENTE DE PAGO</t>
        </is>
      </c>
      <c r="G18">
        <f>IFERROR(INDEX(LISTAS!$B$5:$B$14,MATCH(F18,LISTAS!$A$5:$A$14,0)),2.58)</f>
        <v/>
      </c>
      <c r="I18" t="inlineStr">
        <is>
          <t>Sin AV en expediente</t>
        </is>
      </c>
      <c r="J18" s="117" t="inlineStr">
        <is>
          <t>SIN ACTIVIDAD VULNERABLE (TIPO A)</t>
        </is>
      </c>
      <c r="K18">
        <f>IFERROR(INDEX(LISTAS!$H$5:$H$8,MATCH(J18,LISTAS!$G$5:$G$8,0)),2.58)</f>
        <v/>
      </c>
    </row>
    <row r="19">
      <c r="A19" t="inlineStr">
        <is>
          <t>MXN</t>
        </is>
      </c>
      <c r="B19" s="117" t="inlineStr">
        <is>
          <t>SIN OPERACIONES USD NI EXTRANJERO</t>
        </is>
      </c>
      <c r="C19">
        <f>IFERROR(INDEX(LISTAS!$N$5:$N$8,MATCH(B19,LISTAS!$M$5:$M$8,0)),2.58)</f>
        <v/>
      </c>
      <c r="E19" t="inlineStr">
        <is>
          <t>Administración | Fideicomiso de Administración | Inmobiliario</t>
        </is>
      </c>
      <c r="F19" s="117" t="inlineStr">
        <is>
          <t>FIDEICOMISO DE ADMINISTRACIÓN INMOBILIARIA (DESARROLLO O ARRENDAMIENTO)</t>
        </is>
      </c>
      <c r="G19">
        <f>IFERROR(INDEX(LISTAS!$B$5:$B$14,MATCH(F19,LISTAS!$A$5:$A$14,0)),2.58)</f>
        <v/>
      </c>
    </row>
    <row r="20">
      <c r="A20" t="inlineStr">
        <is>
          <t>USD</t>
        </is>
      </c>
      <c r="B20" s="117" t="inlineStr">
        <is>
          <t>USD OCASIONAL / PARTE EXTRANJERA</t>
        </is>
      </c>
      <c r="C20">
        <f>IFERROR(INDEX(LISTAS!$N$5:$N$8,MATCH(B20,LISTAS!$M$5:$M$8,0)),2.58)</f>
        <v/>
      </c>
      <c r="E20" t="inlineStr">
        <is>
          <t>Administración | Fideicomiso de Administración | Inmobiliario y Patrimonial</t>
        </is>
      </c>
      <c r="F20" s="117" t="inlineStr">
        <is>
          <t>FIDEICOMISO DE ADMINISTRACIÓN INMOBILIARIA (DESARROLLO O ARRENDAMIENTO)</t>
        </is>
      </c>
      <c r="G20">
        <f>IFERROR(INDEX(LISTAS!$B$5:$B$14,MATCH(F20,LISTAS!$A$5:$A$14,0)),2.58)</f>
        <v/>
      </c>
    </row>
    <row r="21">
      <c r="A21" t="inlineStr">
        <is>
          <t>EUR</t>
        </is>
      </c>
      <c r="B21" s="117" t="inlineStr">
        <is>
          <t>USD OCASIONAL / PARTE EXTRANJERA</t>
        </is>
      </c>
      <c r="C21">
        <f>IFERROR(INDEX(LISTAS!$N$5:$N$8,MATCH(B21,LISTAS!$M$5:$M$8,0)),2.58)</f>
        <v/>
      </c>
      <c r="E21" t="inlineStr">
        <is>
          <t>Administración | Fideicomiso de Administración | Inversión</t>
        </is>
      </c>
      <c r="F21" s="117" t="inlineStr">
        <is>
          <t>FIDEICOMISO DE INVERSIÓN</t>
        </is>
      </c>
      <c r="G21">
        <f>IFERROR(INDEX(LISTAS!$B$5:$B$14,MATCH(F21,LISTAS!$A$5:$A$14,0)),2.58)</f>
        <v/>
      </c>
    </row>
    <row r="22">
      <c r="A22" t="inlineStr">
        <is>
          <t>CAD</t>
        </is>
      </c>
      <c r="B22" s="117" t="inlineStr">
        <is>
          <t>USD OCASIONAL / PARTE EXTRANJERA</t>
        </is>
      </c>
      <c r="C22">
        <f>IFERROR(INDEX(LISTAS!$N$5:$N$8,MATCH(B22,LISTAS!$M$5:$M$8,0)),2.58)</f>
        <v/>
      </c>
      <c r="E22" t="inlineStr">
        <is>
          <t>Administración | Fideicomiso de Administración | Inversión - Previsión social</t>
        </is>
      </c>
      <c r="F22" s="117" t="inlineStr">
        <is>
          <t>FIDEICOMISO DE INVERSIÓN</t>
        </is>
      </c>
      <c r="G22">
        <f>IFERROR(INDEX(LISTAS!$B$5:$B$14,MATCH(F22,LISTAS!$A$5:$A$14,0)),2.58)</f>
        <v/>
      </c>
    </row>
    <row r="23">
      <c r="E23" t="inlineStr">
        <is>
          <t>Administración | Fideicomiso de Administración | Inversión y Patrimonial</t>
        </is>
      </c>
      <c r="F23" s="117" t="inlineStr">
        <is>
          <t>FIDEICOMISO DE INVERSIÓN</t>
        </is>
      </c>
      <c r="G23">
        <f>IFERROR(INDEX(LISTAS!$B$5:$B$14,MATCH(F23,LISTAS!$A$5:$A$14,0)),2.58)</f>
        <v/>
      </c>
    </row>
    <row r="24">
      <c r="E24" t="inlineStr">
        <is>
          <t>Administración | Fideicomiso de Administración | Medio de Pago</t>
        </is>
      </c>
      <c r="F24" s="117" t="inlineStr">
        <is>
          <t>FIDEICOMISO FUENTE DE PAGO</t>
        </is>
      </c>
      <c r="G24">
        <f>IFERROR(INDEX(LISTAS!$B$5:$B$14,MATCH(F24,LISTAS!$A$5:$A$14,0)),2.58)</f>
        <v/>
      </c>
    </row>
    <row r="25">
      <c r="E25" t="inlineStr">
        <is>
          <t>Administración | Fideicomiso de Administración | Patrimonial</t>
        </is>
      </c>
      <c r="F25" s="117" t="inlineStr">
        <is>
          <t>FIDEICOMISO TESTAMENTARIO / PLANEACIÓN PATRIMONIAL</t>
        </is>
      </c>
      <c r="G25">
        <f>IFERROR(INDEX(LISTAS!$B$5:$B$14,MATCH(F25,LISTAS!$A$5:$A$14,0)),2.58)</f>
        <v/>
      </c>
    </row>
    <row r="26">
      <c r="E26" t="inlineStr">
        <is>
          <t>Administración | Fideicomiso de Administración | Patrimonial Testamentario</t>
        </is>
      </c>
      <c r="F26" s="117" t="inlineStr">
        <is>
          <t>FIDEICOMISO TESTAMENTARIO / PLANEACIÓN PATRIMONIAL</t>
        </is>
      </c>
      <c r="G26">
        <f>IFERROR(INDEX(LISTAS!$B$5:$B$14,MATCH(F26,LISTAS!$A$5:$A$14,0)),2.58)</f>
        <v/>
      </c>
    </row>
    <row r="27">
      <c r="E27" t="inlineStr">
        <is>
          <t>Administración | Fideicomiso de Administración | Patrimonial e Inmobiliario</t>
        </is>
      </c>
      <c r="F27" s="117" t="inlineStr">
        <is>
          <t>FIDEICOMISO DE ADMINISTRACIÓN INMOBILIARIA (DESARROLLO O ARRENDAMIENTO)</t>
        </is>
      </c>
      <c r="G27">
        <f>IFERROR(INDEX(LISTAS!$B$5:$B$14,MATCH(F27,LISTAS!$A$5:$A$14,0)),2.58)</f>
        <v/>
      </c>
    </row>
    <row r="28">
      <c r="E28" t="inlineStr">
        <is>
          <t>Administración | Fideicomiso de Administración | Patrimonial e Inversión</t>
        </is>
      </c>
      <c r="F28" s="117" t="inlineStr">
        <is>
          <t>FIDEICOMISO DE INVERSIÓN</t>
        </is>
      </c>
      <c r="G28">
        <f>IFERROR(INDEX(LISTAS!$B$5:$B$14,MATCH(F28,LISTAS!$A$5:$A$14,0)),2.58)</f>
        <v/>
      </c>
    </row>
    <row r="29">
      <c r="E29" t="inlineStr">
        <is>
          <t>Administración | Fideicomiso de Administración | Patrimonial y Testamentario</t>
        </is>
      </c>
      <c r="F29" s="117" t="inlineStr">
        <is>
          <t>FIDEICOMISO TESTAMENTARIO / PLANEACIÓN PATRIMONIAL</t>
        </is>
      </c>
      <c r="G29">
        <f>IFERROR(INDEX(LISTAS!$B$5:$B$14,MATCH(F29,LISTAS!$A$5:$A$14,0)),2.58)</f>
        <v/>
      </c>
    </row>
    <row r="30">
      <c r="E30" t="inlineStr">
        <is>
          <t>Administración | Fideicomiso de Administración | Patrimonial y Testamentatio</t>
        </is>
      </c>
      <c r="F30" s="117" t="inlineStr">
        <is>
          <t>FIDEICOMISO TESTAMENTARIO / PLANEACIÓN PATRIMONIAL</t>
        </is>
      </c>
      <c r="G30">
        <f>IFERROR(INDEX(LISTAS!$B$5:$B$14,MATCH(F30,LISTAS!$A$5:$A$14,0)),2.58)</f>
        <v/>
      </c>
    </row>
    <row r="31">
      <c r="E31" t="inlineStr">
        <is>
          <t>Administración | Fideicomiso de Administración | Testamentario y Patrimonial</t>
        </is>
      </c>
      <c r="F31" s="117" t="inlineStr">
        <is>
          <t>FIDEICOMISO TESTAMENTARIO / PLANEACIÓN PATRIMONIAL</t>
        </is>
      </c>
      <c r="G31">
        <f>IFERROR(INDEX(LISTAS!$B$5:$B$14,MATCH(F31,LISTAS!$A$5:$A$14,0)),2.58)</f>
        <v/>
      </c>
    </row>
    <row r="32">
      <c r="E32" t="inlineStr">
        <is>
          <t xml:space="preserve">Administración | Fideicomiso de Garantía | </t>
        </is>
      </c>
      <c r="F32" s="117" t="inlineStr">
        <is>
          <t>FIDEICOMISO DE GARANTÍA</t>
        </is>
      </c>
      <c r="G32">
        <f>IFERROR(INDEX(LISTAS!$B$5:$B$14,MATCH(F32,LISTAS!$A$5:$A$14,0)),2.58)</f>
        <v/>
      </c>
    </row>
    <row r="33">
      <c r="E33" t="inlineStr">
        <is>
          <t>Administración | Fideicomiso de Garantía | Fuente de Pago</t>
        </is>
      </c>
      <c r="F33" s="117" t="inlineStr">
        <is>
          <t>FIDEICOMISO FUENTE DE PAGO</t>
        </is>
      </c>
      <c r="G33">
        <f>IFERROR(INDEX(LISTAS!$B$5:$B$14,MATCH(F33,LISTAS!$A$5:$A$14,0)),2.58)</f>
        <v/>
      </c>
    </row>
    <row r="34">
      <c r="E34" t="inlineStr">
        <is>
          <t>Administración | Fideicomiso de Garantía | Garantía</t>
        </is>
      </c>
      <c r="F34" s="117" t="inlineStr">
        <is>
          <t>FIDEICOMISO DE GARANTÍA</t>
        </is>
      </c>
      <c r="G34">
        <f>IFERROR(INDEX(LISTAS!$B$5:$B$14,MATCH(F34,LISTAS!$A$5:$A$14,0)),2.58)</f>
        <v/>
      </c>
    </row>
    <row r="35">
      <c r="E35" t="inlineStr">
        <is>
          <t>Administración | Fideicomiso de Garantía | Garantía - Fuente de Pago</t>
        </is>
      </c>
      <c r="F35" s="117" t="inlineStr">
        <is>
          <t>FIDEICOMISO FUENTE DE PAGO</t>
        </is>
      </c>
      <c r="G35">
        <f>IFERROR(INDEX(LISTAS!$B$5:$B$14,MATCH(F35,LISTAS!$A$5:$A$14,0)),2.58)</f>
        <v/>
      </c>
    </row>
    <row r="36">
      <c r="E36" t="inlineStr">
        <is>
          <t>Administración | Fideicomiso de Garantía | Garantía e Inmobiliario</t>
        </is>
      </c>
      <c r="F36" s="117" t="inlineStr">
        <is>
          <t>FIDEICOMISO DE ADMINISTRACIÓN INMOBILIARIA (DESARROLLO O ARRENDAMIENTO)</t>
        </is>
      </c>
      <c r="G36">
        <f>IFERROR(INDEX(LISTAS!$B$5:$B$14,MATCH(F36,LISTAS!$A$5:$A$14,0)),2.58)</f>
        <v/>
      </c>
    </row>
    <row r="37">
      <c r="E37" t="inlineStr">
        <is>
          <t>Administración | Fideicomiso de Garantía | Inmobiliario</t>
        </is>
      </c>
      <c r="F37" s="117" t="inlineStr">
        <is>
          <t>FIDEICOMISO DE ADMINISTRACIÓN INMOBILIARIA (DESARROLLO O ARRENDAMIENTO)</t>
        </is>
      </c>
      <c r="G37">
        <f>IFERROR(INDEX(LISTAS!$B$5:$B$14,MATCH(F37,LISTAS!$A$5:$A$14,0)),2.58)</f>
        <v/>
      </c>
    </row>
    <row r="38">
      <c r="E38" t="inlineStr">
        <is>
          <t xml:space="preserve">Administración | Fideicomiso de Inversión | </t>
        </is>
      </c>
      <c r="F38" s="117" t="inlineStr">
        <is>
          <t>FIDEICOMISO DE INVERSIÓN</t>
        </is>
      </c>
      <c r="G38">
        <f>IFERROR(INDEX(LISTAS!$B$5:$B$14,MATCH(F38,LISTAS!$A$5:$A$14,0)),2.58)</f>
        <v/>
      </c>
    </row>
    <row r="39">
      <c r="E39" t="inlineStr">
        <is>
          <t>Administración | Fideicomiso de Inversión | Inmobiliario</t>
        </is>
      </c>
      <c r="F39" s="117" t="inlineStr">
        <is>
          <t>FIDEICOMISO DE ADMINISTRACIÓN INMOBILIARIA (DESARROLLO O ARRENDAMIENTO)</t>
        </is>
      </c>
      <c r="G39">
        <f>IFERROR(INDEX(LISTAS!$B$5:$B$14,MATCH(F39,LISTAS!$A$5:$A$14,0)),2.58)</f>
        <v/>
      </c>
    </row>
    <row r="40">
      <c r="E40" t="inlineStr">
        <is>
          <t>Administración | Fideicomiso de Inversión | Inversión</t>
        </is>
      </c>
      <c r="F40" s="117" t="inlineStr">
        <is>
          <t>FIDEICOMISO DE INVERSIÓN</t>
        </is>
      </c>
      <c r="G40">
        <f>IFERROR(INDEX(LISTAS!$B$5:$B$14,MATCH(F40,LISTAS!$A$5:$A$14,0)),2.58)</f>
        <v/>
      </c>
    </row>
    <row r="41">
      <c r="E41" t="inlineStr">
        <is>
          <t xml:space="preserve">Administración | Fuente de Pago | </t>
        </is>
      </c>
      <c r="F41" s="117" t="inlineStr">
        <is>
          <t>FIDEICOMISO FUENTE DE PAGO</t>
        </is>
      </c>
      <c r="G41">
        <f>IFERROR(INDEX(LISTAS!$B$5:$B$14,MATCH(F41,LISTAS!$A$5:$A$14,0)),2.58)</f>
        <v/>
      </c>
    </row>
    <row r="42">
      <c r="E42" t="inlineStr">
        <is>
          <t>Administración | Fuente de Pago | Emisor</t>
        </is>
      </c>
      <c r="F42" s="117" t="inlineStr">
        <is>
          <t>FIDEICOMISO FUENTE DE PAGO</t>
        </is>
      </c>
      <c r="G42">
        <f>IFERROR(INDEX(LISTAS!$B$5:$B$14,MATCH(F42,LISTAS!$A$5:$A$14,0)),2.58)</f>
        <v/>
      </c>
    </row>
    <row r="43">
      <c r="E43" t="inlineStr">
        <is>
          <t>Administración | Fuente de Pago | Fuente de Pago</t>
        </is>
      </c>
      <c r="F43" s="117" t="inlineStr">
        <is>
          <t>FIDEICOMISO FUENTE DE PAGO</t>
        </is>
      </c>
      <c r="G43">
        <f>IFERROR(INDEX(LISTAS!$B$5:$B$14,MATCH(F43,LISTAS!$A$5:$A$14,0)),2.58)</f>
        <v/>
      </c>
    </row>
    <row r="44">
      <c r="E44" t="inlineStr">
        <is>
          <t>Administración | Fuente de Pago | Garantía</t>
        </is>
      </c>
      <c r="F44" s="117" t="inlineStr">
        <is>
          <t>FIDEICOMISO FUENTE DE PAGO</t>
        </is>
      </c>
      <c r="G44">
        <f>IFERROR(INDEX(LISTAS!$B$5:$B$14,MATCH(F44,LISTAS!$A$5:$A$14,0)),2.58)</f>
        <v/>
      </c>
    </row>
    <row r="45">
      <c r="E45" t="inlineStr">
        <is>
          <t>Administración | Fuente de Pago | Garantía - Fuente de Pago</t>
        </is>
      </c>
      <c r="F45" s="117" t="inlineStr">
        <is>
          <t>FIDEICOMISO FUENTE DE PAGO</t>
        </is>
      </c>
      <c r="G45">
        <f>IFERROR(INDEX(LISTAS!$B$5:$B$14,MATCH(F45,LISTAS!$A$5:$A$14,0)),2.58)</f>
        <v/>
      </c>
    </row>
    <row r="46">
      <c r="E46" t="inlineStr">
        <is>
          <t>Administración | Fuente de Pago | Garantía - Fuente de pago</t>
        </is>
      </c>
      <c r="F46" s="117" t="inlineStr">
        <is>
          <t>FIDEICOMISO FUENTE DE PAGO</t>
        </is>
      </c>
      <c r="G46">
        <f>IFERROR(INDEX(LISTAS!$B$5:$B$14,MATCH(F46,LISTAS!$A$5:$A$14,0)),2.58)</f>
        <v/>
      </c>
    </row>
    <row r="47">
      <c r="E47" t="inlineStr">
        <is>
          <t>Administración | Fuente de Pago | Inmobiliario</t>
        </is>
      </c>
      <c r="F47" s="117" t="inlineStr">
        <is>
          <t>FIDEICOMISO DE ADMINISTRACIÓN INMOBILIARIA (DESARROLLO O ARRENDAMIENTO)</t>
        </is>
      </c>
      <c r="G47">
        <f>IFERROR(INDEX(LISTAS!$B$5:$B$14,MATCH(F47,LISTAS!$A$5:$A$14,0)),2.58)</f>
        <v/>
      </c>
    </row>
    <row r="48">
      <c r="E48" t="inlineStr">
        <is>
          <t>Administración | Fuente de Pago | Inversión</t>
        </is>
      </c>
      <c r="F48" s="117" t="inlineStr">
        <is>
          <t>FIDEICOMISO DE INVERSIÓN</t>
        </is>
      </c>
      <c r="G48">
        <f>IFERROR(INDEX(LISTAS!$B$5:$B$14,MATCH(F48,LISTAS!$A$5:$A$14,0)),2.58)</f>
        <v/>
      </c>
    </row>
    <row r="49">
      <c r="E49" t="inlineStr">
        <is>
          <t>Administración | Fuente de Pago | Patrimonial</t>
        </is>
      </c>
      <c r="F49" s="117" t="inlineStr">
        <is>
          <t>FIDEICOMISO FUENTE DE PAGO</t>
        </is>
      </c>
      <c r="G49">
        <f>IFERROR(INDEX(LISTAS!$B$5:$B$14,MATCH(F49,LISTAS!$A$5:$A$14,0)),2.58)</f>
        <v/>
      </c>
    </row>
    <row r="50">
      <c r="E50" t="inlineStr">
        <is>
          <t xml:space="preserve">Administración | Fuente/Alterna de Pago | </t>
        </is>
      </c>
      <c r="F50" s="117" t="inlineStr">
        <is>
          <t>FIDEICOMISO FUENTE DE PAGO</t>
        </is>
      </c>
      <c r="G50">
        <f>IFERROR(INDEX(LISTAS!$B$5:$B$14,MATCH(F50,LISTAS!$A$5:$A$14,0)),2.58)</f>
        <v/>
      </c>
    </row>
    <row r="51">
      <c r="E51" t="inlineStr">
        <is>
          <t>Administración, Garantía y Fuente de Pago | Fideicomiso de Garantía | Inmobiliario</t>
        </is>
      </c>
      <c r="F51" s="117" t="inlineStr">
        <is>
          <t>FIDEICOMISO DE ADMINISTRACIÓN INMOBILIARIA (DESARROLLO O ARRENDAMIENTO)</t>
        </is>
      </c>
      <c r="G51">
        <f>IFERROR(INDEX(LISTAS!$B$5:$B$14,MATCH(F51,LISTAS!$A$5:$A$14,0)),2.58)</f>
        <v/>
      </c>
    </row>
    <row r="52">
      <c r="E52" t="inlineStr">
        <is>
          <t>Administración, Medio de Pago y Garantía | Fideicomiso de Administración | Garantía</t>
        </is>
      </c>
      <c r="F52" s="117" t="inlineStr">
        <is>
          <t>FIDEICOMISO FUENTE DE PAGO</t>
        </is>
      </c>
      <c r="G52">
        <f>IFERROR(INDEX(LISTAS!$B$5:$B$14,MATCH(F52,LISTAS!$A$5:$A$14,0)),2.58)</f>
        <v/>
      </c>
    </row>
    <row r="53">
      <c r="E53" t="inlineStr">
        <is>
          <t>Arrendamiento | Fideicomiso de Administración | Inmobiliario</t>
        </is>
      </c>
      <c r="F53" s="117" t="inlineStr">
        <is>
          <t>FIDEICOMISO DE ADMINISTRACIÓN INMOBILIARIA (DESARROLLO O ARRENDAMIENTO)</t>
        </is>
      </c>
      <c r="G53">
        <f>IFERROR(INDEX(LISTAS!$B$5:$B$14,MATCH(F53,LISTAS!$A$5:$A$14,0)),2.58)</f>
        <v/>
      </c>
    </row>
    <row r="54">
      <c r="E54" t="inlineStr">
        <is>
          <t>Fuente de Pago | Fuente/Alterna de Pago | Garantía</t>
        </is>
      </c>
      <c r="F54" s="117" t="inlineStr">
        <is>
          <t>FIDEICOMISO FUENTE DE PAGO</t>
        </is>
      </c>
      <c r="G54">
        <f>IFERROR(INDEX(LISTAS!$B$5:$B$14,MATCH(F54,LISTAS!$A$5:$A$14,0)),2.58)</f>
        <v/>
      </c>
    </row>
    <row r="55">
      <c r="E55" t="inlineStr">
        <is>
          <t xml:space="preserve">Garantía | Fideicomiso de Administración | </t>
        </is>
      </c>
      <c r="F55" s="117" t="inlineStr">
        <is>
          <t>FIDEICOMISO DE GARANTÍA</t>
        </is>
      </c>
      <c r="G55">
        <f>IFERROR(INDEX(LISTAS!$B$5:$B$14,MATCH(F55,LISTAS!$A$5:$A$14,0)),2.58)</f>
        <v/>
      </c>
    </row>
    <row r="56">
      <c r="E56" t="inlineStr">
        <is>
          <t>Garantía | Fideicomiso de Administración | Garantía</t>
        </is>
      </c>
      <c r="F56" s="117" t="inlineStr">
        <is>
          <t>FIDEICOMISO DE GARANTÍA</t>
        </is>
      </c>
      <c r="G56">
        <f>IFERROR(INDEX(LISTAS!$B$5:$B$14,MATCH(F56,LISTAS!$A$5:$A$14,0)),2.58)</f>
        <v/>
      </c>
    </row>
    <row r="57">
      <c r="E57" t="inlineStr">
        <is>
          <t>Garantía | Fideicomiso de Administración | Inmobiliario</t>
        </is>
      </c>
      <c r="F57" s="117" t="inlineStr">
        <is>
          <t>FIDEICOMISO DE ADMINISTRACIÓN INMOBILIARIA (DESARROLLO O ARRENDAMIENTO)</t>
        </is>
      </c>
      <c r="G57">
        <f>IFERROR(INDEX(LISTAS!$B$5:$B$14,MATCH(F57,LISTAS!$A$5:$A$14,0)),2.58)</f>
        <v/>
      </c>
    </row>
    <row r="58">
      <c r="E58" t="inlineStr">
        <is>
          <t xml:space="preserve">Garantía | Fideicomiso de Garantía | </t>
        </is>
      </c>
      <c r="F58" s="117" t="inlineStr">
        <is>
          <t>FIDEICOMISO DE GARANTÍA</t>
        </is>
      </c>
      <c r="G58">
        <f>IFERROR(INDEX(LISTAS!$B$5:$B$14,MATCH(F58,LISTAS!$A$5:$A$14,0)),2.58)</f>
        <v/>
      </c>
    </row>
    <row r="59">
      <c r="E59" t="inlineStr">
        <is>
          <t xml:space="preserve">Garantía | Fuente de Pago | </t>
        </is>
      </c>
      <c r="F59" s="117" t="inlineStr">
        <is>
          <t>FIDEICOMISO FUENTE DE PAGO</t>
        </is>
      </c>
      <c r="G59">
        <f>IFERROR(INDEX(LISTAS!$B$5:$B$14,MATCH(F59,LISTAS!$A$5:$A$14,0)),2.58)</f>
        <v/>
      </c>
    </row>
    <row r="60">
      <c r="E60" t="inlineStr">
        <is>
          <t>Garantía | Fuente de Pago | Garantía</t>
        </is>
      </c>
      <c r="F60" s="117" t="inlineStr">
        <is>
          <t>FIDEICOMISO FUENTE DE PAGO</t>
        </is>
      </c>
      <c r="G60">
        <f>IFERROR(INDEX(LISTAS!$B$5:$B$14,MATCH(F60,LISTAS!$A$5:$A$14,0)),2.58)</f>
        <v/>
      </c>
    </row>
    <row r="61">
      <c r="E61" t="inlineStr">
        <is>
          <t>Inversión y Administración | Fideicomiso de Inversión | Inmobiliario</t>
        </is>
      </c>
      <c r="F61" s="117" t="inlineStr">
        <is>
          <t>FIDEICOMISO DE ADMINISTRACIÓN INMOBILIARIA (DESARROLLO O ARRENDAMIENTO)</t>
        </is>
      </c>
      <c r="G61">
        <f>IFERROR(INDEX(LISTAS!$B$5:$B$14,MATCH(F61,LISTAS!$A$5:$A$14,0)),2.58)</f>
        <v/>
      </c>
    </row>
    <row r="62">
      <c r="E62" t="inlineStr">
        <is>
          <t xml:space="preserve">Inversión | Fideicomiso de Administración | </t>
        </is>
      </c>
      <c r="F62" s="117" t="inlineStr">
        <is>
          <t>FIDEICOMISO DE INVERSIÓN</t>
        </is>
      </c>
      <c r="G62">
        <f>IFERROR(INDEX(LISTAS!$B$5:$B$14,MATCH(F62,LISTAS!$A$5:$A$14,0)),2.58)</f>
        <v/>
      </c>
    </row>
    <row r="63">
      <c r="E63" t="inlineStr">
        <is>
          <t>Inversión | Fideicomiso de Administración | Inversión</t>
        </is>
      </c>
      <c r="F63" s="117" t="inlineStr">
        <is>
          <t>FIDEICOMISO DE INVERSIÓN</t>
        </is>
      </c>
      <c r="G63">
        <f>IFERROR(INDEX(LISTAS!$B$5:$B$14,MATCH(F63,LISTAS!$A$5:$A$14,0)),2.58)</f>
        <v/>
      </c>
    </row>
    <row r="64">
      <c r="E64" t="inlineStr">
        <is>
          <t xml:space="preserve">Inversión | Fideicomiso de Inversión | </t>
        </is>
      </c>
      <c r="F64" s="117" t="inlineStr">
        <is>
          <t>FIDEICOMISO DE INVERSIÓN</t>
        </is>
      </c>
      <c r="G64">
        <f>IFERROR(INDEX(LISTAS!$B$5:$B$14,MATCH(F64,LISTAS!$A$5:$A$14,0)),2.58)</f>
        <v/>
      </c>
    </row>
    <row r="66">
      <c r="E66" s="116" t="inlineStr">
        <is>
          <t>Si llega un valor nuevo que no está en estas tablas, el Excel lo deja en NO DETERMINADO (2.58): agregue el renglón con su variable. La aplicación lo reconoce sola por palabras clave (inmobiliario, garantía, inversión, desarrollo, arrendamiento…).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  <col width="45" customWidth="1" min="4" max="4"/>
  </cols>
  <sheetData>
    <row r="1">
      <c r="A1" s="94" t="inlineStr">
        <is>
          <t>INVALIDACIONES — se aplican después de calcular el puntaje</t>
        </is>
      </c>
    </row>
    <row r="2">
      <c r="A2" s="95" t="inlineStr">
        <is>
          <t>Prohibitiva: el fideicomiso queda en 500 (no se opera). Alto riesgo: mínimo 291 (ALTO), requiere aprobación de nivel directivo. Aplican si las tiene el fideicomiso o cualquiera de sus integrantes.</t>
        </is>
      </c>
    </row>
    <row r="4">
      <c r="A4" s="96" t="inlineStr">
        <is>
          <t>Clave</t>
        </is>
      </c>
      <c r="B4" s="96" t="inlineStr">
        <is>
          <t>Tipo</t>
        </is>
      </c>
      <c r="C4" s="96" t="inlineStr">
        <is>
          <t>Invalidación</t>
        </is>
      </c>
      <c r="D4" s="96" t="inlineStr">
        <is>
          <t>Fuente / cómo se captura</t>
        </is>
      </c>
    </row>
    <row r="5">
      <c r="A5" s="97" t="inlineStr">
        <is>
          <t>B1</t>
        </is>
      </c>
      <c r="B5" s="97" t="inlineStr">
        <is>
          <t>Prohibitiva</t>
        </is>
      </c>
      <c r="C5" s="97" t="inlineStr">
        <is>
          <t>País en lista negra del GAFI (nacimiento, nacionalidad, domicilio o envío/recepción de transferencias)</t>
        </is>
      </c>
      <c r="D5" s="97" t="inlineStr">
        <is>
          <t>Modelo de clientes del banco (tablas F4–F6, F26)</t>
        </is>
      </c>
    </row>
    <row r="6">
      <c r="A6" s="98" t="inlineStr">
        <is>
          <t>B2</t>
        </is>
      </c>
      <c r="B6" s="98" t="inlineStr">
        <is>
          <t>Prohibitiva</t>
        </is>
      </c>
      <c r="C6" s="98" t="inlineStr">
        <is>
          <t>Actividad económica prohibida</t>
        </is>
      </c>
      <c r="D6" s="98" t="inlineStr">
        <is>
          <t>Catálogo de actividades del banco</t>
        </is>
      </c>
    </row>
    <row r="7">
      <c r="A7" s="97" t="inlineStr">
        <is>
          <t>B3</t>
        </is>
      </c>
      <c r="B7" s="97" t="inlineStr">
        <is>
          <t>Prohibitiva</t>
        </is>
      </c>
      <c r="C7" s="97" t="inlineStr">
        <is>
          <t>Coincidencia confirmada en lista de bloqueados o de sanciones</t>
        </is>
      </c>
      <c r="D7" s="97" t="inlineStr">
        <is>
          <t>Área de Cumplimiento</t>
        </is>
      </c>
    </row>
    <row r="8">
      <c r="A8" s="98" t="inlineStr">
        <is>
          <t>A1</t>
        </is>
      </c>
      <c r="B8" s="98" t="inlineStr">
        <is>
          <t>Alto riesgo</t>
        </is>
      </c>
      <c r="C8" s="98" t="inlineStr">
        <is>
          <t>PEP o familiar directo</t>
        </is>
      </c>
      <c r="D8" s="98" t="inlineStr">
        <is>
          <t>Expediente / modelo del banco</t>
        </is>
      </c>
    </row>
    <row r="9">
      <c r="A9" s="97" t="inlineStr">
        <is>
          <t>A2</t>
        </is>
      </c>
      <c r="B9" s="97" t="inlineStr">
        <is>
          <t>Alto riesgo</t>
        </is>
      </c>
      <c r="C9" s="97" t="inlineStr">
        <is>
          <t>Propietario real o beneficiario controlador no identificado (&gt;25%)</t>
        </is>
      </c>
      <c r="D9" s="97" t="inlineStr">
        <is>
          <t>Expediente</t>
        </is>
      </c>
    </row>
    <row r="10">
      <c r="A10" s="98" t="inlineStr">
        <is>
          <t>A3</t>
        </is>
      </c>
      <c r="B10" s="98" t="inlineStr">
        <is>
          <t>Alto riesgo</t>
        </is>
      </c>
      <c r="C10" s="98" t="inlineStr">
        <is>
          <t>Cliente con reportes previos a la autoridad</t>
        </is>
      </c>
      <c r="D10" s="98" t="inlineStr">
        <is>
          <t>Área de Cumplimiento</t>
        </is>
      </c>
    </row>
    <row r="11">
      <c r="A11" s="97" t="inlineStr">
        <is>
          <t>A4</t>
        </is>
      </c>
      <c r="B11" s="97" t="inlineStr">
        <is>
          <t>Alto riesgo</t>
        </is>
      </c>
      <c r="C11" s="97" t="inlineStr">
        <is>
          <t>Coincidencia en lista de alto riesgo, de precaución o interna (distinta de bloqueados)</t>
        </is>
      </c>
      <c r="D11" s="97" t="inlineStr">
        <is>
          <t>Área de Cumplimiento</t>
        </is>
      </c>
    </row>
    <row r="12">
      <c r="A12" s="98" t="inlineStr">
        <is>
          <t>A5</t>
        </is>
      </c>
      <c r="B12" s="98" t="inlineStr">
        <is>
          <t>Alto riesgo</t>
        </is>
      </c>
      <c r="C12" s="98" t="inlineStr">
        <is>
          <t>País en jurisdicción gris del GAFI</t>
        </is>
      </c>
      <c r="D12" s="98" t="inlineStr">
        <is>
          <t>Modelo de clientes del banco</t>
        </is>
      </c>
    </row>
    <row r="13">
      <c r="A13" s="97" t="inlineStr">
        <is>
          <t>A6</t>
        </is>
      </c>
      <c r="B13" s="97" t="inlineStr">
        <is>
          <t>Alto riesgo</t>
        </is>
      </c>
      <c r="C13" s="97" t="inlineStr">
        <is>
          <t>Actividad económica determinante</t>
        </is>
      </c>
      <c r="D13" s="97" t="inlineStr">
        <is>
          <t>Catálogo de actividades del banco</t>
        </is>
      </c>
    </row>
    <row r="14">
      <c r="A14" s="98" t="inlineStr">
        <is>
          <t>A7</t>
        </is>
      </c>
      <c r="B14" s="98" t="inlineStr">
        <is>
          <t>Alto riesgo</t>
        </is>
      </c>
      <c r="C14" s="98" t="inlineStr">
        <is>
          <t>Entidad auxiliar del crédito (SOFOM, SOFIPO, SOFOL, arrendadora, aseguradora, transmisor, almacén). No aplica a bancos</t>
        </is>
      </c>
      <c r="D14" s="98" t="inlineStr">
        <is>
          <t>Política interna BX+</t>
        </is>
      </c>
    </row>
    <row r="15">
      <c r="A15" s="97" t="inlineStr">
        <is>
          <t>A8</t>
        </is>
      </c>
      <c r="B15" s="97" t="inlineStr">
        <is>
          <t>Alto riesgo</t>
        </is>
      </c>
      <c r="C15" s="97" t="inlineStr">
        <is>
          <t>NUEVA v2.6 · Resultado adverso de la investigación del integrante: noticias negativas, buró legal (litigios activos) o fiscal (créditos fiscales, incumplimientos)</t>
        </is>
      </c>
      <c r="D15" s="97" t="inlineStr">
        <is>
          <t>Captura manual tras la investigación (acuerdo del 8-oct)</t>
        </is>
      </c>
    </row>
    <row r="16">
      <c r="A16" s="98" t="inlineStr">
        <is>
          <t>—</t>
        </is>
      </c>
      <c r="B16" s="98" t="inlineStr">
        <is>
          <t>Eliminada</t>
        </is>
      </c>
      <c r="C16" s="98" t="inlineStr">
        <is>
          <t>Marca «S» del campo de listas de la Base SharePoint (regla 211)</t>
        </is>
      </c>
      <c r="D16" s="98" t="inlineStr">
        <is>
          <t>Se elimina el 8-oct: BX+ no conoce su significado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Y2764"/>
  <sheetViews>
    <sheetView tabSelected="1" zoomScaleNormal="100" workbookViewId="0">
      <pane xSplit="2" ySplit="4" topLeftCell="C121" activePane="bottomRight" state="frozen"/>
      <selection pane="topRight" activeCell="C1" sqref="C1"/>
      <selection pane="bottomLeft" activeCell="A5" sqref="A5"/>
      <selection pane="bottomRight" activeCell="F2698" sqref="F2698"/>
    </sheetView>
  </sheetViews>
  <sheetFormatPr baseColWidth="10" defaultColWidth="8.6328125" defaultRowHeight="14.5"/>
  <cols>
    <col width="10" customWidth="1" min="2" max="2"/>
    <col width="26" customWidth="1" min="3" max="3"/>
    <col width="9" customWidth="1" min="4" max="4"/>
    <col width="16" customWidth="1" min="5" max="5"/>
    <col width="38" customWidth="1" min="6" max="6"/>
    <col width="10" customWidth="1" min="7" max="7"/>
    <col width="12" customWidth="1" min="8" max="10"/>
    <col width="8" customWidth="1" min="11" max="16"/>
    <col width="14" customWidth="1" min="17" max="17"/>
    <col width="11" customWidth="1" min="18" max="18"/>
    <col width="30" customWidth="1" min="19" max="19"/>
    <col width="16" customWidth="1" min="20" max="20"/>
    <col width="24" customWidth="1" min="21" max="21"/>
    <col width="40" customWidth="1" min="22" max="22"/>
    <col width="24" customWidth="1" min="23" max="23"/>
    <col width="44" customWidth="1" min="24" max="24"/>
    <col width="60" customWidth="1" min="25" max="25"/>
  </cols>
  <sheetData>
    <row r="2" ht="95.25" customHeight="1">
      <c r="C2" s="3" t="inlineStr">
        <is>
          <t>CÓMO SE LLENA ESTA HOJA — Es una sola tabla. Use los filtros del renglón 4.
1) Filtre la columna BLOQUE por «A · VEHÍCULO» o «B · INTEGRANTE» según lo que quiera revisar.
2) Filtre la columna ORIGEN por «NUEVA» para ver únicamente lo que estamos proponiendo: son 75 renglones y es lo más importante. Lo demás ya viene del modelo del banco y no cambia.
3) Las dos últimas columnas, en AMARILLO, son suyas: elija de la lista y escriba el nombre o el grupo que debería tener.
Las filas con fondo AZUL son variables nuevas del vehículo. Las de fondo GRIS son las nuevas del participante.</t>
        </is>
      </c>
      <c r="F2" s="4" t="n"/>
    </row>
    <row r="3" ht="15" customHeight="1">
      <c r="B3" t="inlineStr">
        <is>
          <t>TABLA 3. BASE VARIABLES DE FACTORES DE RIESGO CONGRUENTE CON METODOLOGIA</t>
        </is>
      </c>
    </row>
    <row r="4" ht="42.75" customHeight="1">
      <c r="B4" s="5" t="inlineStr">
        <is>
          <t>Columna1</t>
        </is>
      </c>
      <c r="C4" s="5" t="inlineStr">
        <is>
          <t>FACTOR O INDICADOR DE RIESGO</t>
        </is>
      </c>
      <c r="D4" s="5" t="inlineStr">
        <is>
          <t>FACTOR NUM.</t>
        </is>
      </c>
      <c r="E4" s="5" t="inlineStr">
        <is>
          <t>CARACTERISTICA DEL FACTOR O INDICADOR</t>
        </is>
      </c>
      <c r="F4" s="5" t="inlineStr">
        <is>
          <t>VARIABLES DE RIESGO</t>
        </is>
      </c>
      <c r="G4" s="5" t="inlineStr">
        <is>
          <t>CLAVE DEL BANCO
(en su caso)</t>
        </is>
      </c>
      <c r="H4" s="5" t="inlineStr">
        <is>
          <t>PROBABILIDAD DE RIESGO DE LA VARIABLE (MEBR) PF</t>
        </is>
      </c>
      <c r="I4" s="5" t="inlineStr">
        <is>
          <t>PROBABILIDAD DE RIESGO DE LA VARIABLE (MEBR) PM</t>
        </is>
      </c>
      <c r="J4" s="5" t="inlineStr">
        <is>
          <t>MULTIPLICADOR</t>
        </is>
      </c>
      <c r="K4" s="5" t="inlineStr">
        <is>
          <t>PF</t>
        </is>
      </c>
      <c r="L4" s="5" t="inlineStr">
        <is>
          <t>PFAE</t>
        </is>
      </c>
      <c r="M4" s="5" t="inlineStr">
        <is>
          <t>PM</t>
        </is>
      </c>
      <c r="N4" s="5" t="inlineStr">
        <is>
          <t>FID</t>
        </is>
      </c>
      <c r="O4" s="5" t="inlineStr">
        <is>
          <t>MAX</t>
        </is>
      </c>
      <c r="P4" s="5" t="inlineStr">
        <is>
          <t>MIN</t>
        </is>
      </c>
      <c r="Q4" s="5" t="inlineStr">
        <is>
          <t>INVALIDACIONES</t>
        </is>
      </c>
      <c r="R4" s="6" t="inlineStr">
        <is>
          <t>PESO %
(= MULT/100)</t>
        </is>
      </c>
      <c r="S4" s="6" t="inlineStr">
        <is>
          <t>¿APLICA FID?</t>
        </is>
      </c>
      <c r="T4" s="7" t="inlineStr">
        <is>
          <t>BLOQUE</t>
        </is>
      </c>
      <c r="U4" s="7" t="inlineStr">
        <is>
          <t>ORIGEN DE LA VARIABLE</t>
        </is>
      </c>
      <c r="V4" s="7" t="inlineStr">
        <is>
          <t>GRUPO OPERATIVO FID
(solo actividades)</t>
        </is>
      </c>
      <c r="W4" s="8" t="inlineStr">
        <is>
          <t>▸ VALIDACIÓN BX+</t>
        </is>
      </c>
      <c r="X4" s="8" t="inlineStr">
        <is>
          <t>▸ NOMBRE O GRUPO PROPUESTO / COMENTARIO</t>
        </is>
      </c>
      <c r="Y4" s="96" t="inlineStr">
        <is>
          <t>▸ CLAVE O VALOR EN EL SISTEMA DEL BANCO
(cómo llega en el layout de carga)</t>
        </is>
      </c>
    </row>
    <row r="5" ht="15" customHeight="1">
      <c r="C5" t="inlineStr">
        <is>
          <t>PRODUCTO</t>
        </is>
      </c>
      <c r="D5" t="inlineStr">
        <is>
          <t>F1</t>
        </is>
      </c>
      <c r="E5" t="inlineStr">
        <is>
          <t>INHERENTE</t>
        </is>
      </c>
      <c r="F5" t="inlineStr">
        <is>
          <t xml:space="preserve">CUENTA SUELDOS Y SALARIOS CON INTERES </t>
        </is>
      </c>
      <c r="G5" t="n">
        <v>1001</v>
      </c>
      <c r="H5" t="n">
        <v>3</v>
      </c>
      <c r="I5" t="n">
        <v>3</v>
      </c>
      <c r="J5" t="n">
        <v>7</v>
      </c>
      <c r="K5" t="n">
        <v>21</v>
      </c>
      <c r="L5" t="n">
        <v>21</v>
      </c>
      <c r="M5" t="n">
        <v>21</v>
      </c>
      <c r="N5" t="n">
        <v>21</v>
      </c>
      <c r="O5" t="n">
        <v>35</v>
      </c>
      <c r="P5" t="n">
        <v>7</v>
      </c>
      <c r="R5" s="9" t="n">
        <v>0.07000000000000001</v>
      </c>
      <c r="S5" s="10" t="inlineStr">
        <is>
          <t>NO — sustituido por FF1 (tipo de fideicomiso)</t>
        </is>
      </c>
      <c r="T5" s="11" t="n"/>
      <c r="U5" s="11" t="inlineStr">
        <is>
          <t>DEL BANCO (se hereda)</t>
        </is>
      </c>
      <c r="V5" s="11" t="n"/>
      <c r="W5" s="12" t="n"/>
      <c r="X5" s="12" t="n"/>
    </row>
    <row r="6" ht="15" customHeight="1">
      <c r="C6" t="inlineStr">
        <is>
          <t>PRODUCTO</t>
        </is>
      </c>
      <c r="D6" t="inlineStr">
        <is>
          <t>F1</t>
        </is>
      </c>
      <c r="E6" t="inlineStr">
        <is>
          <t>INHERENTE</t>
        </is>
      </c>
      <c r="F6" t="inlineStr">
        <is>
          <t>CUENTA SUELDOS Y SALARIOS SIN INTERES</t>
        </is>
      </c>
      <c r="G6" t="n">
        <v>1002</v>
      </c>
      <c r="H6" t="n">
        <v>3</v>
      </c>
      <c r="I6" t="n">
        <v>3</v>
      </c>
      <c r="J6" t="n">
        <v>7</v>
      </c>
      <c r="K6" t="n">
        <v>21</v>
      </c>
      <c r="L6" t="n">
        <v>21</v>
      </c>
      <c r="M6" t="n">
        <v>21</v>
      </c>
      <c r="N6" t="n">
        <v>21</v>
      </c>
      <c r="O6" t="n">
        <v>35</v>
      </c>
      <c r="P6" t="n">
        <v>7</v>
      </c>
      <c r="R6" s="9" t="n">
        <v>0.07000000000000001</v>
      </c>
      <c r="S6" s="10" t="inlineStr">
        <is>
          <t>NO — sustituido por FF1 (tipo de fideicomiso)</t>
        </is>
      </c>
      <c r="T6" s="11" t="n"/>
      <c r="U6" s="11" t="inlineStr">
        <is>
          <t>DEL BANCO (se hereda)</t>
        </is>
      </c>
      <c r="V6" s="11" t="n"/>
      <c r="W6" s="12" t="n"/>
      <c r="X6" s="12" t="n"/>
    </row>
    <row r="7" ht="15" customHeight="1">
      <c r="C7" t="inlineStr">
        <is>
          <t>PRODUCTO</t>
        </is>
      </c>
      <c r="D7" t="inlineStr">
        <is>
          <t>F1</t>
        </is>
      </c>
      <c r="E7" t="inlineStr">
        <is>
          <t>INHERENTE</t>
        </is>
      </c>
      <c r="F7" t="inlineStr">
        <is>
          <t>CUENTA SIN CHEQUERA CON INTERESES (VERDE)</t>
        </is>
      </c>
      <c r="G7" t="n">
        <v>1003</v>
      </c>
      <c r="H7" t="n">
        <v>3</v>
      </c>
      <c r="I7" t="n">
        <v>3</v>
      </c>
      <c r="J7" t="n">
        <v>7</v>
      </c>
      <c r="K7" t="n">
        <v>21</v>
      </c>
      <c r="L7" t="n">
        <v>21</v>
      </c>
      <c r="M7" t="n">
        <v>21</v>
      </c>
      <c r="N7" t="n">
        <v>21</v>
      </c>
      <c r="O7" t="n">
        <v>35</v>
      </c>
      <c r="P7" t="n">
        <v>7</v>
      </c>
      <c r="R7" s="9" t="n">
        <v>0.07000000000000001</v>
      </c>
      <c r="S7" s="10" t="inlineStr">
        <is>
          <t>NO — sustituido por FF1 (tipo de fideicomiso)</t>
        </is>
      </c>
      <c r="T7" s="11" t="n"/>
      <c r="U7" s="11" t="inlineStr">
        <is>
          <t>DEL BANCO (se hereda)</t>
        </is>
      </c>
      <c r="V7" s="11" t="n"/>
      <c r="W7" s="12" t="n"/>
      <c r="X7" s="12" t="n"/>
    </row>
    <row r="8" ht="15" customHeight="1">
      <c r="C8" t="inlineStr">
        <is>
          <t>PRODUCTO</t>
        </is>
      </c>
      <c r="D8" t="inlineStr">
        <is>
          <t>F1</t>
        </is>
      </c>
      <c r="E8" t="inlineStr">
        <is>
          <t>INHERENTE</t>
        </is>
      </c>
      <c r="F8" t="inlineStr">
        <is>
          <t>CUENTA SIN CHEQUERA SIN INTERESES (VISTA)</t>
        </is>
      </c>
      <c r="G8" t="n">
        <v>1004</v>
      </c>
      <c r="H8" t="n">
        <v>2</v>
      </c>
      <c r="I8" t="n">
        <v>2</v>
      </c>
      <c r="J8" t="n">
        <v>7</v>
      </c>
      <c r="K8" t="n">
        <v>14</v>
      </c>
      <c r="L8" t="n">
        <v>14</v>
      </c>
      <c r="M8" t="n">
        <v>14</v>
      </c>
      <c r="N8" t="n">
        <v>14</v>
      </c>
      <c r="O8" t="n">
        <v>35</v>
      </c>
      <c r="P8" t="n">
        <v>7</v>
      </c>
      <c r="R8" s="9" t="n">
        <v>0.07000000000000001</v>
      </c>
      <c r="S8" s="10" t="inlineStr">
        <is>
          <t>NO — sustituido por FF1 (tipo de fideicomiso)</t>
        </is>
      </c>
      <c r="T8" s="11" t="n"/>
      <c r="U8" s="11" t="inlineStr">
        <is>
          <t>DEL BANCO (se hereda)</t>
        </is>
      </c>
      <c r="V8" s="11" t="n"/>
      <c r="W8" s="12" t="n"/>
      <c r="X8" s="12" t="n"/>
    </row>
    <row r="9" ht="15" customHeight="1">
      <c r="C9" t="inlineStr">
        <is>
          <t>PRODUCTO</t>
        </is>
      </c>
      <c r="D9" t="inlineStr">
        <is>
          <t>F1</t>
        </is>
      </c>
      <c r="E9" t="inlineStr">
        <is>
          <t>INHERENTE</t>
        </is>
      </c>
      <c r="F9" t="inlineStr">
        <is>
          <t>CUENTA CON CHEQUERA (BÁSICA CON Y SIN INTERES)</t>
        </is>
      </c>
      <c r="G9" t="n">
        <v>1007</v>
      </c>
      <c r="H9" t="n">
        <v>3</v>
      </c>
      <c r="I9" t="n">
        <v>3</v>
      </c>
      <c r="J9" t="n">
        <v>7</v>
      </c>
      <c r="K9" t="n">
        <v>21</v>
      </c>
      <c r="L9" t="n">
        <v>21</v>
      </c>
      <c r="M9" t="n">
        <v>21</v>
      </c>
      <c r="N9" t="n">
        <v>21</v>
      </c>
      <c r="O9" t="n">
        <v>35</v>
      </c>
      <c r="P9" t="n">
        <v>7</v>
      </c>
      <c r="R9" s="9" t="n">
        <v>0.07000000000000001</v>
      </c>
      <c r="S9" s="10" t="inlineStr">
        <is>
          <t>NO — sustituido por FF1 (tipo de fideicomiso)</t>
        </is>
      </c>
      <c r="T9" s="11" t="n"/>
      <c r="U9" s="11" t="inlineStr">
        <is>
          <t>DEL BANCO (se hereda)</t>
        </is>
      </c>
      <c r="V9" s="11" t="n"/>
      <c r="W9" s="12" t="n"/>
      <c r="X9" s="12" t="n"/>
    </row>
    <row r="10" ht="15" customHeight="1">
      <c r="C10" t="inlineStr">
        <is>
          <t>PRODUCTO</t>
        </is>
      </c>
      <c r="D10" t="inlineStr">
        <is>
          <t>F1</t>
        </is>
      </c>
      <c r="E10" t="inlineStr">
        <is>
          <t>INHERENTE</t>
        </is>
      </c>
      <c r="F10" t="inlineStr">
        <is>
          <t>CTA. CON CHQ CON INT - SALARIOS</t>
        </is>
      </c>
      <c r="G10" t="n">
        <v>1008</v>
      </c>
      <c r="H10" t="n">
        <v>3</v>
      </c>
      <c r="I10" t="n">
        <v>3</v>
      </c>
      <c r="J10" t="n">
        <v>7</v>
      </c>
      <c r="K10" t="n">
        <v>21</v>
      </c>
      <c r="L10" t="n">
        <v>21</v>
      </c>
      <c r="M10" t="n">
        <v>21</v>
      </c>
      <c r="N10" t="n">
        <v>21</v>
      </c>
      <c r="O10" t="n">
        <v>35</v>
      </c>
      <c r="P10" t="n">
        <v>7</v>
      </c>
      <c r="R10" s="9" t="n">
        <v>0.07000000000000001</v>
      </c>
      <c r="S10" s="10" t="inlineStr">
        <is>
          <t>NO — sustituido por FF1 (tipo de fideicomiso)</t>
        </is>
      </c>
      <c r="T10" s="11" t="n"/>
      <c r="U10" s="11" t="inlineStr">
        <is>
          <t>DEL BANCO (se hereda)</t>
        </is>
      </c>
      <c r="V10" s="11" t="n"/>
      <c r="W10" s="12" t="n"/>
      <c r="X10" s="12" t="n"/>
    </row>
    <row r="11" ht="15" customHeight="1">
      <c r="C11" t="inlineStr">
        <is>
          <t>PRODUCTO</t>
        </is>
      </c>
      <c r="D11" t="inlineStr">
        <is>
          <t>F1</t>
        </is>
      </c>
      <c r="E11" t="inlineStr">
        <is>
          <t>INHERENTE</t>
        </is>
      </c>
      <c r="F11" t="inlineStr">
        <is>
          <t>CTA CON INTERESES 360</t>
        </is>
      </c>
      <c r="G11" t="n">
        <v>1010</v>
      </c>
      <c r="H11" t="n">
        <v>3</v>
      </c>
      <c r="I11" t="n">
        <v>3</v>
      </c>
      <c r="J11" t="n">
        <v>7</v>
      </c>
      <c r="K11" t="n">
        <v>21</v>
      </c>
      <c r="L11" t="n">
        <v>21</v>
      </c>
      <c r="M11" t="n">
        <v>21</v>
      </c>
      <c r="N11" t="n">
        <v>21</v>
      </c>
      <c r="O11" t="n">
        <v>35</v>
      </c>
      <c r="P11" t="n">
        <v>7</v>
      </c>
      <c r="R11" s="9" t="n">
        <v>0.07000000000000001</v>
      </c>
      <c r="S11" s="10" t="inlineStr">
        <is>
          <t>NO — sustituido por FF1 (tipo de fideicomiso)</t>
        </is>
      </c>
      <c r="T11" s="11" t="n"/>
      <c r="U11" s="11" t="inlineStr">
        <is>
          <t>DEL BANCO (se hereda)</t>
        </is>
      </c>
      <c r="V11" s="11" t="n"/>
      <c r="W11" s="12" t="n"/>
      <c r="X11" s="12" t="n"/>
    </row>
    <row r="12" ht="15" customHeight="1">
      <c r="C12" t="inlineStr">
        <is>
          <t>PRODUCTO</t>
        </is>
      </c>
      <c r="D12" t="inlineStr">
        <is>
          <t>F1</t>
        </is>
      </c>
      <c r="E12" t="inlineStr">
        <is>
          <t>INHERENTE</t>
        </is>
      </c>
      <c r="F12" t="inlineStr">
        <is>
          <t>CUENTA BX+ BENEFICIOS PF/PFAE</t>
        </is>
      </c>
      <c r="G12" t="n">
        <v>1013</v>
      </c>
      <c r="H12" t="n">
        <v>3</v>
      </c>
      <c r="I12" t="n">
        <v>3</v>
      </c>
      <c r="J12" t="n">
        <v>7</v>
      </c>
      <c r="K12" t="n">
        <v>21</v>
      </c>
      <c r="L12" t="n">
        <v>21</v>
      </c>
      <c r="M12" t="n">
        <v>21</v>
      </c>
      <c r="N12" t="n">
        <v>21</v>
      </c>
      <c r="O12" t="n">
        <v>35</v>
      </c>
      <c r="P12" t="n">
        <v>7</v>
      </c>
      <c r="R12" s="9" t="n">
        <v>0.07000000000000001</v>
      </c>
      <c r="S12" s="10" t="inlineStr">
        <is>
          <t>NO — sustituido por FF1 (tipo de fideicomiso)</t>
        </is>
      </c>
      <c r="T12" s="11" t="n"/>
      <c r="U12" s="11" t="inlineStr">
        <is>
          <t>DEL BANCO (se hereda)</t>
        </is>
      </c>
      <c r="V12" s="11" t="n"/>
      <c r="W12" s="12" t="n"/>
      <c r="X12" s="12" t="n"/>
    </row>
    <row r="13" ht="15" customHeight="1">
      <c r="C13" t="inlineStr">
        <is>
          <t>PRODUCTO</t>
        </is>
      </c>
      <c r="D13" t="inlineStr">
        <is>
          <t>F1</t>
        </is>
      </c>
      <c r="E13" t="inlineStr">
        <is>
          <t>INHERENTE</t>
        </is>
      </c>
      <c r="F13" t="inlineStr">
        <is>
          <t>CUENTA BX+ SERVICIOS PF/FAE</t>
        </is>
      </c>
      <c r="G13" t="n">
        <v>1014</v>
      </c>
      <c r="H13" t="n">
        <v>3</v>
      </c>
      <c r="I13" t="n">
        <v>3</v>
      </c>
      <c r="J13" t="n">
        <v>7</v>
      </c>
      <c r="K13" t="n">
        <v>21</v>
      </c>
      <c r="L13" t="n">
        <v>21</v>
      </c>
      <c r="M13" t="n">
        <v>21</v>
      </c>
      <c r="N13" t="n">
        <v>21</v>
      </c>
      <c r="O13" t="n">
        <v>35</v>
      </c>
      <c r="P13" t="n">
        <v>7</v>
      </c>
      <c r="R13" s="9" t="n">
        <v>0.07000000000000001</v>
      </c>
      <c r="S13" s="10" t="inlineStr">
        <is>
          <t>NO — sustituido por FF1 (tipo de fideicomiso)</t>
        </is>
      </c>
      <c r="T13" s="11" t="n"/>
      <c r="U13" s="11" t="inlineStr">
        <is>
          <t>DEL BANCO (se hereda)</t>
        </is>
      </c>
      <c r="V13" s="11" t="n"/>
      <c r="W13" s="12" t="n"/>
      <c r="X13" s="12" t="n"/>
    </row>
    <row r="14" ht="15" customHeight="1">
      <c r="C14" t="inlineStr">
        <is>
          <t>PRODUCTO</t>
        </is>
      </c>
      <c r="D14" t="inlineStr">
        <is>
          <t>F1</t>
        </is>
      </c>
      <c r="E14" t="inlineStr">
        <is>
          <t>INHERENTE</t>
        </is>
      </c>
      <c r="F14" t="inlineStr">
        <is>
          <t>CUENTA BX+ USD PF (VISTA)</t>
        </is>
      </c>
      <c r="G14" t="n">
        <v>1015</v>
      </c>
      <c r="H14" t="n">
        <v>2</v>
      </c>
      <c r="I14" t="n">
        <v>2</v>
      </c>
      <c r="J14" t="n">
        <v>7</v>
      </c>
      <c r="K14" t="n">
        <v>14</v>
      </c>
      <c r="L14" t="n">
        <v>14</v>
      </c>
      <c r="M14" t="n">
        <v>14</v>
      </c>
      <c r="N14" t="n">
        <v>14</v>
      </c>
      <c r="O14" t="n">
        <v>35</v>
      </c>
      <c r="P14" t="n">
        <v>7</v>
      </c>
      <c r="R14" s="9" t="n">
        <v>0.07000000000000001</v>
      </c>
      <c r="S14" s="10" t="inlineStr">
        <is>
          <t>NO — sustituido por FF1 (tipo de fideicomiso)</t>
        </is>
      </c>
      <c r="T14" s="11" t="n"/>
      <c r="U14" s="11" t="inlineStr">
        <is>
          <t>DEL BANCO (se hereda)</t>
        </is>
      </c>
      <c r="V14" s="11" t="n"/>
      <c r="W14" s="12" t="n"/>
      <c r="X14" s="12" t="n"/>
    </row>
    <row r="15" ht="15" customHeight="1">
      <c r="C15" t="inlineStr">
        <is>
          <t>PRODUCTO</t>
        </is>
      </c>
      <c r="D15" t="inlineStr">
        <is>
          <t>F1</t>
        </is>
      </c>
      <c r="E15" t="inlineStr">
        <is>
          <t>INHERENTE</t>
        </is>
      </c>
      <c r="F15" t="inlineStr">
        <is>
          <t>CUENTA BX+ EMPRESAS PM/FID</t>
        </is>
      </c>
      <c r="G15" t="n">
        <v>1016</v>
      </c>
      <c r="H15" t="n">
        <v>3</v>
      </c>
      <c r="I15" t="n">
        <v>3</v>
      </c>
      <c r="J15" t="n">
        <v>7</v>
      </c>
      <c r="K15" t="n">
        <v>21</v>
      </c>
      <c r="L15" t="n">
        <v>21</v>
      </c>
      <c r="M15" t="n">
        <v>21</v>
      </c>
      <c r="N15" t="n">
        <v>21</v>
      </c>
      <c r="O15" t="n">
        <v>35</v>
      </c>
      <c r="P15" t="n">
        <v>7</v>
      </c>
      <c r="R15" s="9" t="n">
        <v>0.07000000000000001</v>
      </c>
      <c r="S15" s="10" t="inlineStr">
        <is>
          <t>NO — sustituido por FF1 (tipo de fideicomiso)</t>
        </is>
      </c>
      <c r="T15" s="11" t="n"/>
      <c r="U15" s="11" t="inlineStr">
        <is>
          <t>DEL BANCO (se hereda)</t>
        </is>
      </c>
      <c r="V15" s="11" t="n"/>
      <c r="W15" s="12" t="n"/>
      <c r="X15" s="12" t="n"/>
    </row>
    <row r="16" ht="15" customHeight="1">
      <c r="C16" t="inlineStr">
        <is>
          <t>PRODUCTO</t>
        </is>
      </c>
      <c r="D16" t="inlineStr">
        <is>
          <t>F1</t>
        </is>
      </c>
      <c r="E16" t="inlineStr">
        <is>
          <t>INHERENTE</t>
        </is>
      </c>
      <c r="F16" t="inlineStr">
        <is>
          <t>CUENTA BX+ EMPRESAS USD PM/FID</t>
        </is>
      </c>
      <c r="G16" t="n">
        <v>1017</v>
      </c>
      <c r="H16" t="n">
        <v>3</v>
      </c>
      <c r="I16" t="n">
        <v>3</v>
      </c>
      <c r="J16" t="n">
        <v>7</v>
      </c>
      <c r="K16" t="n">
        <v>21</v>
      </c>
      <c r="L16" t="n">
        <v>21</v>
      </c>
      <c r="M16" t="n">
        <v>21</v>
      </c>
      <c r="N16" t="n">
        <v>21</v>
      </c>
      <c r="O16" t="n">
        <v>35</v>
      </c>
      <c r="P16" t="n">
        <v>7</v>
      </c>
      <c r="R16" s="9" t="n">
        <v>0.07000000000000001</v>
      </c>
      <c r="S16" s="10" t="inlineStr">
        <is>
          <t>NO — sustituido por FF1 (tipo de fideicomiso)</t>
        </is>
      </c>
      <c r="T16" s="11" t="n"/>
      <c r="U16" s="11" t="inlineStr">
        <is>
          <t>DEL BANCO (se hereda)</t>
        </is>
      </c>
      <c r="V16" s="11" t="n"/>
      <c r="W16" s="12" t="n"/>
      <c r="X16" s="12" t="n"/>
    </row>
    <row r="17" ht="15" customHeight="1">
      <c r="C17" t="inlineStr">
        <is>
          <t>PRODUCTO</t>
        </is>
      </c>
      <c r="D17" t="inlineStr">
        <is>
          <t>F1</t>
        </is>
      </c>
      <c r="E17" t="inlineStr">
        <is>
          <t>INHERENTE</t>
        </is>
      </c>
      <c r="F17" t="inlineStr">
        <is>
          <t xml:space="preserve">CUENTA BX+ CORPORATIVA PM/FID </t>
        </is>
      </c>
      <c r="G17" t="n">
        <v>1018</v>
      </c>
      <c r="H17" t="n">
        <v>3</v>
      </c>
      <c r="I17" t="n">
        <v>3</v>
      </c>
      <c r="J17" t="n">
        <v>7</v>
      </c>
      <c r="K17" t="n">
        <v>21</v>
      </c>
      <c r="L17" t="n">
        <v>21</v>
      </c>
      <c r="M17" t="n">
        <v>21</v>
      </c>
      <c r="N17" t="n">
        <v>21</v>
      </c>
      <c r="O17" t="n">
        <v>35</v>
      </c>
      <c r="P17" t="n">
        <v>7</v>
      </c>
      <c r="R17" s="9" t="n">
        <v>0.07000000000000001</v>
      </c>
      <c r="S17" s="10" t="inlineStr">
        <is>
          <t>NO — sustituido por FF1 (tipo de fideicomiso)</t>
        </is>
      </c>
      <c r="T17" s="11" t="n"/>
      <c r="U17" s="11" t="inlineStr">
        <is>
          <t>DEL BANCO (se hereda)</t>
        </is>
      </c>
      <c r="V17" s="11" t="n"/>
      <c r="W17" s="12" t="n"/>
      <c r="X17" s="12" t="n"/>
    </row>
    <row r="18" ht="15" customHeight="1">
      <c r="C18" t="inlineStr">
        <is>
          <t>PRODUCTO</t>
        </is>
      </c>
      <c r="D18" t="inlineStr">
        <is>
          <t>F1</t>
        </is>
      </c>
      <c r="E18" t="inlineStr">
        <is>
          <t>INHERENTE</t>
        </is>
      </c>
      <c r="F18" t="inlineStr">
        <is>
          <t>CUENTA BENEFICIOS PUBLICO EN GRAL</t>
        </is>
      </c>
      <c r="G18" t="n">
        <v>1019</v>
      </c>
      <c r="H18" t="n">
        <v>3</v>
      </c>
      <c r="I18" t="n">
        <v>3</v>
      </c>
      <c r="J18" t="n">
        <v>7</v>
      </c>
      <c r="K18" t="n">
        <v>21</v>
      </c>
      <c r="L18" t="n">
        <v>21</v>
      </c>
      <c r="M18" t="n">
        <v>21</v>
      </c>
      <c r="N18" t="n">
        <v>21</v>
      </c>
      <c r="O18" t="n">
        <v>35</v>
      </c>
      <c r="P18" t="n">
        <v>7</v>
      </c>
      <c r="R18" s="9" t="n">
        <v>0.07000000000000001</v>
      </c>
      <c r="S18" s="10" t="inlineStr">
        <is>
          <t>NO — sustituido por FF1 (tipo de fideicomiso)</t>
        </is>
      </c>
      <c r="T18" s="11" t="n"/>
      <c r="U18" s="11" t="inlineStr">
        <is>
          <t>DEL BANCO (se hereda)</t>
        </is>
      </c>
      <c r="V18" s="11" t="n"/>
      <c r="W18" s="12" t="n"/>
      <c r="X18" s="12" t="n"/>
    </row>
    <row r="19" ht="15" customHeight="1">
      <c r="C19" t="inlineStr">
        <is>
          <t>PRODUCTO</t>
        </is>
      </c>
      <c r="D19" t="inlineStr">
        <is>
          <t>F1</t>
        </is>
      </c>
      <c r="E19" t="inlineStr">
        <is>
          <t>INHERENTE</t>
        </is>
      </c>
      <c r="F19" t="inlineStr">
        <is>
          <t>CUENTA GARANTIA PREMIUM 25</t>
        </is>
      </c>
      <c r="G19" t="n">
        <v>1020</v>
      </c>
      <c r="H19" t="n">
        <v>2</v>
      </c>
      <c r="I19" t="n">
        <v>2</v>
      </c>
      <c r="J19" t="n">
        <v>7</v>
      </c>
      <c r="K19" t="n">
        <v>14</v>
      </c>
      <c r="L19" t="n">
        <v>14</v>
      </c>
      <c r="M19" t="n">
        <v>14</v>
      </c>
      <c r="N19" t="n">
        <v>14</v>
      </c>
      <c r="O19" t="n">
        <v>35</v>
      </c>
      <c r="P19" t="n">
        <v>7</v>
      </c>
      <c r="R19" s="9" t="n">
        <v>0.07000000000000001</v>
      </c>
      <c r="S19" s="10" t="inlineStr">
        <is>
          <t>NO — sustituido por FF1 (tipo de fideicomiso)</t>
        </is>
      </c>
      <c r="T19" s="11" t="n"/>
      <c r="U19" s="11" t="inlineStr">
        <is>
          <t>DEL BANCO (se hereda)</t>
        </is>
      </c>
      <c r="V19" s="11" t="n"/>
      <c r="W19" s="12" t="n"/>
      <c r="X19" s="12" t="n"/>
    </row>
    <row r="20" ht="15" customHeight="1">
      <c r="C20" t="inlineStr">
        <is>
          <t>PRODUCTO</t>
        </is>
      </c>
      <c r="D20" t="inlineStr">
        <is>
          <t>F1</t>
        </is>
      </c>
      <c r="E20" t="inlineStr">
        <is>
          <t>INHERENTE</t>
        </is>
      </c>
      <c r="F20" t="inlineStr">
        <is>
          <t>CUENTA GARANTIA PREMIUM 50</t>
        </is>
      </c>
      <c r="G20" t="n">
        <v>1021</v>
      </c>
      <c r="H20" t="n">
        <v>2</v>
      </c>
      <c r="I20" t="n">
        <v>2</v>
      </c>
      <c r="J20" t="n">
        <v>7</v>
      </c>
      <c r="K20" t="n">
        <v>14</v>
      </c>
      <c r="L20" t="n">
        <v>14</v>
      </c>
      <c r="M20" t="n">
        <v>14</v>
      </c>
      <c r="N20" t="n">
        <v>14</v>
      </c>
      <c r="O20" t="n">
        <v>35</v>
      </c>
      <c r="P20" t="n">
        <v>7</v>
      </c>
      <c r="R20" s="9" t="n">
        <v>0.07000000000000001</v>
      </c>
      <c r="S20" s="10" t="inlineStr">
        <is>
          <t>NO — sustituido por FF1 (tipo de fideicomiso)</t>
        </is>
      </c>
      <c r="T20" s="11" t="n"/>
      <c r="U20" s="11" t="inlineStr">
        <is>
          <t>DEL BANCO (se hereda)</t>
        </is>
      </c>
      <c r="V20" s="11" t="n"/>
      <c r="W20" s="12" t="n"/>
      <c r="X20" s="12" t="n"/>
    </row>
    <row r="21" ht="15" customHeight="1">
      <c r="C21" t="inlineStr">
        <is>
          <t>PRODUCTO</t>
        </is>
      </c>
      <c r="D21" t="inlineStr">
        <is>
          <t>F1</t>
        </is>
      </c>
      <c r="E21" t="inlineStr">
        <is>
          <t>INHERENTE</t>
        </is>
      </c>
      <c r="F21" t="inlineStr">
        <is>
          <t>CUENTA BX+ DEPOSITO EN GARANTIA</t>
        </is>
      </c>
      <c r="G21" t="n">
        <v>1022</v>
      </c>
      <c r="H21" t="n">
        <v>2</v>
      </c>
      <c r="I21" t="n">
        <v>2</v>
      </c>
      <c r="J21" t="n">
        <v>7</v>
      </c>
      <c r="K21" t="n">
        <v>14</v>
      </c>
      <c r="L21" t="n">
        <v>14</v>
      </c>
      <c r="M21" t="n">
        <v>14</v>
      </c>
      <c r="N21" t="n">
        <v>14</v>
      </c>
      <c r="O21" t="n">
        <v>35</v>
      </c>
      <c r="P21" t="n">
        <v>7</v>
      </c>
      <c r="R21" s="9" t="n">
        <v>0.07000000000000001</v>
      </c>
      <c r="S21" s="10" t="inlineStr">
        <is>
          <t>NO — sustituido por FF1 (tipo de fideicomiso)</t>
        </is>
      </c>
      <c r="T21" s="11" t="n"/>
      <c r="U21" s="11" t="inlineStr">
        <is>
          <t>DEL BANCO (se hereda)</t>
        </is>
      </c>
      <c r="V21" s="11" t="n"/>
      <c r="W21" s="12" t="n"/>
      <c r="X21" s="12" t="n"/>
    </row>
    <row r="22" ht="15" customHeight="1">
      <c r="C22" t="inlineStr">
        <is>
          <t>PRODUCTO</t>
        </is>
      </c>
      <c r="D22" t="inlineStr">
        <is>
          <t>F1</t>
        </is>
      </c>
      <c r="E22" t="inlineStr">
        <is>
          <t>INHERENTE</t>
        </is>
      </c>
      <c r="F22" t="inlineStr">
        <is>
          <t>CUENTA BX+ EMPRESA PM/PFAE S/INT</t>
        </is>
      </c>
      <c r="G22" t="n">
        <v>1023</v>
      </c>
      <c r="H22" t="n">
        <v>3</v>
      </c>
      <c r="I22" t="n">
        <v>3</v>
      </c>
      <c r="J22" t="n">
        <v>7</v>
      </c>
      <c r="K22" t="n">
        <v>21</v>
      </c>
      <c r="L22" t="n">
        <v>21</v>
      </c>
      <c r="M22" t="n">
        <v>21</v>
      </c>
      <c r="N22" t="n">
        <v>21</v>
      </c>
      <c r="O22" t="n">
        <v>35</v>
      </c>
      <c r="P22" t="n">
        <v>7</v>
      </c>
      <c r="R22" s="9" t="n">
        <v>0.07000000000000001</v>
      </c>
      <c r="S22" s="10" t="inlineStr">
        <is>
          <t>NO — sustituido por FF1 (tipo de fideicomiso)</t>
        </is>
      </c>
      <c r="T22" s="11" t="n"/>
      <c r="U22" s="11" t="inlineStr">
        <is>
          <t>DEL BANCO (se hereda)</t>
        </is>
      </c>
      <c r="V22" s="11" t="n"/>
      <c r="W22" s="12" t="n"/>
      <c r="X22" s="12" t="n"/>
    </row>
    <row r="23" ht="15" customHeight="1">
      <c r="C23" t="inlineStr">
        <is>
          <t>PRODUCTO</t>
        </is>
      </c>
      <c r="D23" t="inlineStr">
        <is>
          <t>F1</t>
        </is>
      </c>
      <c r="E23" t="inlineStr">
        <is>
          <t>INHERENTE</t>
        </is>
      </c>
      <c r="F23" t="inlineStr">
        <is>
          <t>INVERSIÓN EMPRESARIAL BX+</t>
        </is>
      </c>
      <c r="G23" t="n">
        <v>1024</v>
      </c>
      <c r="H23" t="n">
        <v>2</v>
      </c>
      <c r="I23" t="n">
        <v>2</v>
      </c>
      <c r="J23" t="n">
        <v>7</v>
      </c>
      <c r="K23" t="n">
        <v>14</v>
      </c>
      <c r="L23" t="n">
        <v>14</v>
      </c>
      <c r="M23" t="n">
        <v>14</v>
      </c>
      <c r="N23" t="n">
        <v>14</v>
      </c>
      <c r="O23" t="n">
        <v>35</v>
      </c>
      <c r="P23" t="n">
        <v>7</v>
      </c>
      <c r="R23" s="9" t="n">
        <v>0.07000000000000001</v>
      </c>
      <c r="S23" s="10" t="inlineStr">
        <is>
          <t>NO — sustituido por FF1 (tipo de fideicomiso)</t>
        </is>
      </c>
      <c r="T23" s="11" t="n"/>
      <c r="U23" s="11" t="inlineStr">
        <is>
          <t>DEL BANCO (se hereda)</t>
        </is>
      </c>
      <c r="V23" s="11" t="n"/>
      <c r="W23" s="12" t="n"/>
      <c r="X23" s="12" t="n"/>
    </row>
    <row r="24" ht="15" customHeight="1">
      <c r="C24" t="inlineStr">
        <is>
          <t>PRODUCTO</t>
        </is>
      </c>
      <c r="D24" t="inlineStr">
        <is>
          <t>F1</t>
        </is>
      </c>
      <c r="E24" t="inlineStr">
        <is>
          <t>INHERENTE</t>
        </is>
      </c>
      <c r="F24" t="inlineStr">
        <is>
          <t>CTA DE GARANTIA</t>
        </is>
      </c>
      <c r="G24" t="n">
        <v>1025</v>
      </c>
      <c r="H24" t="n">
        <v>2</v>
      </c>
      <c r="I24" t="n">
        <v>2</v>
      </c>
      <c r="J24" t="n">
        <v>7</v>
      </c>
      <c r="K24" t="n">
        <v>14</v>
      </c>
      <c r="L24" t="n">
        <v>14</v>
      </c>
      <c r="M24" t="n">
        <v>14</v>
      </c>
      <c r="N24" t="n">
        <v>14</v>
      </c>
      <c r="O24" t="n">
        <v>35</v>
      </c>
      <c r="P24" t="n">
        <v>7</v>
      </c>
      <c r="R24" s="9" t="n">
        <v>0.07000000000000001</v>
      </c>
      <c r="S24" s="10" t="inlineStr">
        <is>
          <t>NO — sustituido por FF1 (tipo de fideicomiso)</t>
        </is>
      </c>
      <c r="T24" s="11" t="n"/>
      <c r="U24" s="11" t="inlineStr">
        <is>
          <t>DEL BANCO (se hereda)</t>
        </is>
      </c>
      <c r="V24" s="11" t="n"/>
      <c r="W24" s="12" t="n"/>
      <c r="X24" s="12" t="n"/>
    </row>
    <row r="25" ht="15" customHeight="1">
      <c r="C25" t="inlineStr">
        <is>
          <t>PRODUCTO</t>
        </is>
      </c>
      <c r="D25" t="inlineStr">
        <is>
          <t>F1</t>
        </is>
      </c>
      <c r="E25" t="inlineStr">
        <is>
          <t>INHERENTE</t>
        </is>
      </c>
      <c r="F25" t="inlineStr">
        <is>
          <t>CUENTA VERDE</t>
        </is>
      </c>
      <c r="G25" t="n">
        <v>1026</v>
      </c>
      <c r="H25" t="n">
        <v>2</v>
      </c>
      <c r="I25" t="n">
        <v>2</v>
      </c>
      <c r="J25" t="n">
        <v>7</v>
      </c>
      <c r="K25" t="n">
        <v>14</v>
      </c>
      <c r="L25" t="n">
        <v>14</v>
      </c>
      <c r="M25" t="n">
        <v>14</v>
      </c>
      <c r="N25" t="n">
        <v>14</v>
      </c>
      <c r="O25" t="n">
        <v>35</v>
      </c>
      <c r="P25" t="n">
        <v>7</v>
      </c>
      <c r="R25" s="9" t="n">
        <v>0.07000000000000001</v>
      </c>
      <c r="S25" s="10" t="inlineStr">
        <is>
          <t>NO — sustituido por FF1 (tipo de fideicomiso)</t>
        </is>
      </c>
      <c r="T25" s="11" t="n"/>
      <c r="U25" s="11" t="inlineStr">
        <is>
          <t>DEL BANCO (se hereda)</t>
        </is>
      </c>
      <c r="V25" s="11" t="n"/>
      <c r="W25" s="12" t="n"/>
      <c r="X25" s="12" t="n"/>
    </row>
    <row r="26" ht="15" customHeight="1">
      <c r="C26" t="inlineStr">
        <is>
          <t>PRODUCTO</t>
        </is>
      </c>
      <c r="D26" t="inlineStr">
        <is>
          <t>F1</t>
        </is>
      </c>
      <c r="E26" t="inlineStr">
        <is>
          <t>INHERENTE</t>
        </is>
      </c>
      <c r="F26" t="inlineStr">
        <is>
          <t>BX+ EMPRESA CAMBIOS DOLARES</t>
        </is>
      </c>
      <c r="G26" t="n">
        <v>1027</v>
      </c>
      <c r="H26" t="n">
        <v>2</v>
      </c>
      <c r="I26" t="n">
        <v>2</v>
      </c>
      <c r="J26" t="n">
        <v>7</v>
      </c>
      <c r="K26" t="n">
        <v>14</v>
      </c>
      <c r="L26" t="n">
        <v>14</v>
      </c>
      <c r="M26" t="n">
        <v>14</v>
      </c>
      <c r="N26" t="n">
        <v>14</v>
      </c>
      <c r="O26" t="n">
        <v>35</v>
      </c>
      <c r="P26" t="n">
        <v>7</v>
      </c>
      <c r="R26" s="9" t="n">
        <v>0.07000000000000001</v>
      </c>
      <c r="S26" s="10" t="inlineStr">
        <is>
          <t>NO — sustituido por FF1 (tipo de fideicomiso)</t>
        </is>
      </c>
      <c r="T26" s="11" t="n"/>
      <c r="U26" s="11" t="inlineStr">
        <is>
          <t>DEL BANCO (se hereda)</t>
        </is>
      </c>
      <c r="V26" s="11" t="n"/>
      <c r="W26" s="12" t="n"/>
      <c r="X26" s="12" t="n"/>
    </row>
    <row r="27" ht="15" customHeight="1">
      <c r="C27" t="inlineStr">
        <is>
          <t>PRODUCTO</t>
        </is>
      </c>
      <c r="D27" t="inlineStr">
        <is>
          <t>F1</t>
        </is>
      </c>
      <c r="E27" t="inlineStr">
        <is>
          <t>INHERENTE</t>
        </is>
      </c>
      <c r="F27" t="inlineStr">
        <is>
          <t>CUENTA VERDE EMPLEADOS</t>
        </is>
      </c>
      <c r="G27" t="n">
        <v>1028</v>
      </c>
      <c r="H27" t="n">
        <v>2</v>
      </c>
      <c r="I27" t="n">
        <v>2</v>
      </c>
      <c r="J27" t="n">
        <v>7</v>
      </c>
      <c r="K27" t="n">
        <v>14</v>
      </c>
      <c r="L27" t="n">
        <v>14</v>
      </c>
      <c r="M27" t="n">
        <v>14</v>
      </c>
      <c r="N27" t="n">
        <v>14</v>
      </c>
      <c r="O27" t="n">
        <v>35</v>
      </c>
      <c r="P27" t="n">
        <v>7</v>
      </c>
      <c r="R27" s="9" t="n">
        <v>0.07000000000000001</v>
      </c>
      <c r="S27" s="10" t="inlineStr">
        <is>
          <t>NO — sustituido por FF1 (tipo de fideicomiso)</t>
        </is>
      </c>
      <c r="T27" s="11" t="n"/>
      <c r="U27" s="11" t="inlineStr">
        <is>
          <t>DEL BANCO (se hereda)</t>
        </is>
      </c>
      <c r="V27" s="11" t="n"/>
      <c r="W27" s="12" t="n"/>
      <c r="X27" s="12" t="n"/>
    </row>
    <row r="28" ht="15" customHeight="1">
      <c r="C28" t="inlineStr">
        <is>
          <t>PRODUCTO</t>
        </is>
      </c>
      <c r="D28" t="inlineStr">
        <is>
          <t>F1</t>
        </is>
      </c>
      <c r="E28" t="inlineStr">
        <is>
          <t>INHERENTE</t>
        </is>
      </c>
      <c r="F28" t="inlineStr">
        <is>
          <t>CUENTA BÁSICA DE NÓMINA</t>
        </is>
      </c>
      <c r="G28" t="n">
        <v>1029</v>
      </c>
      <c r="H28" t="n">
        <v>1</v>
      </c>
      <c r="I28" t="n">
        <v>1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35</v>
      </c>
      <c r="P28" t="n">
        <v>7</v>
      </c>
      <c r="R28" s="9" t="n">
        <v>0.07000000000000001</v>
      </c>
      <c r="S28" s="10" t="inlineStr">
        <is>
          <t>NO — sustituido por FF1 (tipo de fideicomiso)</t>
        </is>
      </c>
      <c r="T28" s="11" t="n"/>
      <c r="U28" s="11" t="inlineStr">
        <is>
          <t>DEL BANCO (se hereda)</t>
        </is>
      </c>
      <c r="V28" s="11" t="n"/>
      <c r="W28" s="12" t="n"/>
      <c r="X28" s="12" t="n"/>
    </row>
    <row r="29" ht="15" customHeight="1">
      <c r="C29" t="inlineStr">
        <is>
          <t>PRODUCTO</t>
        </is>
      </c>
      <c r="D29" t="inlineStr">
        <is>
          <t>F1</t>
        </is>
      </c>
      <c r="E29" t="inlineStr">
        <is>
          <t>INHERENTE</t>
        </is>
      </c>
      <c r="F29" t="inlineStr">
        <is>
          <t>CUENTA ENLAZADOS</t>
        </is>
      </c>
      <c r="G29" t="n">
        <v>1030</v>
      </c>
      <c r="H29" t="n">
        <v>2</v>
      </c>
      <c r="I29" t="n">
        <v>2</v>
      </c>
      <c r="J29" t="n">
        <v>7</v>
      </c>
      <c r="K29" t="n">
        <v>14</v>
      </c>
      <c r="L29" t="n">
        <v>14</v>
      </c>
      <c r="M29" t="n">
        <v>14</v>
      </c>
      <c r="N29" t="n">
        <v>14</v>
      </c>
      <c r="O29" t="n">
        <v>35</v>
      </c>
      <c r="P29" t="n">
        <v>7</v>
      </c>
      <c r="R29" s="9" t="n">
        <v>0.07000000000000001</v>
      </c>
      <c r="S29" s="10" t="inlineStr">
        <is>
          <t>NO — sustituido por FF1 (tipo de fideicomiso)</t>
        </is>
      </c>
      <c r="T29" s="11" t="n"/>
      <c r="U29" s="11" t="inlineStr">
        <is>
          <t>DEL BANCO (se hereda)</t>
        </is>
      </c>
      <c r="V29" s="11" t="n"/>
      <c r="W29" s="12" t="n"/>
      <c r="X29" s="12" t="n"/>
    </row>
    <row r="30" ht="15" customHeight="1">
      <c r="C30" t="inlineStr">
        <is>
          <t>PRODUCTO</t>
        </is>
      </c>
      <c r="D30" t="inlineStr">
        <is>
          <t>F1</t>
        </is>
      </c>
      <c r="E30" t="inlineStr">
        <is>
          <t>INHERENTE</t>
        </is>
      </c>
      <c r="F30" t="inlineStr">
        <is>
          <t>CUENTA GARANTIA EN DOLARES</t>
        </is>
      </c>
      <c r="G30" t="n">
        <v>1032</v>
      </c>
      <c r="H30" t="n">
        <v>2</v>
      </c>
      <c r="I30" t="n">
        <v>2</v>
      </c>
      <c r="J30" t="n">
        <v>7</v>
      </c>
      <c r="K30" t="n">
        <v>14</v>
      </c>
      <c r="L30" t="n">
        <v>14</v>
      </c>
      <c r="M30" t="n">
        <v>14</v>
      </c>
      <c r="N30" t="n">
        <v>14</v>
      </c>
      <c r="O30" t="n">
        <v>35</v>
      </c>
      <c r="P30" t="n">
        <v>7</v>
      </c>
      <c r="R30" s="9" t="n">
        <v>0.07000000000000001</v>
      </c>
      <c r="S30" s="10" t="inlineStr">
        <is>
          <t>NO — sustituido por FF1 (tipo de fideicomiso)</t>
        </is>
      </c>
      <c r="T30" s="11" t="n"/>
      <c r="U30" s="11" t="inlineStr">
        <is>
          <t>DEL BANCO (se hereda)</t>
        </is>
      </c>
      <c r="V30" s="11" t="n"/>
      <c r="W30" s="12" t="n"/>
      <c r="X30" s="12" t="n"/>
    </row>
    <row r="31" ht="15" customHeight="1">
      <c r="C31" t="inlineStr">
        <is>
          <t>PRODUCTO</t>
        </is>
      </c>
      <c r="D31" t="inlineStr">
        <is>
          <t>F1</t>
        </is>
      </c>
      <c r="E31" t="inlineStr">
        <is>
          <t>INHERENTE</t>
        </is>
      </c>
      <c r="F31" t="inlineStr">
        <is>
          <t>CUENTA BENEFICIOS APE DIGITAL</t>
        </is>
      </c>
      <c r="G31" t="n">
        <v>1033</v>
      </c>
      <c r="H31" t="n">
        <v>1</v>
      </c>
      <c r="I31" t="n">
        <v>1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35</v>
      </c>
      <c r="P31" t="n">
        <v>7</v>
      </c>
      <c r="R31" s="9" t="n">
        <v>0.07000000000000001</v>
      </c>
      <c r="S31" s="10" t="inlineStr">
        <is>
          <t>NO — sustituido por FF1 (tipo de fideicomiso)</t>
        </is>
      </c>
      <c r="T31" s="11" t="n"/>
      <c r="U31" s="11" t="inlineStr">
        <is>
          <t>DEL BANCO (se hereda)</t>
        </is>
      </c>
      <c r="V31" s="11" t="n"/>
      <c r="W31" s="12" t="n"/>
      <c r="X31" s="12" t="n"/>
    </row>
    <row r="32" ht="15" customHeight="1">
      <c r="C32" t="inlineStr">
        <is>
          <t>PRODUCTO</t>
        </is>
      </c>
      <c r="D32" t="inlineStr">
        <is>
          <t>F1</t>
        </is>
      </c>
      <c r="E32" t="inlineStr">
        <is>
          <t>INHERENTE</t>
        </is>
      </c>
      <c r="F32" t="inlineStr">
        <is>
          <t>CUENTA VERDE APE DIGITAL</t>
        </is>
      </c>
      <c r="G32" t="n">
        <v>1034</v>
      </c>
      <c r="H32" t="n">
        <v>1</v>
      </c>
      <c r="I32" t="n">
        <v>1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35</v>
      </c>
      <c r="P32" t="n">
        <v>7</v>
      </c>
      <c r="R32" s="9" t="n">
        <v>0.07000000000000001</v>
      </c>
      <c r="S32" s="10" t="inlineStr">
        <is>
          <t>NO — sustituido por FF1 (tipo de fideicomiso)</t>
        </is>
      </c>
      <c r="T32" s="11" t="n"/>
      <c r="U32" s="11" t="inlineStr">
        <is>
          <t>DEL BANCO (se hereda)</t>
        </is>
      </c>
      <c r="V32" s="11" t="n"/>
      <c r="W32" s="12" t="n"/>
      <c r="X32" s="12" t="n"/>
    </row>
    <row r="33" ht="15" customHeight="1">
      <c r="C33" t="inlineStr">
        <is>
          <t>PRODUCTO</t>
        </is>
      </c>
      <c r="D33" t="inlineStr">
        <is>
          <t>F1</t>
        </is>
      </c>
      <c r="E33" t="inlineStr">
        <is>
          <t>INHERENTE</t>
        </is>
      </c>
      <c r="F33" t="inlineStr">
        <is>
          <t>CUENTA BX+ GOBIERNO</t>
        </is>
      </c>
      <c r="G33" t="n">
        <v>1036</v>
      </c>
      <c r="H33" t="n">
        <v>1</v>
      </c>
      <c r="I33" t="n">
        <v>1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35</v>
      </c>
      <c r="P33" t="n">
        <v>7</v>
      </c>
      <c r="R33" s="9" t="n">
        <v>0.07000000000000001</v>
      </c>
      <c r="S33" s="10" t="inlineStr">
        <is>
          <t>NO — sustituido por FF1 (tipo de fideicomiso)</t>
        </is>
      </c>
      <c r="T33" s="11" t="n"/>
      <c r="U33" s="11" t="inlineStr">
        <is>
          <t>DEL BANCO (se hereda)</t>
        </is>
      </c>
      <c r="V33" s="11" t="n"/>
      <c r="W33" s="12" t="n"/>
      <c r="X33" s="12" t="n"/>
    </row>
    <row r="34" ht="15" customHeight="1">
      <c r="C34" t="inlineStr">
        <is>
          <t>PRODUCTO</t>
        </is>
      </c>
      <c r="D34" t="inlineStr">
        <is>
          <t>F1</t>
        </is>
      </c>
      <c r="E34" t="inlineStr">
        <is>
          <t>INHERENTE</t>
        </is>
      </c>
      <c r="F34" t="inlineStr">
        <is>
          <t>Cuenta Global Art. 61</t>
        </is>
      </c>
      <c r="G34" t="n">
        <v>1037</v>
      </c>
      <c r="H34" t="n">
        <v>1</v>
      </c>
      <c r="I34" t="n">
        <v>1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35</v>
      </c>
      <c r="P34" t="n">
        <v>7</v>
      </c>
      <c r="R34" s="9" t="n">
        <v>0.07000000000000001</v>
      </c>
      <c r="S34" s="10" t="inlineStr">
        <is>
          <t>NO — sustituido por FF1 (tipo de fideicomiso)</t>
        </is>
      </c>
      <c r="T34" s="11" t="n"/>
      <c r="U34" s="11" t="inlineStr">
        <is>
          <t>DEL BANCO (se hereda)</t>
        </is>
      </c>
      <c r="V34" s="11" t="n"/>
      <c r="W34" s="12" t="n"/>
      <c r="X34" s="12" t="n"/>
    </row>
    <row r="35" ht="15" customHeight="1">
      <c r="C35" t="inlineStr">
        <is>
          <t>PRODUCTO</t>
        </is>
      </c>
      <c r="D35" t="inlineStr">
        <is>
          <t>F1</t>
        </is>
      </c>
      <c r="E35" t="inlineStr">
        <is>
          <t>INHERENTE</t>
        </is>
      </c>
      <c r="F35" t="inlineStr">
        <is>
          <t>CUENTA BX+ EMPRESARIAL PLUS</t>
        </is>
      </c>
      <c r="G35" t="n">
        <v>1039</v>
      </c>
      <c r="H35" t="n">
        <v>2</v>
      </c>
      <c r="I35" t="n">
        <v>2</v>
      </c>
      <c r="J35" t="n">
        <v>7</v>
      </c>
      <c r="K35" t="n">
        <v>14</v>
      </c>
      <c r="L35" t="n">
        <v>14</v>
      </c>
      <c r="M35" t="n">
        <v>14</v>
      </c>
      <c r="N35" t="n">
        <v>14</v>
      </c>
      <c r="O35" t="n">
        <v>35</v>
      </c>
      <c r="P35" t="n">
        <v>7</v>
      </c>
      <c r="R35" s="9" t="n">
        <v>0.07000000000000001</v>
      </c>
      <c r="S35" s="10" t="inlineStr">
        <is>
          <t>NO — sustituido por FF1 (tipo de fideicomiso)</t>
        </is>
      </c>
      <c r="T35" s="11" t="n"/>
      <c r="U35" s="11" t="inlineStr">
        <is>
          <t>DEL BANCO (se hereda)</t>
        </is>
      </c>
      <c r="V35" s="11" t="n"/>
      <c r="W35" s="12" t="n"/>
      <c r="X35" s="12" t="n"/>
    </row>
    <row r="36" ht="15" customHeight="1">
      <c r="C36" t="inlineStr">
        <is>
          <t>PRODUCTO</t>
        </is>
      </c>
      <c r="D36" t="inlineStr">
        <is>
          <t>F1</t>
        </is>
      </c>
      <c r="E36" t="inlineStr">
        <is>
          <t>INHERENTE</t>
        </is>
      </c>
      <c r="F36" t="inlineStr">
        <is>
          <t>CUENTA BX+ EMPRESA DÓLARES</t>
        </is>
      </c>
      <c r="G36" t="n">
        <v>1040</v>
      </c>
      <c r="H36" t="n">
        <v>3</v>
      </c>
      <c r="I36" t="n">
        <v>3</v>
      </c>
      <c r="J36" t="n">
        <v>7</v>
      </c>
      <c r="K36" t="n">
        <v>21</v>
      </c>
      <c r="L36" t="n">
        <v>21</v>
      </c>
      <c r="M36" t="n">
        <v>21</v>
      </c>
      <c r="N36" t="n">
        <v>21</v>
      </c>
      <c r="O36" t="n">
        <v>35</v>
      </c>
      <c r="P36" t="n">
        <v>7</v>
      </c>
      <c r="R36" s="9" t="n">
        <v>0.07000000000000001</v>
      </c>
      <c r="S36" s="10" t="inlineStr">
        <is>
          <t>NO — sustituido por FF1 (tipo de fideicomiso)</t>
        </is>
      </c>
      <c r="T36" s="11" t="n"/>
      <c r="U36" s="11" t="inlineStr">
        <is>
          <t>DEL BANCO (se hereda)</t>
        </is>
      </c>
      <c r="V36" s="11" t="n"/>
      <c r="W36" s="12" t="n"/>
      <c r="X36" s="12" t="n"/>
    </row>
    <row r="37" ht="15" customHeight="1">
      <c r="C37" t="inlineStr">
        <is>
          <t>PRODUCTO</t>
        </is>
      </c>
      <c r="D37" t="inlineStr">
        <is>
          <t>F1</t>
        </is>
      </c>
      <c r="E37" t="inlineStr">
        <is>
          <t>INHERENTE</t>
        </is>
      </c>
      <c r="F37" t="inlineStr">
        <is>
          <t>CUENTA BX+ DOLARES FRONTERA</t>
        </is>
      </c>
      <c r="G37" t="n">
        <v>1043</v>
      </c>
      <c r="H37" t="n">
        <v>1</v>
      </c>
      <c r="I37" t="n">
        <v>1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35</v>
      </c>
      <c r="P37" t="n">
        <v>7</v>
      </c>
      <c r="R37" s="9" t="n">
        <v>0.07000000000000001</v>
      </c>
      <c r="S37" s="10" t="inlineStr">
        <is>
          <t>NO — sustituido por FF1 (tipo de fideicomiso)</t>
        </is>
      </c>
      <c r="T37" s="11" t="n"/>
      <c r="U37" s="11" t="inlineStr">
        <is>
          <t>DEL BANCO (se hereda)</t>
        </is>
      </c>
      <c r="V37" s="11" t="n"/>
      <c r="W37" s="12" t="n"/>
      <c r="X37" s="12" t="n"/>
    </row>
    <row r="38" ht="15" customHeight="1">
      <c r="C38" t="inlineStr">
        <is>
          <t>PRODUCTO</t>
        </is>
      </c>
      <c r="D38" t="inlineStr">
        <is>
          <t>F1</t>
        </is>
      </c>
      <c r="E38" t="inlineStr">
        <is>
          <t>INHERENTE</t>
        </is>
      </c>
      <c r="F38" t="inlineStr">
        <is>
          <t>CONTRATO DE CAMBIOS</t>
        </is>
      </c>
      <c r="G38" t="n">
        <v>999990</v>
      </c>
      <c r="H38" t="n">
        <v>1</v>
      </c>
      <c r="I38" t="n">
        <v>1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35</v>
      </c>
      <c r="P38" t="n">
        <v>7</v>
      </c>
      <c r="R38" s="9" t="n">
        <v>0.07000000000000001</v>
      </c>
      <c r="S38" s="10" t="inlineStr">
        <is>
          <t>NO — sustituido por FF1 (tipo de fideicomiso)</t>
        </is>
      </c>
      <c r="T38" s="11" t="n"/>
      <c r="U38" s="11" t="inlineStr">
        <is>
          <t>DEL BANCO (se hereda)</t>
        </is>
      </c>
      <c r="V38" s="11" t="n"/>
      <c r="W38" s="12" t="n"/>
      <c r="X38" s="12" t="n"/>
    </row>
    <row r="39" ht="15" customHeight="1">
      <c r="C39" t="inlineStr">
        <is>
          <t>Actividad económica / giro mercantil</t>
        </is>
      </c>
      <c r="D39" t="inlineStr">
        <is>
          <t>F12</t>
        </is>
      </c>
      <c r="E39" t="inlineStr">
        <is>
          <t>INHERENTE</t>
        </is>
      </c>
      <c r="F39" t="inlineStr">
        <is>
          <t>SE DESCONOCE (TENTATIVA)</t>
        </is>
      </c>
      <c r="G39" t="n">
        <v>0</v>
      </c>
      <c r="H39" t="n">
        <v>5</v>
      </c>
      <c r="I39" t="n">
        <v>5</v>
      </c>
      <c r="J39" t="n">
        <v>8</v>
      </c>
      <c r="K39" t="n">
        <v>40</v>
      </c>
      <c r="L39" t="n">
        <v>40</v>
      </c>
      <c r="M39" t="n">
        <v>40</v>
      </c>
      <c r="N39" t="n">
        <v>40</v>
      </c>
      <c r="O39" t="n">
        <v>40</v>
      </c>
      <c r="P39" t="n">
        <v>8</v>
      </c>
      <c r="R39" s="9" t="n">
        <v>0.08</v>
      </c>
      <c r="S39" s="10" t="inlineStr">
        <is>
          <t>SÍ — integrante</t>
        </is>
      </c>
      <c r="T39" s="11" t="inlineStr">
        <is>
          <t>B · INTEGRANTE</t>
        </is>
      </c>
      <c r="U39" s="11" t="inlineStr">
        <is>
          <t>DEL BANCO (se hereda)</t>
        </is>
      </c>
      <c r="V39" s="11" t="inlineStr">
        <is>
          <t>9116 · NO CAPTURADA</t>
        </is>
      </c>
      <c r="W39" s="12" t="n"/>
      <c r="X39" s="12" t="n"/>
    </row>
    <row r="40" ht="15" customHeight="1">
      <c r="C40" t="inlineStr">
        <is>
          <t>Actividad económica / giro mercantil</t>
        </is>
      </c>
      <c r="D40" t="inlineStr">
        <is>
          <t>F12</t>
        </is>
      </c>
      <c r="E40" t="inlineStr">
        <is>
          <t>INHERENTE</t>
        </is>
      </c>
      <c r="F40" t="inlineStr">
        <is>
          <t>AGRICULTURA</t>
        </is>
      </c>
      <c r="G40" t="n">
        <v>100008</v>
      </c>
      <c r="H40" t="n">
        <v>2</v>
      </c>
      <c r="I40" t="n">
        <v>2</v>
      </c>
      <c r="J40" t="n">
        <v>8</v>
      </c>
      <c r="K40" t="n">
        <v>16</v>
      </c>
      <c r="L40" t="n">
        <v>16</v>
      </c>
      <c r="M40" t="n">
        <v>16</v>
      </c>
      <c r="N40" t="n">
        <v>16</v>
      </c>
      <c r="O40" t="n">
        <v>40</v>
      </c>
      <c r="P40" t="n">
        <v>8</v>
      </c>
      <c r="R40" s="9" t="n">
        <v>0.08</v>
      </c>
      <c r="S40" s="10" t="inlineStr">
        <is>
          <t>SÍ — integrante</t>
        </is>
      </c>
      <c r="T40" s="11" t="inlineStr">
        <is>
          <t>B · INTEGRANTE</t>
        </is>
      </c>
      <c r="U40" s="11" t="inlineStr">
        <is>
          <t>DEL BANCO (se hereda)</t>
        </is>
      </c>
      <c r="V40" s="11" t="inlineStr">
        <is>
          <t>9151 · SECTOR PRIMARIO (agropecuario, pesca, forestal, minería)</t>
        </is>
      </c>
      <c r="W40" s="12" t="n"/>
      <c r="X40" s="12" t="n"/>
    </row>
    <row r="41" ht="15" customHeight="1">
      <c r="C41" t="inlineStr">
        <is>
          <t>Actividad económica / giro mercantil</t>
        </is>
      </c>
      <c r="D41" t="inlineStr">
        <is>
          <t>F12</t>
        </is>
      </c>
      <c r="E41" t="inlineStr">
        <is>
          <t>INHERENTE</t>
        </is>
      </c>
      <c r="F41" t="inlineStr">
        <is>
          <t>1.Agricultura</t>
        </is>
      </c>
      <c r="G41" t="n">
        <v>100101</v>
      </c>
      <c r="H41" t="n">
        <v>2</v>
      </c>
      <c r="I41" t="n">
        <v>2</v>
      </c>
      <c r="J41" t="n">
        <v>8</v>
      </c>
      <c r="K41" t="n">
        <v>16</v>
      </c>
      <c r="L41" t="n">
        <v>16</v>
      </c>
      <c r="M41" t="n">
        <v>16</v>
      </c>
      <c r="N41" t="n">
        <v>16</v>
      </c>
      <c r="O41" t="n">
        <v>40</v>
      </c>
      <c r="P41" t="n">
        <v>8</v>
      </c>
      <c r="R41" s="9" t="n">
        <v>0.08</v>
      </c>
      <c r="S41" s="10" t="inlineStr">
        <is>
          <t>SÍ — integrante</t>
        </is>
      </c>
      <c r="T41" s="11" t="inlineStr">
        <is>
          <t>B · INTEGRANTE</t>
        </is>
      </c>
      <c r="U41" s="11" t="inlineStr">
        <is>
          <t>DEL BANCO (se hereda)</t>
        </is>
      </c>
      <c r="V41" s="11" t="inlineStr">
        <is>
          <t>9151 · SECTOR PRIMARIO (agropecuario, pesca, forestal, minería)</t>
        </is>
      </c>
      <c r="W41" s="12" t="n"/>
      <c r="X41" s="12" t="n"/>
    </row>
    <row r="42" ht="15" customHeight="1">
      <c r="C42" t="inlineStr">
        <is>
          <t>Actividad económica / giro mercantil</t>
        </is>
      </c>
      <c r="D42" t="inlineStr">
        <is>
          <t>F12</t>
        </is>
      </c>
      <c r="E42" t="inlineStr">
        <is>
          <t>INHERENTE</t>
        </is>
      </c>
      <c r="F42" t="inlineStr">
        <is>
          <t>2. Ganadería</t>
        </is>
      </c>
      <c r="G42" t="n">
        <v>100102</v>
      </c>
      <c r="H42" t="n">
        <v>2</v>
      </c>
      <c r="I42" t="n">
        <v>2</v>
      </c>
      <c r="J42" t="n">
        <v>8</v>
      </c>
      <c r="K42" t="n">
        <v>16</v>
      </c>
      <c r="L42" t="n">
        <v>16</v>
      </c>
      <c r="M42" t="n">
        <v>16</v>
      </c>
      <c r="N42" t="n">
        <v>16</v>
      </c>
      <c r="O42" t="n">
        <v>40</v>
      </c>
      <c r="P42" t="n">
        <v>8</v>
      </c>
      <c r="R42" s="9" t="n">
        <v>0.08</v>
      </c>
      <c r="S42" s="10" t="inlineStr">
        <is>
          <t>SÍ — integrante</t>
        </is>
      </c>
      <c r="T42" s="11" t="inlineStr">
        <is>
          <t>B · INTEGRANTE</t>
        </is>
      </c>
      <c r="U42" s="11" t="inlineStr">
        <is>
          <t>DEL BANCO (se hereda)</t>
        </is>
      </c>
      <c r="V42" s="11" t="inlineStr">
        <is>
          <t>9151 · SECTOR PRIMARIO (agropecuario, pesca, forestal, minería)</t>
        </is>
      </c>
      <c r="W42" s="12" t="n"/>
      <c r="X42" s="12" t="n"/>
    </row>
    <row r="43" ht="15" customHeight="1">
      <c r="C43" t="inlineStr">
        <is>
          <t>Actividad económica / giro mercantil</t>
        </is>
      </c>
      <c r="D43" t="inlineStr">
        <is>
          <t>F12</t>
        </is>
      </c>
      <c r="E43" t="inlineStr">
        <is>
          <t>INHERENTE</t>
        </is>
      </c>
      <c r="F43" t="inlineStr">
        <is>
          <t>Silvicultura</t>
        </is>
      </c>
      <c r="G43" t="n">
        <v>100103</v>
      </c>
      <c r="H43" t="n">
        <v>2</v>
      </c>
      <c r="I43" t="n">
        <v>2</v>
      </c>
      <c r="J43" t="n">
        <v>8</v>
      </c>
      <c r="K43" t="n">
        <v>16</v>
      </c>
      <c r="L43" t="n">
        <v>16</v>
      </c>
      <c r="M43" t="n">
        <v>16</v>
      </c>
      <c r="N43" t="n">
        <v>16</v>
      </c>
      <c r="O43" t="n">
        <v>40</v>
      </c>
      <c r="P43" t="n">
        <v>8</v>
      </c>
      <c r="R43" s="9" t="n">
        <v>0.08</v>
      </c>
      <c r="S43" s="10" t="inlineStr">
        <is>
          <t>SÍ — integrante</t>
        </is>
      </c>
      <c r="T43" s="11" t="inlineStr">
        <is>
          <t>B · INTEGRANTE</t>
        </is>
      </c>
      <c r="U43" s="11" t="inlineStr">
        <is>
          <t>DEL BANCO (se hereda)</t>
        </is>
      </c>
      <c r="V43" s="11" t="inlineStr">
        <is>
          <t>9151 · SECTOR PRIMARIO (agropecuario, pesca, forestal, minería)</t>
        </is>
      </c>
      <c r="W43" s="12" t="n"/>
      <c r="X43" s="12" t="n"/>
    </row>
    <row r="44" ht="15" customHeight="1">
      <c r="C44" t="inlineStr">
        <is>
          <t>Actividad económica / giro mercantil</t>
        </is>
      </c>
      <c r="D44" t="inlineStr">
        <is>
          <t>F12</t>
        </is>
      </c>
      <c r="E44" t="inlineStr">
        <is>
          <t>INHERENTE</t>
        </is>
      </c>
      <c r="F44" t="inlineStr">
        <is>
          <t>Caza y pesca</t>
        </is>
      </c>
      <c r="G44" t="n">
        <v>100104</v>
      </c>
      <c r="H44" t="n">
        <v>2</v>
      </c>
      <c r="I44" t="n">
        <v>2</v>
      </c>
      <c r="J44" t="n">
        <v>8</v>
      </c>
      <c r="K44" t="n">
        <v>16</v>
      </c>
      <c r="L44" t="n">
        <v>16</v>
      </c>
      <c r="M44" t="n">
        <v>16</v>
      </c>
      <c r="N44" t="n">
        <v>16</v>
      </c>
      <c r="O44" t="n">
        <v>40</v>
      </c>
      <c r="P44" t="n">
        <v>8</v>
      </c>
      <c r="R44" s="9" t="n">
        <v>0.08</v>
      </c>
      <c r="S44" s="10" t="inlineStr">
        <is>
          <t>SÍ — integrante</t>
        </is>
      </c>
      <c r="T44" s="11" t="inlineStr">
        <is>
          <t>B · INTEGRANTE</t>
        </is>
      </c>
      <c r="U44" s="11" t="inlineStr">
        <is>
          <t>DEL BANCO (se hereda)</t>
        </is>
      </c>
      <c r="V44" s="11" t="inlineStr">
        <is>
          <t>9151 · SECTOR PRIMARIO (agropecuario, pesca, forestal, minería)</t>
        </is>
      </c>
      <c r="W44" s="12" t="n"/>
      <c r="X44" s="12" t="n"/>
    </row>
    <row r="45" ht="15" customHeight="1">
      <c r="C45" t="inlineStr">
        <is>
          <t>Actividad económica / giro mercantil</t>
        </is>
      </c>
      <c r="D45" t="inlineStr">
        <is>
          <t>F12</t>
        </is>
      </c>
      <c r="E45" t="inlineStr">
        <is>
          <t>INHERENTE</t>
        </is>
      </c>
      <c r="F45" t="inlineStr">
        <is>
          <t>CULTIVO DE ALPISTE</t>
        </is>
      </c>
      <c r="G45" t="n">
        <v>111013</v>
      </c>
      <c r="H45" t="n">
        <v>2</v>
      </c>
      <c r="I45" t="n">
        <v>2</v>
      </c>
      <c r="J45" t="n">
        <v>8</v>
      </c>
      <c r="K45" t="n">
        <v>16</v>
      </c>
      <c r="L45" t="n">
        <v>16</v>
      </c>
      <c r="M45" t="n">
        <v>16</v>
      </c>
      <c r="N45" t="n">
        <v>16</v>
      </c>
      <c r="O45" t="n">
        <v>40</v>
      </c>
      <c r="P45" t="n">
        <v>8</v>
      </c>
      <c r="R45" s="9" t="n">
        <v>0.08</v>
      </c>
      <c r="S45" s="10" t="inlineStr">
        <is>
          <t>SÍ — integrante</t>
        </is>
      </c>
      <c r="T45" s="11" t="inlineStr">
        <is>
          <t>B · INTEGRANTE</t>
        </is>
      </c>
      <c r="U45" s="11" t="inlineStr">
        <is>
          <t>DEL BANCO (se hereda)</t>
        </is>
      </c>
      <c r="V45" s="11" t="inlineStr">
        <is>
          <t>9151 · SECTOR PRIMARIO (agropecuario, pesca, forestal, minería)</t>
        </is>
      </c>
      <c r="W45" s="12" t="n"/>
      <c r="X45" s="12" t="n"/>
    </row>
    <row r="46" ht="15" customHeight="1">
      <c r="C46" t="inlineStr">
        <is>
          <t>Actividad económica / giro mercantil</t>
        </is>
      </c>
      <c r="D46" t="inlineStr">
        <is>
          <t>F12</t>
        </is>
      </c>
      <c r="E46" t="inlineStr">
        <is>
          <t>INHERENTE</t>
        </is>
      </c>
      <c r="F46" t="inlineStr">
        <is>
          <t>CULTIVO DE ARROZ</t>
        </is>
      </c>
      <c r="G46" t="n">
        <v>111021</v>
      </c>
      <c r="H46" t="n">
        <v>3</v>
      </c>
      <c r="I46" t="n">
        <v>3</v>
      </c>
      <c r="J46" t="n">
        <v>8</v>
      </c>
      <c r="K46" t="n">
        <v>24</v>
      </c>
      <c r="L46" t="n">
        <v>24</v>
      </c>
      <c r="M46" t="n">
        <v>24</v>
      </c>
      <c r="N46" t="n">
        <v>24</v>
      </c>
      <c r="O46" t="n">
        <v>40</v>
      </c>
      <c r="P46" t="n">
        <v>8</v>
      </c>
      <c r="R46" s="9" t="n">
        <v>0.08</v>
      </c>
      <c r="S46" s="10" t="inlineStr">
        <is>
          <t>SÍ — integrante</t>
        </is>
      </c>
      <c r="T46" s="11" t="inlineStr">
        <is>
          <t>B · INTEGRANTE</t>
        </is>
      </c>
      <c r="U46" s="11" t="inlineStr">
        <is>
          <t>DEL BANCO (se hereda)</t>
        </is>
      </c>
      <c r="V46" s="11" t="inlineStr">
        <is>
          <t>9151 · SECTOR PRIMARIO (agropecuario, pesca, forestal, minería)</t>
        </is>
      </c>
      <c r="W46" s="12" t="n"/>
      <c r="X46" s="12" t="n"/>
    </row>
    <row r="47" ht="15" customHeight="1">
      <c r="C47" t="inlineStr">
        <is>
          <t>Actividad económica / giro mercantil</t>
        </is>
      </c>
      <c r="D47" t="inlineStr">
        <is>
          <t>F12</t>
        </is>
      </c>
      <c r="E47" t="inlineStr">
        <is>
          <t>INHERENTE</t>
        </is>
      </c>
      <c r="F47" t="inlineStr">
        <is>
          <t>CULTIVO DE AVENA</t>
        </is>
      </c>
      <c r="G47" t="n">
        <v>111039</v>
      </c>
      <c r="H47" t="n">
        <v>2</v>
      </c>
      <c r="I47" t="n">
        <v>2</v>
      </c>
      <c r="J47" t="n">
        <v>8</v>
      </c>
      <c r="K47" t="n">
        <v>16</v>
      </c>
      <c r="L47" t="n">
        <v>16</v>
      </c>
      <c r="M47" t="n">
        <v>16</v>
      </c>
      <c r="N47" t="n">
        <v>16</v>
      </c>
      <c r="O47" t="n">
        <v>40</v>
      </c>
      <c r="P47" t="n">
        <v>8</v>
      </c>
      <c r="R47" s="9" t="n">
        <v>0.08</v>
      </c>
      <c r="S47" s="10" t="inlineStr">
        <is>
          <t>SÍ — integrante</t>
        </is>
      </c>
      <c r="T47" s="11" t="inlineStr">
        <is>
          <t>B · INTEGRANTE</t>
        </is>
      </c>
      <c r="U47" s="11" t="inlineStr">
        <is>
          <t>DEL BANCO (se hereda)</t>
        </is>
      </c>
      <c r="V47" s="11" t="inlineStr">
        <is>
          <t>9151 · SECTOR PRIMARIO (agropecuario, pesca, forestal, minería)</t>
        </is>
      </c>
      <c r="W47" s="12" t="n"/>
      <c r="X47" s="12" t="n"/>
    </row>
    <row r="48" ht="15" customHeight="1">
      <c r="C48" t="inlineStr">
        <is>
          <t>Actividad económica / giro mercantil</t>
        </is>
      </c>
      <c r="D48" t="inlineStr">
        <is>
          <t>F12</t>
        </is>
      </c>
      <c r="E48" t="inlineStr">
        <is>
          <t>INHERENTE</t>
        </is>
      </c>
      <c r="F48" t="inlineStr">
        <is>
          <t>CULTIVO DE CEBADA</t>
        </is>
      </c>
      <c r="G48" t="n">
        <v>111047</v>
      </c>
      <c r="H48" t="n">
        <v>2</v>
      </c>
      <c r="I48" t="n">
        <v>2</v>
      </c>
      <c r="J48" t="n">
        <v>8</v>
      </c>
      <c r="K48" t="n">
        <v>16</v>
      </c>
      <c r="L48" t="n">
        <v>16</v>
      </c>
      <c r="M48" t="n">
        <v>16</v>
      </c>
      <c r="N48" t="n">
        <v>16</v>
      </c>
      <c r="O48" t="n">
        <v>40</v>
      </c>
      <c r="P48" t="n">
        <v>8</v>
      </c>
      <c r="R48" s="9" t="n">
        <v>0.08</v>
      </c>
      <c r="S48" s="10" t="inlineStr">
        <is>
          <t>SÍ — integrante</t>
        </is>
      </c>
      <c r="T48" s="11" t="inlineStr">
        <is>
          <t>B · INTEGRANTE</t>
        </is>
      </c>
      <c r="U48" s="11" t="inlineStr">
        <is>
          <t>DEL BANCO (se hereda)</t>
        </is>
      </c>
      <c r="V48" s="11" t="inlineStr">
        <is>
          <t>9151 · SECTOR PRIMARIO (agropecuario, pesca, forestal, minería)</t>
        </is>
      </c>
      <c r="W48" s="12" t="n"/>
      <c r="X48" s="12" t="n"/>
    </row>
    <row r="49" ht="15" customHeight="1">
      <c r="C49" t="inlineStr">
        <is>
          <t>Actividad económica / giro mercantil</t>
        </is>
      </c>
      <c r="D49" t="inlineStr">
        <is>
          <t>F12</t>
        </is>
      </c>
      <c r="E49" t="inlineStr">
        <is>
          <t>INHERENTE</t>
        </is>
      </c>
      <c r="F49" t="inlineStr">
        <is>
          <t>CULTIVO DE LINAZA</t>
        </is>
      </c>
      <c r="G49" t="n">
        <v>111055</v>
      </c>
      <c r="H49" t="n">
        <v>2</v>
      </c>
      <c r="I49" t="n">
        <v>2</v>
      </c>
      <c r="J49" t="n">
        <v>8</v>
      </c>
      <c r="K49" t="n">
        <v>16</v>
      </c>
      <c r="L49" t="n">
        <v>16</v>
      </c>
      <c r="M49" t="n">
        <v>16</v>
      </c>
      <c r="N49" t="n">
        <v>16</v>
      </c>
      <c r="O49" t="n">
        <v>40</v>
      </c>
      <c r="P49" t="n">
        <v>8</v>
      </c>
      <c r="R49" s="9" t="n">
        <v>0.08</v>
      </c>
      <c r="S49" s="10" t="inlineStr">
        <is>
          <t>SÍ — integrante</t>
        </is>
      </c>
      <c r="T49" s="11" t="inlineStr">
        <is>
          <t>B · INTEGRANTE</t>
        </is>
      </c>
      <c r="U49" s="11" t="inlineStr">
        <is>
          <t>DEL BANCO (se hereda)</t>
        </is>
      </c>
      <c r="V49" s="11" t="inlineStr">
        <is>
          <t>9151 · SECTOR PRIMARIO (agropecuario, pesca, forestal, minería)</t>
        </is>
      </c>
      <c r="W49" s="12" t="n"/>
      <c r="X49" s="12" t="n"/>
    </row>
    <row r="50" ht="15" customHeight="1">
      <c r="C50" t="inlineStr">
        <is>
          <t>Actividad económica / giro mercantil</t>
        </is>
      </c>
      <c r="D50" t="inlineStr">
        <is>
          <t>F12</t>
        </is>
      </c>
      <c r="E50" t="inlineStr">
        <is>
          <t>INHERENTE</t>
        </is>
      </c>
      <c r="F50" t="inlineStr">
        <is>
          <t>CULTIVO DE MAIZ</t>
        </is>
      </c>
      <c r="G50" t="n">
        <v>111063</v>
      </c>
      <c r="H50" t="n">
        <v>2</v>
      </c>
      <c r="I50" t="n">
        <v>2</v>
      </c>
      <c r="J50" t="n">
        <v>8</v>
      </c>
      <c r="K50" t="n">
        <v>16</v>
      </c>
      <c r="L50" t="n">
        <v>16</v>
      </c>
      <c r="M50" t="n">
        <v>16</v>
      </c>
      <c r="N50" t="n">
        <v>16</v>
      </c>
      <c r="O50" t="n">
        <v>40</v>
      </c>
      <c r="P50" t="n">
        <v>8</v>
      </c>
      <c r="R50" s="9" t="n">
        <v>0.08</v>
      </c>
      <c r="S50" s="10" t="inlineStr">
        <is>
          <t>SÍ — integrante</t>
        </is>
      </c>
      <c r="T50" s="11" t="inlineStr">
        <is>
          <t>B · INTEGRANTE</t>
        </is>
      </c>
      <c r="U50" s="11" t="inlineStr">
        <is>
          <t>DEL BANCO (se hereda)</t>
        </is>
      </c>
      <c r="V50" s="11" t="inlineStr">
        <is>
          <t>9151 · SECTOR PRIMARIO (agropecuario, pesca, forestal, minería)</t>
        </is>
      </c>
      <c r="W50" s="12" t="n"/>
      <c r="X50" s="12" t="n"/>
    </row>
    <row r="51" ht="15" customHeight="1">
      <c r="C51" t="inlineStr">
        <is>
          <t>Actividad económica / giro mercantil</t>
        </is>
      </c>
      <c r="D51" t="inlineStr">
        <is>
          <t>F12</t>
        </is>
      </c>
      <c r="E51" t="inlineStr">
        <is>
          <t>INHERENTE</t>
        </is>
      </c>
      <c r="F51" t="inlineStr">
        <is>
          <t>CULTIVO DE MILO</t>
        </is>
      </c>
      <c r="G51" t="n">
        <v>111071</v>
      </c>
      <c r="H51" t="n">
        <v>2</v>
      </c>
      <c r="I51" t="n">
        <v>2</v>
      </c>
      <c r="J51" t="n">
        <v>8</v>
      </c>
      <c r="K51" t="n">
        <v>16</v>
      </c>
      <c r="L51" t="n">
        <v>16</v>
      </c>
      <c r="M51" t="n">
        <v>16</v>
      </c>
      <c r="N51" t="n">
        <v>16</v>
      </c>
      <c r="O51" t="n">
        <v>40</v>
      </c>
      <c r="P51" t="n">
        <v>8</v>
      </c>
      <c r="R51" s="9" t="n">
        <v>0.08</v>
      </c>
      <c r="S51" s="10" t="inlineStr">
        <is>
          <t>SÍ — integrante</t>
        </is>
      </c>
      <c r="T51" s="11" t="inlineStr">
        <is>
          <t>B · INTEGRANTE</t>
        </is>
      </c>
      <c r="U51" s="11" t="inlineStr">
        <is>
          <t>DEL BANCO (se hereda)</t>
        </is>
      </c>
      <c r="V51" s="11" t="inlineStr">
        <is>
          <t>9151 · SECTOR PRIMARIO (agropecuario, pesca, forestal, minería)</t>
        </is>
      </c>
      <c r="W51" s="12" t="n"/>
      <c r="X51" s="12" t="n"/>
    </row>
    <row r="52" ht="15" customHeight="1">
      <c r="C52" t="inlineStr">
        <is>
          <t>Actividad económica / giro mercantil</t>
        </is>
      </c>
      <c r="D52" t="inlineStr">
        <is>
          <t>F12</t>
        </is>
      </c>
      <c r="E52" t="inlineStr">
        <is>
          <t>INHERENTE</t>
        </is>
      </c>
      <c r="F52" t="inlineStr">
        <is>
          <t>CULTIVO DE SORGO</t>
        </is>
      </c>
      <c r="G52" t="n">
        <v>111089</v>
      </c>
      <c r="H52" t="n">
        <v>2</v>
      </c>
      <c r="I52" t="n">
        <v>2</v>
      </c>
      <c r="J52" t="n">
        <v>8</v>
      </c>
      <c r="K52" t="n">
        <v>16</v>
      </c>
      <c r="L52" t="n">
        <v>16</v>
      </c>
      <c r="M52" t="n">
        <v>16</v>
      </c>
      <c r="N52" t="n">
        <v>16</v>
      </c>
      <c r="O52" t="n">
        <v>40</v>
      </c>
      <c r="P52" t="n">
        <v>8</v>
      </c>
      <c r="R52" s="9" t="n">
        <v>0.08</v>
      </c>
      <c r="S52" s="10" t="inlineStr">
        <is>
          <t>SÍ — integrante</t>
        </is>
      </c>
      <c r="T52" s="11" t="inlineStr">
        <is>
          <t>B · INTEGRANTE</t>
        </is>
      </c>
      <c r="U52" s="11" t="inlineStr">
        <is>
          <t>DEL BANCO (se hereda)</t>
        </is>
      </c>
      <c r="V52" s="11" t="inlineStr">
        <is>
          <t>9151 · SECTOR PRIMARIO (agropecuario, pesca, forestal, minería)</t>
        </is>
      </c>
      <c r="W52" s="12" t="n"/>
      <c r="X52" s="12" t="n"/>
    </row>
    <row r="53" ht="15" customHeight="1">
      <c r="C53" t="inlineStr">
        <is>
          <t>Actividad económica / giro mercantil</t>
        </is>
      </c>
      <c r="D53" t="inlineStr">
        <is>
          <t>F12</t>
        </is>
      </c>
      <c r="E53" t="inlineStr">
        <is>
          <t>INHERENTE</t>
        </is>
      </c>
      <c r="F53" t="inlineStr">
        <is>
          <t>CULTIVO DE SOYA</t>
        </is>
      </c>
      <c r="G53" t="n">
        <v>111097</v>
      </c>
      <c r="H53" t="n">
        <v>2</v>
      </c>
      <c r="I53" t="n">
        <v>2</v>
      </c>
      <c r="J53" t="n">
        <v>8</v>
      </c>
      <c r="K53" t="n">
        <v>16</v>
      </c>
      <c r="L53" t="n">
        <v>16</v>
      </c>
      <c r="M53" t="n">
        <v>16</v>
      </c>
      <c r="N53" t="n">
        <v>16</v>
      </c>
      <c r="O53" t="n">
        <v>40</v>
      </c>
      <c r="P53" t="n">
        <v>8</v>
      </c>
      <c r="R53" s="9" t="n">
        <v>0.08</v>
      </c>
      <c r="S53" s="10" t="inlineStr">
        <is>
          <t>SÍ — integrante</t>
        </is>
      </c>
      <c r="T53" s="11" t="inlineStr">
        <is>
          <t>B · INTEGRANTE</t>
        </is>
      </c>
      <c r="U53" s="11" t="inlineStr">
        <is>
          <t>DEL BANCO (se hereda)</t>
        </is>
      </c>
      <c r="V53" s="11" t="inlineStr">
        <is>
          <t>9151 · SECTOR PRIMARIO (agropecuario, pesca, forestal, minería)</t>
        </is>
      </c>
      <c r="W53" s="12" t="n"/>
      <c r="X53" s="12" t="n"/>
    </row>
    <row r="54" ht="15" customHeight="1">
      <c r="C54" t="inlineStr">
        <is>
          <t>Actividad económica / giro mercantil</t>
        </is>
      </c>
      <c r="D54" t="inlineStr">
        <is>
          <t>F12</t>
        </is>
      </c>
      <c r="E54" t="inlineStr">
        <is>
          <t>INHERENTE</t>
        </is>
      </c>
      <c r="F54" t="inlineStr">
        <is>
          <t>CULTIVO DE TRIGO</t>
        </is>
      </c>
      <c r="G54" t="n">
        <v>111104</v>
      </c>
      <c r="H54" t="n">
        <v>2</v>
      </c>
      <c r="I54" t="n">
        <v>2</v>
      </c>
      <c r="J54" t="n">
        <v>8</v>
      </c>
      <c r="K54" t="n">
        <v>16</v>
      </c>
      <c r="L54" t="n">
        <v>16</v>
      </c>
      <c r="M54" t="n">
        <v>16</v>
      </c>
      <c r="N54" t="n">
        <v>16</v>
      </c>
      <c r="O54" t="n">
        <v>40</v>
      </c>
      <c r="P54" t="n">
        <v>8</v>
      </c>
      <c r="R54" s="9" t="n">
        <v>0.08</v>
      </c>
      <c r="S54" s="10" t="inlineStr">
        <is>
          <t>SÍ — integrante</t>
        </is>
      </c>
      <c r="T54" s="11" t="inlineStr">
        <is>
          <t>B · INTEGRANTE</t>
        </is>
      </c>
      <c r="U54" s="11" t="inlineStr">
        <is>
          <t>DEL BANCO (se hereda)</t>
        </is>
      </c>
      <c r="V54" s="11" t="inlineStr">
        <is>
          <t>9151 · SECTOR PRIMARIO (agropecuario, pesca, forestal, minería)</t>
        </is>
      </c>
      <c r="W54" s="12" t="n"/>
      <c r="X54" s="12" t="n"/>
    </row>
    <row r="55" ht="15" customHeight="1">
      <c r="C55" t="inlineStr">
        <is>
          <t>Actividad económica / giro mercantil</t>
        </is>
      </c>
      <c r="D55" t="inlineStr">
        <is>
          <t>F12</t>
        </is>
      </c>
      <c r="E55" t="inlineStr">
        <is>
          <t>INHERENTE</t>
        </is>
      </c>
      <c r="F55" t="inlineStr">
        <is>
          <t>CULTIVO DE AJO</t>
        </is>
      </c>
      <c r="G55" t="n">
        <v>112011</v>
      </c>
      <c r="H55" t="n">
        <v>2</v>
      </c>
      <c r="I55" t="n">
        <v>2</v>
      </c>
      <c r="J55" t="n">
        <v>8</v>
      </c>
      <c r="K55" t="n">
        <v>16</v>
      </c>
      <c r="L55" t="n">
        <v>16</v>
      </c>
      <c r="M55" t="n">
        <v>16</v>
      </c>
      <c r="N55" t="n">
        <v>16</v>
      </c>
      <c r="O55" t="n">
        <v>40</v>
      </c>
      <c r="P55" t="n">
        <v>8</v>
      </c>
      <c r="R55" s="9" t="n">
        <v>0.08</v>
      </c>
      <c r="S55" s="10" t="inlineStr">
        <is>
          <t>SÍ — integrante</t>
        </is>
      </c>
      <c r="T55" s="11" t="inlineStr">
        <is>
          <t>B · INTEGRANTE</t>
        </is>
      </c>
      <c r="U55" s="11" t="inlineStr">
        <is>
          <t>DEL BANCO (se hereda)</t>
        </is>
      </c>
      <c r="V55" s="11" t="inlineStr">
        <is>
          <t>9151 · SECTOR PRIMARIO (agropecuario, pesca, forestal, minería)</t>
        </is>
      </c>
      <c r="W55" s="12" t="n"/>
      <c r="X55" s="12" t="n"/>
    </row>
    <row r="56" ht="15" customHeight="1">
      <c r="C56" t="inlineStr">
        <is>
          <t>Actividad económica / giro mercantil</t>
        </is>
      </c>
      <c r="D56" t="inlineStr">
        <is>
          <t>F12</t>
        </is>
      </c>
      <c r="E56" t="inlineStr">
        <is>
          <t>INHERENTE</t>
        </is>
      </c>
      <c r="F56" t="inlineStr">
        <is>
          <t>CULTIVO DE CALABAZA</t>
        </is>
      </c>
      <c r="G56" t="n">
        <v>112029</v>
      </c>
      <c r="H56" t="n">
        <v>2</v>
      </c>
      <c r="I56" t="n">
        <v>2</v>
      </c>
      <c r="J56" t="n">
        <v>8</v>
      </c>
      <c r="K56" t="n">
        <v>16</v>
      </c>
      <c r="L56" t="n">
        <v>16</v>
      </c>
      <c r="M56" t="n">
        <v>16</v>
      </c>
      <c r="N56" t="n">
        <v>16</v>
      </c>
      <c r="O56" t="n">
        <v>40</v>
      </c>
      <c r="P56" t="n">
        <v>8</v>
      </c>
      <c r="R56" s="9" t="n">
        <v>0.08</v>
      </c>
      <c r="S56" s="10" t="inlineStr">
        <is>
          <t>SÍ — integrante</t>
        </is>
      </c>
      <c r="T56" s="11" t="inlineStr">
        <is>
          <t>B · INTEGRANTE</t>
        </is>
      </c>
      <c r="U56" s="11" t="inlineStr">
        <is>
          <t>DEL BANCO (se hereda)</t>
        </is>
      </c>
      <c r="V56" s="11" t="inlineStr">
        <is>
          <t>9151 · SECTOR PRIMARIO (agropecuario, pesca, forestal, minería)</t>
        </is>
      </c>
      <c r="W56" s="12" t="n"/>
      <c r="X56" s="12" t="n"/>
    </row>
    <row r="57" ht="15" customHeight="1">
      <c r="C57" t="inlineStr">
        <is>
          <t>Actividad económica / giro mercantil</t>
        </is>
      </c>
      <c r="D57" t="inlineStr">
        <is>
          <t>F12</t>
        </is>
      </c>
      <c r="E57" t="inlineStr">
        <is>
          <t>INHERENTE</t>
        </is>
      </c>
      <c r="F57" t="inlineStr">
        <is>
          <t>CULTIVO DE CAMOTE</t>
        </is>
      </c>
      <c r="G57" t="n">
        <v>112037</v>
      </c>
      <c r="H57" t="n">
        <v>2</v>
      </c>
      <c r="I57" t="n">
        <v>2</v>
      </c>
      <c r="J57" t="n">
        <v>8</v>
      </c>
      <c r="K57" t="n">
        <v>16</v>
      </c>
      <c r="L57" t="n">
        <v>16</v>
      </c>
      <c r="M57" t="n">
        <v>16</v>
      </c>
      <c r="N57" t="n">
        <v>16</v>
      </c>
      <c r="O57" t="n">
        <v>40</v>
      </c>
      <c r="P57" t="n">
        <v>8</v>
      </c>
      <c r="R57" s="9" t="n">
        <v>0.08</v>
      </c>
      <c r="S57" s="10" t="inlineStr">
        <is>
          <t>SÍ — integrante</t>
        </is>
      </c>
      <c r="T57" s="11" t="inlineStr">
        <is>
          <t>B · INTEGRANTE</t>
        </is>
      </c>
      <c r="U57" s="11" t="inlineStr">
        <is>
          <t>DEL BANCO (se hereda)</t>
        </is>
      </c>
      <c r="V57" s="11" t="inlineStr">
        <is>
          <t>9151 · SECTOR PRIMARIO (agropecuario, pesca, forestal, minería)</t>
        </is>
      </c>
      <c r="W57" s="12" t="n"/>
      <c r="X57" s="12" t="n"/>
    </row>
    <row r="58" ht="15" customHeight="1">
      <c r="C58" t="inlineStr">
        <is>
          <t>Actividad económica / giro mercantil</t>
        </is>
      </c>
      <c r="D58" t="inlineStr">
        <is>
          <t>F12</t>
        </is>
      </c>
      <c r="E58" t="inlineStr">
        <is>
          <t>INHERENTE</t>
        </is>
      </c>
      <c r="F58" t="inlineStr">
        <is>
          <t>CULTIVO DE CEBOLLA</t>
        </is>
      </c>
      <c r="G58" t="n">
        <v>112045</v>
      </c>
      <c r="H58" t="n">
        <v>2</v>
      </c>
      <c r="I58" t="n">
        <v>2</v>
      </c>
      <c r="J58" t="n">
        <v>8</v>
      </c>
      <c r="K58" t="n">
        <v>16</v>
      </c>
      <c r="L58" t="n">
        <v>16</v>
      </c>
      <c r="M58" t="n">
        <v>16</v>
      </c>
      <c r="N58" t="n">
        <v>16</v>
      </c>
      <c r="O58" t="n">
        <v>40</v>
      </c>
      <c r="P58" t="n">
        <v>8</v>
      </c>
      <c r="R58" s="9" t="n">
        <v>0.08</v>
      </c>
      <c r="S58" s="10" t="inlineStr">
        <is>
          <t>SÍ — integrante</t>
        </is>
      </c>
      <c r="T58" s="11" t="inlineStr">
        <is>
          <t>B · INTEGRANTE</t>
        </is>
      </c>
      <c r="U58" s="11" t="inlineStr">
        <is>
          <t>DEL BANCO (se hereda)</t>
        </is>
      </c>
      <c r="V58" s="11" t="inlineStr">
        <is>
          <t>9151 · SECTOR PRIMARIO (agropecuario, pesca, forestal, minería)</t>
        </is>
      </c>
      <c r="W58" s="12" t="n"/>
      <c r="X58" s="12" t="n"/>
    </row>
    <row r="59" ht="15" customHeight="1">
      <c r="C59" t="inlineStr">
        <is>
          <t>Actividad económica / giro mercantil</t>
        </is>
      </c>
      <c r="D59" t="inlineStr">
        <is>
          <t>F12</t>
        </is>
      </c>
      <c r="E59" t="inlineStr">
        <is>
          <t>INHERENTE</t>
        </is>
      </c>
      <c r="F59" t="inlineStr">
        <is>
          <t>CULTIVO DE CHILE</t>
        </is>
      </c>
      <c r="G59" t="n">
        <v>112053</v>
      </c>
      <c r="H59" t="n">
        <v>2</v>
      </c>
      <c r="I59" t="n">
        <v>2</v>
      </c>
      <c r="J59" t="n">
        <v>8</v>
      </c>
      <c r="K59" t="n">
        <v>16</v>
      </c>
      <c r="L59" t="n">
        <v>16</v>
      </c>
      <c r="M59" t="n">
        <v>16</v>
      </c>
      <c r="N59" t="n">
        <v>16</v>
      </c>
      <c r="O59" t="n">
        <v>40</v>
      </c>
      <c r="P59" t="n">
        <v>8</v>
      </c>
      <c r="R59" s="9" t="n">
        <v>0.08</v>
      </c>
      <c r="S59" s="10" t="inlineStr">
        <is>
          <t>SÍ — integrante</t>
        </is>
      </c>
      <c r="T59" s="11" t="inlineStr">
        <is>
          <t>B · INTEGRANTE</t>
        </is>
      </c>
      <c r="U59" s="11" t="inlineStr">
        <is>
          <t>DEL BANCO (se hereda)</t>
        </is>
      </c>
      <c r="V59" s="11" t="inlineStr">
        <is>
          <t>9151 · SECTOR PRIMARIO (agropecuario, pesca, forestal, minería)</t>
        </is>
      </c>
      <c r="W59" s="12" t="n"/>
      <c r="X59" s="12" t="n"/>
    </row>
    <row r="60" ht="15" customHeight="1">
      <c r="C60" t="inlineStr">
        <is>
          <t>Actividad económica / giro mercantil</t>
        </is>
      </c>
      <c r="D60" t="inlineStr">
        <is>
          <t>F12</t>
        </is>
      </c>
      <c r="E60" t="inlineStr">
        <is>
          <t>INHERENTE</t>
        </is>
      </c>
      <c r="F60" t="inlineStr">
        <is>
          <t>CULTIVO DE ESPARRAGO</t>
        </is>
      </c>
      <c r="G60" t="n">
        <v>112061</v>
      </c>
      <c r="H60" t="n">
        <v>2</v>
      </c>
      <c r="I60" t="n">
        <v>2</v>
      </c>
      <c r="J60" t="n">
        <v>8</v>
      </c>
      <c r="K60" t="n">
        <v>16</v>
      </c>
      <c r="L60" t="n">
        <v>16</v>
      </c>
      <c r="M60" t="n">
        <v>16</v>
      </c>
      <c r="N60" t="n">
        <v>16</v>
      </c>
      <c r="O60" t="n">
        <v>40</v>
      </c>
      <c r="P60" t="n">
        <v>8</v>
      </c>
      <c r="R60" s="9" t="n">
        <v>0.08</v>
      </c>
      <c r="S60" s="10" t="inlineStr">
        <is>
          <t>SÍ — integrante</t>
        </is>
      </c>
      <c r="T60" s="11" t="inlineStr">
        <is>
          <t>B · INTEGRANTE</t>
        </is>
      </c>
      <c r="U60" s="11" t="inlineStr">
        <is>
          <t>DEL BANCO (se hereda)</t>
        </is>
      </c>
      <c r="V60" s="11" t="inlineStr">
        <is>
          <t>9151 · SECTOR PRIMARIO (agropecuario, pesca, forestal, minería)</t>
        </is>
      </c>
      <c r="W60" s="12" t="n"/>
      <c r="X60" s="12" t="n"/>
    </row>
    <row r="61" ht="15" customHeight="1">
      <c r="C61" t="inlineStr">
        <is>
          <t>Actividad económica / giro mercantil</t>
        </is>
      </c>
      <c r="D61" t="inlineStr">
        <is>
          <t>F12</t>
        </is>
      </c>
      <c r="E61" t="inlineStr">
        <is>
          <t>INHERENTE</t>
        </is>
      </c>
      <c r="F61" t="inlineStr">
        <is>
          <t>CULTIVO DE FRIJOL</t>
        </is>
      </c>
      <c r="G61" t="n">
        <v>112079</v>
      </c>
      <c r="H61" t="n">
        <v>2</v>
      </c>
      <c r="I61" t="n">
        <v>2</v>
      </c>
      <c r="J61" t="n">
        <v>8</v>
      </c>
      <c r="K61" t="n">
        <v>16</v>
      </c>
      <c r="L61" t="n">
        <v>16</v>
      </c>
      <c r="M61" t="n">
        <v>16</v>
      </c>
      <c r="N61" t="n">
        <v>16</v>
      </c>
      <c r="O61" t="n">
        <v>40</v>
      </c>
      <c r="P61" t="n">
        <v>8</v>
      </c>
      <c r="R61" s="9" t="n">
        <v>0.08</v>
      </c>
      <c r="S61" s="10" t="inlineStr">
        <is>
          <t>SÍ — integrante</t>
        </is>
      </c>
      <c r="T61" s="11" t="inlineStr">
        <is>
          <t>B · INTEGRANTE</t>
        </is>
      </c>
      <c r="U61" s="11" t="inlineStr">
        <is>
          <t>DEL BANCO (se hereda)</t>
        </is>
      </c>
      <c r="V61" s="11" t="inlineStr">
        <is>
          <t>9151 · SECTOR PRIMARIO (agropecuario, pesca, forestal, minería)</t>
        </is>
      </c>
      <c r="W61" s="12" t="n"/>
      <c r="X61" s="12" t="n"/>
    </row>
    <row r="62" ht="15" customHeight="1">
      <c r="C62" t="inlineStr">
        <is>
          <t>Actividad económica / giro mercantil</t>
        </is>
      </c>
      <c r="D62" t="inlineStr">
        <is>
          <t>F12</t>
        </is>
      </c>
      <c r="E62" t="inlineStr">
        <is>
          <t>INHERENTE</t>
        </is>
      </c>
      <c r="F62" t="inlineStr">
        <is>
          <t>CULTIVO DE GARBANZO</t>
        </is>
      </c>
      <c r="G62" t="n">
        <v>112087</v>
      </c>
      <c r="H62" t="n">
        <v>2</v>
      </c>
      <c r="I62" t="n">
        <v>2</v>
      </c>
      <c r="J62" t="n">
        <v>8</v>
      </c>
      <c r="K62" t="n">
        <v>16</v>
      </c>
      <c r="L62" t="n">
        <v>16</v>
      </c>
      <c r="M62" t="n">
        <v>16</v>
      </c>
      <c r="N62" t="n">
        <v>16</v>
      </c>
      <c r="O62" t="n">
        <v>40</v>
      </c>
      <c r="P62" t="n">
        <v>8</v>
      </c>
      <c r="R62" s="9" t="n">
        <v>0.08</v>
      </c>
      <c r="S62" s="10" t="inlineStr">
        <is>
          <t>SÍ — integrante</t>
        </is>
      </c>
      <c r="T62" s="11" t="inlineStr">
        <is>
          <t>B · INTEGRANTE</t>
        </is>
      </c>
      <c r="U62" s="11" t="inlineStr">
        <is>
          <t>DEL BANCO (se hereda)</t>
        </is>
      </c>
      <c r="V62" s="11" t="inlineStr">
        <is>
          <t>9151 · SECTOR PRIMARIO (agropecuario, pesca, forestal, minería)</t>
        </is>
      </c>
      <c r="W62" s="12" t="n"/>
      <c r="X62" s="12" t="n"/>
    </row>
    <row r="63" ht="15" customHeight="1">
      <c r="C63" t="inlineStr">
        <is>
          <t>Actividad económica / giro mercantil</t>
        </is>
      </c>
      <c r="D63" t="inlineStr">
        <is>
          <t>F12</t>
        </is>
      </c>
      <c r="E63" t="inlineStr">
        <is>
          <t>INHERENTE</t>
        </is>
      </c>
      <c r="F63" t="inlineStr">
        <is>
          <t>CULTIVO DE JITOMATE</t>
        </is>
      </c>
      <c r="G63" t="n">
        <v>112095</v>
      </c>
      <c r="H63" t="n">
        <v>2</v>
      </c>
      <c r="I63" t="n">
        <v>2</v>
      </c>
      <c r="J63" t="n">
        <v>8</v>
      </c>
      <c r="K63" t="n">
        <v>16</v>
      </c>
      <c r="L63" t="n">
        <v>16</v>
      </c>
      <c r="M63" t="n">
        <v>16</v>
      </c>
      <c r="N63" t="n">
        <v>16</v>
      </c>
      <c r="O63" t="n">
        <v>40</v>
      </c>
      <c r="P63" t="n">
        <v>8</v>
      </c>
      <c r="R63" s="9" t="n">
        <v>0.08</v>
      </c>
      <c r="S63" s="10" t="inlineStr">
        <is>
          <t>SÍ — integrante</t>
        </is>
      </c>
      <c r="T63" s="11" t="inlineStr">
        <is>
          <t>B · INTEGRANTE</t>
        </is>
      </c>
      <c r="U63" s="11" t="inlineStr">
        <is>
          <t>DEL BANCO (se hereda)</t>
        </is>
      </c>
      <c r="V63" s="11" t="inlineStr">
        <is>
          <t>9151 · SECTOR PRIMARIO (agropecuario, pesca, forestal, minería)</t>
        </is>
      </c>
      <c r="W63" s="12" t="n"/>
      <c r="X63" s="12" t="n"/>
    </row>
    <row r="64" ht="15" customHeight="1">
      <c r="C64" t="inlineStr">
        <is>
          <t>Actividad económica / giro mercantil</t>
        </is>
      </c>
      <c r="D64" t="inlineStr">
        <is>
          <t>F12</t>
        </is>
      </c>
      <c r="E64" t="inlineStr">
        <is>
          <t>INHERENTE</t>
        </is>
      </c>
      <c r="F64" t="inlineStr">
        <is>
          <t>CULTIVO DE LENTEJA</t>
        </is>
      </c>
      <c r="G64" t="n">
        <v>112102</v>
      </c>
      <c r="H64" t="n">
        <v>2</v>
      </c>
      <c r="I64" t="n">
        <v>2</v>
      </c>
      <c r="J64" t="n">
        <v>8</v>
      </c>
      <c r="K64" t="n">
        <v>16</v>
      </c>
      <c r="L64" t="n">
        <v>16</v>
      </c>
      <c r="M64" t="n">
        <v>16</v>
      </c>
      <c r="N64" t="n">
        <v>16</v>
      </c>
      <c r="O64" t="n">
        <v>40</v>
      </c>
      <c r="P64" t="n">
        <v>8</v>
      </c>
      <c r="R64" s="9" t="n">
        <v>0.08</v>
      </c>
      <c r="S64" s="10" t="inlineStr">
        <is>
          <t>SÍ — integrante</t>
        </is>
      </c>
      <c r="T64" s="11" t="inlineStr">
        <is>
          <t>B · INTEGRANTE</t>
        </is>
      </c>
      <c r="U64" s="11" t="inlineStr">
        <is>
          <t>DEL BANCO (se hereda)</t>
        </is>
      </c>
      <c r="V64" s="11" t="inlineStr">
        <is>
          <t>9151 · SECTOR PRIMARIO (agropecuario, pesca, forestal, minería)</t>
        </is>
      </c>
      <c r="W64" s="12" t="n"/>
      <c r="X64" s="12" t="n"/>
    </row>
    <row r="65" ht="15" customHeight="1">
      <c r="C65" t="inlineStr">
        <is>
          <t>Actividad económica / giro mercantil</t>
        </is>
      </c>
      <c r="D65" t="inlineStr">
        <is>
          <t>F12</t>
        </is>
      </c>
      <c r="E65" t="inlineStr">
        <is>
          <t>INHERENTE</t>
        </is>
      </c>
      <c r="F65" t="inlineStr">
        <is>
          <t>CULTIVO DE NOPAL</t>
        </is>
      </c>
      <c r="G65" t="n">
        <v>112110</v>
      </c>
      <c r="H65" t="n">
        <v>2</v>
      </c>
      <c r="I65" t="n">
        <v>2</v>
      </c>
      <c r="J65" t="n">
        <v>8</v>
      </c>
      <c r="K65" t="n">
        <v>16</v>
      </c>
      <c r="L65" t="n">
        <v>16</v>
      </c>
      <c r="M65" t="n">
        <v>16</v>
      </c>
      <c r="N65" t="n">
        <v>16</v>
      </c>
      <c r="O65" t="n">
        <v>40</v>
      </c>
      <c r="P65" t="n">
        <v>8</v>
      </c>
      <c r="R65" s="9" t="n">
        <v>0.08</v>
      </c>
      <c r="S65" s="10" t="inlineStr">
        <is>
          <t>SÍ — integrante</t>
        </is>
      </c>
      <c r="T65" s="11" t="inlineStr">
        <is>
          <t>B · INTEGRANTE</t>
        </is>
      </c>
      <c r="U65" s="11" t="inlineStr">
        <is>
          <t>DEL BANCO (se hereda)</t>
        </is>
      </c>
      <c r="V65" s="11" t="inlineStr">
        <is>
          <t>9151 · SECTOR PRIMARIO (agropecuario, pesca, forestal, minería)</t>
        </is>
      </c>
      <c r="W65" s="12" t="n"/>
      <c r="X65" s="12" t="n"/>
    </row>
    <row r="66" ht="15" customHeight="1">
      <c r="C66" t="inlineStr">
        <is>
          <t>Actividad económica / giro mercantil</t>
        </is>
      </c>
      <c r="D66" t="inlineStr">
        <is>
          <t>F12</t>
        </is>
      </c>
      <c r="E66" t="inlineStr">
        <is>
          <t>INHERENTE</t>
        </is>
      </c>
      <c r="F66" t="inlineStr">
        <is>
          <t>CULTIVO DE OTRAS HORTALIZAS</t>
        </is>
      </c>
      <c r="G66" t="n">
        <v>112128</v>
      </c>
      <c r="H66" t="n">
        <v>2</v>
      </c>
      <c r="I66" t="n">
        <v>2</v>
      </c>
      <c r="J66" t="n">
        <v>8</v>
      </c>
      <c r="K66" t="n">
        <v>16</v>
      </c>
      <c r="L66" t="n">
        <v>16</v>
      </c>
      <c r="M66" t="n">
        <v>16</v>
      </c>
      <c r="N66" t="n">
        <v>16</v>
      </c>
      <c r="O66" t="n">
        <v>40</v>
      </c>
      <c r="P66" t="n">
        <v>8</v>
      </c>
      <c r="R66" s="9" t="n">
        <v>0.08</v>
      </c>
      <c r="S66" s="10" t="inlineStr">
        <is>
          <t>SÍ — integrante</t>
        </is>
      </c>
      <c r="T66" s="11" t="inlineStr">
        <is>
          <t>B · INTEGRANTE</t>
        </is>
      </c>
      <c r="U66" s="11" t="inlineStr">
        <is>
          <t>DEL BANCO (se hereda)</t>
        </is>
      </c>
      <c r="V66" s="11" t="inlineStr">
        <is>
          <t>9151 · SECTOR PRIMARIO (agropecuario, pesca, forestal, minería)</t>
        </is>
      </c>
      <c r="W66" s="12" t="n"/>
      <c r="X66" s="12" t="n"/>
    </row>
    <row r="67" ht="15" customHeight="1">
      <c r="C67" t="inlineStr">
        <is>
          <t>Actividad económica / giro mercantil</t>
        </is>
      </c>
      <c r="D67" t="inlineStr">
        <is>
          <t>F12</t>
        </is>
      </c>
      <c r="E67" t="inlineStr">
        <is>
          <t>INHERENTE</t>
        </is>
      </c>
      <c r="F67" t="inlineStr">
        <is>
          <t>CULTIVO DE PAPA</t>
        </is>
      </c>
      <c r="G67" t="n">
        <v>112136</v>
      </c>
      <c r="H67" t="n">
        <v>2</v>
      </c>
      <c r="I67" t="n">
        <v>2</v>
      </c>
      <c r="J67" t="n">
        <v>8</v>
      </c>
      <c r="K67" t="n">
        <v>16</v>
      </c>
      <c r="L67" t="n">
        <v>16</v>
      </c>
      <c r="M67" t="n">
        <v>16</v>
      </c>
      <c r="N67" t="n">
        <v>16</v>
      </c>
      <c r="O67" t="n">
        <v>40</v>
      </c>
      <c r="P67" t="n">
        <v>8</v>
      </c>
      <c r="R67" s="9" t="n">
        <v>0.08</v>
      </c>
      <c r="S67" s="10" t="inlineStr">
        <is>
          <t>SÍ — integrante</t>
        </is>
      </c>
      <c r="T67" s="11" t="inlineStr">
        <is>
          <t>B · INTEGRANTE</t>
        </is>
      </c>
      <c r="U67" s="11" t="inlineStr">
        <is>
          <t>DEL BANCO (se hereda)</t>
        </is>
      </c>
      <c r="V67" s="11" t="inlineStr">
        <is>
          <t>9151 · SECTOR PRIMARIO (agropecuario, pesca, forestal, minería)</t>
        </is>
      </c>
      <c r="W67" s="12" t="n"/>
      <c r="X67" s="12" t="n"/>
    </row>
    <row r="68" ht="15" customHeight="1">
      <c r="C68" t="inlineStr">
        <is>
          <t>Actividad económica / giro mercantil</t>
        </is>
      </c>
      <c r="D68" t="inlineStr">
        <is>
          <t>F12</t>
        </is>
      </c>
      <c r="E68" t="inlineStr">
        <is>
          <t>INHERENTE</t>
        </is>
      </c>
      <c r="F68" t="inlineStr">
        <is>
          <t>CULTIVO DE REMOLACHA</t>
        </is>
      </c>
      <c r="G68" t="n">
        <v>112144</v>
      </c>
      <c r="H68" t="n">
        <v>2</v>
      </c>
      <c r="I68" t="n">
        <v>2</v>
      </c>
      <c r="J68" t="n">
        <v>8</v>
      </c>
      <c r="K68" t="n">
        <v>16</v>
      </c>
      <c r="L68" t="n">
        <v>16</v>
      </c>
      <c r="M68" t="n">
        <v>16</v>
      </c>
      <c r="N68" t="n">
        <v>16</v>
      </c>
      <c r="O68" t="n">
        <v>40</v>
      </c>
      <c r="P68" t="n">
        <v>8</v>
      </c>
      <c r="R68" s="9" t="n">
        <v>0.08</v>
      </c>
      <c r="S68" s="10" t="inlineStr">
        <is>
          <t>SÍ — integrante</t>
        </is>
      </c>
      <c r="T68" s="11" t="inlineStr">
        <is>
          <t>B · INTEGRANTE</t>
        </is>
      </c>
      <c r="U68" s="11" t="inlineStr">
        <is>
          <t>DEL BANCO (se hereda)</t>
        </is>
      </c>
      <c r="V68" s="11" t="inlineStr">
        <is>
          <t>9151 · SECTOR PRIMARIO (agropecuario, pesca, forestal, minería)</t>
        </is>
      </c>
      <c r="W68" s="12" t="n"/>
      <c r="X68" s="12" t="n"/>
    </row>
    <row r="69" ht="15" customHeight="1">
      <c r="C69" t="inlineStr">
        <is>
          <t>Actividad económica / giro mercantil</t>
        </is>
      </c>
      <c r="D69" t="inlineStr">
        <is>
          <t>F12</t>
        </is>
      </c>
      <c r="E69" t="inlineStr">
        <is>
          <t>INHERENTE</t>
        </is>
      </c>
      <c r="F69" t="inlineStr">
        <is>
          <t>CULTIVO DE TOMATE</t>
        </is>
      </c>
      <c r="G69" t="n">
        <v>112152</v>
      </c>
      <c r="H69" t="n">
        <v>2</v>
      </c>
      <c r="I69" t="n">
        <v>2</v>
      </c>
      <c r="J69" t="n">
        <v>8</v>
      </c>
      <c r="K69" t="n">
        <v>16</v>
      </c>
      <c r="L69" t="n">
        <v>16</v>
      </c>
      <c r="M69" t="n">
        <v>16</v>
      </c>
      <c r="N69" t="n">
        <v>16</v>
      </c>
      <c r="O69" t="n">
        <v>40</v>
      </c>
      <c r="P69" t="n">
        <v>8</v>
      </c>
      <c r="R69" s="9" t="n">
        <v>0.08</v>
      </c>
      <c r="S69" s="10" t="inlineStr">
        <is>
          <t>SÍ — integrante</t>
        </is>
      </c>
      <c r="T69" s="11" t="inlineStr">
        <is>
          <t>B · INTEGRANTE</t>
        </is>
      </c>
      <c r="U69" s="11" t="inlineStr">
        <is>
          <t>DEL BANCO (se hereda)</t>
        </is>
      </c>
      <c r="V69" s="11" t="inlineStr">
        <is>
          <t>9151 · SECTOR PRIMARIO (agropecuario, pesca, forestal, minería)</t>
        </is>
      </c>
      <c r="W69" s="12" t="n"/>
      <c r="X69" s="12" t="n"/>
    </row>
    <row r="70" ht="15" customHeight="1">
      <c r="C70" t="inlineStr">
        <is>
          <t>Actividad económica / giro mercantil</t>
        </is>
      </c>
      <c r="D70" t="inlineStr">
        <is>
          <t>F12</t>
        </is>
      </c>
      <c r="E70" t="inlineStr">
        <is>
          <t>INHERENTE</t>
        </is>
      </c>
      <c r="F70" t="inlineStr">
        <is>
          <t>CULTIVO DE YUCA</t>
        </is>
      </c>
      <c r="G70" t="n">
        <v>112160</v>
      </c>
      <c r="H70" t="n">
        <v>2</v>
      </c>
      <c r="I70" t="n">
        <v>2</v>
      </c>
      <c r="J70" t="n">
        <v>8</v>
      </c>
      <c r="K70" t="n">
        <v>16</v>
      </c>
      <c r="L70" t="n">
        <v>16</v>
      </c>
      <c r="M70" t="n">
        <v>16</v>
      </c>
      <c r="N70" t="n">
        <v>16</v>
      </c>
      <c r="O70" t="n">
        <v>40</v>
      </c>
      <c r="P70" t="n">
        <v>8</v>
      </c>
      <c r="R70" s="9" t="n">
        <v>0.08</v>
      </c>
      <c r="S70" s="10" t="inlineStr">
        <is>
          <t>SÍ — integrante</t>
        </is>
      </c>
      <c r="T70" s="11" t="inlineStr">
        <is>
          <t>B · INTEGRANTE</t>
        </is>
      </c>
      <c r="U70" s="11" t="inlineStr">
        <is>
          <t>DEL BANCO (se hereda)</t>
        </is>
      </c>
      <c r="V70" s="11" t="inlineStr">
        <is>
          <t>9151 · SECTOR PRIMARIO (agropecuario, pesca, forestal, minería)</t>
        </is>
      </c>
      <c r="W70" s="12" t="n"/>
      <c r="X70" s="12" t="n"/>
    </row>
    <row r="71" ht="15" customHeight="1">
      <c r="C71" t="inlineStr">
        <is>
          <t>Actividad económica / giro mercantil</t>
        </is>
      </c>
      <c r="D71" t="inlineStr">
        <is>
          <t>F12</t>
        </is>
      </c>
      <c r="E71" t="inlineStr">
        <is>
          <t>INHERENTE</t>
        </is>
      </c>
      <c r="F71" t="inlineStr">
        <is>
          <t>CULTIVO DE ALFALFA</t>
        </is>
      </c>
      <c r="G71" t="n">
        <v>113019</v>
      </c>
      <c r="H71" t="n">
        <v>2</v>
      </c>
      <c r="I71" t="n">
        <v>2</v>
      </c>
      <c r="J71" t="n">
        <v>8</v>
      </c>
      <c r="K71" t="n">
        <v>16</v>
      </c>
      <c r="L71" t="n">
        <v>16</v>
      </c>
      <c r="M71" t="n">
        <v>16</v>
      </c>
      <c r="N71" t="n">
        <v>16</v>
      </c>
      <c r="O71" t="n">
        <v>40</v>
      </c>
      <c r="P71" t="n">
        <v>8</v>
      </c>
      <c r="R71" s="9" t="n">
        <v>0.08</v>
      </c>
      <c r="S71" s="10" t="inlineStr">
        <is>
          <t>SÍ — integrante</t>
        </is>
      </c>
      <c r="T71" s="11" t="inlineStr">
        <is>
          <t>B · INTEGRANTE</t>
        </is>
      </c>
      <c r="U71" s="11" t="inlineStr">
        <is>
          <t>DEL BANCO (se hereda)</t>
        </is>
      </c>
      <c r="V71" s="11" t="inlineStr">
        <is>
          <t>9151 · SECTOR PRIMARIO (agropecuario, pesca, forestal, minería)</t>
        </is>
      </c>
      <c r="W71" s="12" t="n"/>
      <c r="X71" s="12" t="n"/>
    </row>
    <row r="72" ht="15" customHeight="1">
      <c r="C72" t="inlineStr">
        <is>
          <t>Actividad económica / giro mercantil</t>
        </is>
      </c>
      <c r="D72" t="inlineStr">
        <is>
          <t>F12</t>
        </is>
      </c>
      <c r="E72" t="inlineStr">
        <is>
          <t>INHERENTE</t>
        </is>
      </c>
      <c r="F72" t="inlineStr">
        <is>
          <t>CULTIVO DE FRESA</t>
        </is>
      </c>
      <c r="G72" t="n">
        <v>119017</v>
      </c>
      <c r="H72" t="n">
        <v>2</v>
      </c>
      <c r="I72" t="n">
        <v>2</v>
      </c>
      <c r="J72" t="n">
        <v>8</v>
      </c>
      <c r="K72" t="n">
        <v>16</v>
      </c>
      <c r="L72" t="n">
        <v>16</v>
      </c>
      <c r="M72" t="n">
        <v>16</v>
      </c>
      <c r="N72" t="n">
        <v>16</v>
      </c>
      <c r="O72" t="n">
        <v>40</v>
      </c>
      <c r="P72" t="n">
        <v>8</v>
      </c>
      <c r="R72" s="9" t="n">
        <v>0.08</v>
      </c>
      <c r="S72" s="10" t="inlineStr">
        <is>
          <t>SÍ — integrante</t>
        </is>
      </c>
      <c r="T72" s="11" t="inlineStr">
        <is>
          <t>B · INTEGRANTE</t>
        </is>
      </c>
      <c r="U72" s="11" t="inlineStr">
        <is>
          <t>DEL BANCO (se hereda)</t>
        </is>
      </c>
      <c r="V72" s="11" t="inlineStr">
        <is>
          <t>9151 · SECTOR PRIMARIO (agropecuario, pesca, forestal, minería)</t>
        </is>
      </c>
      <c r="W72" s="12" t="n"/>
      <c r="X72" s="12" t="n"/>
    </row>
    <row r="73" ht="15" customHeight="1">
      <c r="C73" t="inlineStr">
        <is>
          <t>Actividad económica / giro mercantil</t>
        </is>
      </c>
      <c r="D73" t="inlineStr">
        <is>
          <t>F12</t>
        </is>
      </c>
      <c r="E73" t="inlineStr">
        <is>
          <t>INHERENTE</t>
        </is>
      </c>
      <c r="F73" t="inlineStr">
        <is>
          <t>CULTIVO DE MELON</t>
        </is>
      </c>
      <c r="G73" t="n">
        <v>119025</v>
      </c>
      <c r="H73" t="n">
        <v>2</v>
      </c>
      <c r="I73" t="n">
        <v>2</v>
      </c>
      <c r="J73" t="n">
        <v>8</v>
      </c>
      <c r="K73" t="n">
        <v>16</v>
      </c>
      <c r="L73" t="n">
        <v>16</v>
      </c>
      <c r="M73" t="n">
        <v>16</v>
      </c>
      <c r="N73" t="n">
        <v>16</v>
      </c>
      <c r="O73" t="n">
        <v>40</v>
      </c>
      <c r="P73" t="n">
        <v>8</v>
      </c>
      <c r="R73" s="9" t="n">
        <v>0.08</v>
      </c>
      <c r="S73" s="10" t="inlineStr">
        <is>
          <t>SÍ — integrante</t>
        </is>
      </c>
      <c r="T73" s="11" t="inlineStr">
        <is>
          <t>B · INTEGRANTE</t>
        </is>
      </c>
      <c r="U73" s="11" t="inlineStr">
        <is>
          <t>DEL BANCO (se hereda)</t>
        </is>
      </c>
      <c r="V73" s="11" t="inlineStr">
        <is>
          <t>9151 · SECTOR PRIMARIO (agropecuario, pesca, forestal, minería)</t>
        </is>
      </c>
      <c r="W73" s="12" t="n"/>
      <c r="X73" s="12" t="n"/>
    </row>
    <row r="74" ht="15" customHeight="1">
      <c r="C74" t="inlineStr">
        <is>
          <t>Actividad económica / giro mercantil</t>
        </is>
      </c>
      <c r="D74" t="inlineStr">
        <is>
          <t>F12</t>
        </is>
      </c>
      <c r="E74" t="inlineStr">
        <is>
          <t>INHERENTE</t>
        </is>
      </c>
      <c r="F74" t="inlineStr">
        <is>
          <t>CULTIVO DE PIÑA</t>
        </is>
      </c>
      <c r="G74" t="n">
        <v>119033</v>
      </c>
      <c r="H74" t="n">
        <v>2</v>
      </c>
      <c r="I74" t="n">
        <v>2</v>
      </c>
      <c r="J74" t="n">
        <v>8</v>
      </c>
      <c r="K74" t="n">
        <v>16</v>
      </c>
      <c r="L74" t="n">
        <v>16</v>
      </c>
      <c r="M74" t="n">
        <v>16</v>
      </c>
      <c r="N74" t="n">
        <v>16</v>
      </c>
      <c r="O74" t="n">
        <v>40</v>
      </c>
      <c r="P74" t="n">
        <v>8</v>
      </c>
      <c r="R74" s="9" t="n">
        <v>0.08</v>
      </c>
      <c r="S74" s="10" t="inlineStr">
        <is>
          <t>SÍ — integrante</t>
        </is>
      </c>
      <c r="T74" s="11" t="inlineStr">
        <is>
          <t>B · INTEGRANTE</t>
        </is>
      </c>
      <c r="U74" s="11" t="inlineStr">
        <is>
          <t>DEL BANCO (se hereda)</t>
        </is>
      </c>
      <c r="V74" s="11" t="inlineStr">
        <is>
          <t>9151 · SECTOR PRIMARIO (agropecuario, pesca, forestal, minería)</t>
        </is>
      </c>
      <c r="W74" s="12" t="n"/>
      <c r="X74" s="12" t="n"/>
    </row>
    <row r="75" ht="15" customHeight="1">
      <c r="C75" t="inlineStr">
        <is>
          <t>Actividad económica / giro mercantil</t>
        </is>
      </c>
      <c r="D75" t="inlineStr">
        <is>
          <t>F12</t>
        </is>
      </c>
      <c r="E75" t="inlineStr">
        <is>
          <t>INHERENTE</t>
        </is>
      </c>
      <c r="F75" t="inlineStr">
        <is>
          <t>CULTIVO DE SANDIA</t>
        </is>
      </c>
      <c r="G75" t="n">
        <v>119041</v>
      </c>
      <c r="H75" t="n">
        <v>2</v>
      </c>
      <c r="I75" t="n">
        <v>2</v>
      </c>
      <c r="J75" t="n">
        <v>8</v>
      </c>
      <c r="K75" t="n">
        <v>16</v>
      </c>
      <c r="L75" t="n">
        <v>16</v>
      </c>
      <c r="M75" t="n">
        <v>16</v>
      </c>
      <c r="N75" t="n">
        <v>16</v>
      </c>
      <c r="O75" t="n">
        <v>40</v>
      </c>
      <c r="P75" t="n">
        <v>8</v>
      </c>
      <c r="R75" s="9" t="n">
        <v>0.08</v>
      </c>
      <c r="S75" s="10" t="inlineStr">
        <is>
          <t>SÍ — integrante</t>
        </is>
      </c>
      <c r="T75" s="11" t="inlineStr">
        <is>
          <t>B · INTEGRANTE</t>
        </is>
      </c>
      <c r="U75" s="11" t="inlineStr">
        <is>
          <t>DEL BANCO (se hereda)</t>
        </is>
      </c>
      <c r="V75" s="11" t="inlineStr">
        <is>
          <t>9151 · SECTOR PRIMARIO (agropecuario, pesca, forestal, minería)</t>
        </is>
      </c>
      <c r="W75" s="12" t="n"/>
      <c r="X75" s="12" t="n"/>
    </row>
    <row r="76" ht="15" customHeight="1">
      <c r="C76" t="inlineStr">
        <is>
          <t>Actividad económica / giro mercantil</t>
        </is>
      </c>
      <c r="D76" t="inlineStr">
        <is>
          <t>F12</t>
        </is>
      </c>
      <c r="E76" t="inlineStr">
        <is>
          <t>INHERENTE</t>
        </is>
      </c>
      <c r="F76" t="inlineStr">
        <is>
          <t>CULTIVO DE ALGODON</t>
        </is>
      </c>
      <c r="G76" t="n">
        <v>121012</v>
      </c>
      <c r="H76" t="n">
        <v>2</v>
      </c>
      <c r="I76" t="n">
        <v>2</v>
      </c>
      <c r="J76" t="n">
        <v>8</v>
      </c>
      <c r="K76" t="n">
        <v>16</v>
      </c>
      <c r="L76" t="n">
        <v>16</v>
      </c>
      <c r="M76" t="n">
        <v>16</v>
      </c>
      <c r="N76" t="n">
        <v>16</v>
      </c>
      <c r="O76" t="n">
        <v>40</v>
      </c>
      <c r="P76" t="n">
        <v>8</v>
      </c>
      <c r="R76" s="9" t="n">
        <v>0.08</v>
      </c>
      <c r="S76" s="10" t="inlineStr">
        <is>
          <t>SÍ — integrante</t>
        </is>
      </c>
      <c r="T76" s="11" t="inlineStr">
        <is>
          <t>B · INTEGRANTE</t>
        </is>
      </c>
      <c r="U76" s="11" t="inlineStr">
        <is>
          <t>DEL BANCO (se hereda)</t>
        </is>
      </c>
      <c r="V76" s="11" t="inlineStr">
        <is>
          <t>9151 · SECTOR PRIMARIO (agropecuario, pesca, forestal, minería)</t>
        </is>
      </c>
      <c r="W76" s="12" t="n"/>
      <c r="X76" s="12" t="n"/>
    </row>
    <row r="77" ht="15" customHeight="1">
      <c r="C77" t="inlineStr">
        <is>
          <t>Actividad económica / giro mercantil</t>
        </is>
      </c>
      <c r="D77" t="inlineStr">
        <is>
          <t>F12</t>
        </is>
      </c>
      <c r="E77" t="inlineStr">
        <is>
          <t>INHERENTE</t>
        </is>
      </c>
      <c r="F77" t="inlineStr">
        <is>
          <t>CULTIVO DE CAÑA DE AZUCAR</t>
        </is>
      </c>
      <c r="G77" t="n">
        <v>122010</v>
      </c>
      <c r="H77" t="n">
        <v>2</v>
      </c>
      <c r="I77" t="n">
        <v>2</v>
      </c>
      <c r="J77" t="n">
        <v>8</v>
      </c>
      <c r="K77" t="n">
        <v>16</v>
      </c>
      <c r="L77" t="n">
        <v>16</v>
      </c>
      <c r="M77" t="n">
        <v>16</v>
      </c>
      <c r="N77" t="n">
        <v>16</v>
      </c>
      <c r="O77" t="n">
        <v>40</v>
      </c>
      <c r="P77" t="n">
        <v>8</v>
      </c>
      <c r="R77" s="9" t="n">
        <v>0.08</v>
      </c>
      <c r="S77" s="10" t="inlineStr">
        <is>
          <t>SÍ — integrante</t>
        </is>
      </c>
      <c r="T77" s="11" t="inlineStr">
        <is>
          <t>B · INTEGRANTE</t>
        </is>
      </c>
      <c r="U77" s="11" t="inlineStr">
        <is>
          <t>DEL BANCO (se hereda)</t>
        </is>
      </c>
      <c r="V77" s="11" t="inlineStr">
        <is>
          <t>9151 · SECTOR PRIMARIO (agropecuario, pesca, forestal, minería)</t>
        </is>
      </c>
      <c r="W77" s="12" t="n"/>
      <c r="X77" s="12" t="n"/>
    </row>
    <row r="78" ht="15" customHeight="1">
      <c r="C78" t="inlineStr">
        <is>
          <t>Actividad económica / giro mercantil</t>
        </is>
      </c>
      <c r="D78" t="inlineStr">
        <is>
          <t>F12</t>
        </is>
      </c>
      <c r="E78" t="inlineStr">
        <is>
          <t>INHERENTE</t>
        </is>
      </c>
      <c r="F78" t="inlineStr">
        <is>
          <t>CULTIVO DE TABACO</t>
        </is>
      </c>
      <c r="G78" t="n">
        <v>123018</v>
      </c>
      <c r="H78" t="n">
        <v>3</v>
      </c>
      <c r="I78" t="n">
        <v>3</v>
      </c>
      <c r="J78" t="n">
        <v>8</v>
      </c>
      <c r="K78" t="n">
        <v>24</v>
      </c>
      <c r="L78" t="n">
        <v>24</v>
      </c>
      <c r="M78" t="n">
        <v>24</v>
      </c>
      <c r="N78" t="n">
        <v>24</v>
      </c>
      <c r="O78" t="n">
        <v>40</v>
      </c>
      <c r="P78" t="n">
        <v>8</v>
      </c>
      <c r="R78" s="9" t="n">
        <v>0.08</v>
      </c>
      <c r="S78" s="10" t="inlineStr">
        <is>
          <t>SÍ — integrante</t>
        </is>
      </c>
      <c r="T78" s="11" t="inlineStr">
        <is>
          <t>B · INTEGRANTE</t>
        </is>
      </c>
      <c r="U78" s="11" t="inlineStr">
        <is>
          <t>DEL BANCO (se hereda)</t>
        </is>
      </c>
      <c r="V78" s="11" t="inlineStr">
        <is>
          <t>9151 · SECTOR PRIMARIO (agropecuario, pesca, forestal, minería)</t>
        </is>
      </c>
      <c r="W78" s="12" t="n"/>
      <c r="X78" s="12" t="n"/>
    </row>
    <row r="79" ht="15" customHeight="1">
      <c r="C79" t="inlineStr">
        <is>
          <t>Actividad económica / giro mercantil</t>
        </is>
      </c>
      <c r="D79" t="inlineStr">
        <is>
          <t>F12</t>
        </is>
      </c>
      <c r="E79" t="inlineStr">
        <is>
          <t>INHERENTE</t>
        </is>
      </c>
      <c r="F79" t="inlineStr">
        <is>
          <t>CULTIVO DE AJONJOLI</t>
        </is>
      </c>
      <c r="G79" t="n">
        <v>124016</v>
      </c>
      <c r="H79" t="n">
        <v>2</v>
      </c>
      <c r="I79" t="n">
        <v>2</v>
      </c>
      <c r="J79" t="n">
        <v>8</v>
      </c>
      <c r="K79" t="n">
        <v>16</v>
      </c>
      <c r="L79" t="n">
        <v>16</v>
      </c>
      <c r="M79" t="n">
        <v>16</v>
      </c>
      <c r="N79" t="n">
        <v>16</v>
      </c>
      <c r="O79" t="n">
        <v>40</v>
      </c>
      <c r="P79" t="n">
        <v>8</v>
      </c>
      <c r="R79" s="9" t="n">
        <v>0.08</v>
      </c>
      <c r="S79" s="10" t="inlineStr">
        <is>
          <t>SÍ — integrante</t>
        </is>
      </c>
      <c r="T79" s="11" t="inlineStr">
        <is>
          <t>B · INTEGRANTE</t>
        </is>
      </c>
      <c r="U79" s="11" t="inlineStr">
        <is>
          <t>DEL BANCO (se hereda)</t>
        </is>
      </c>
      <c r="V79" s="11" t="inlineStr">
        <is>
          <t>9151 · SECTOR PRIMARIO (agropecuario, pesca, forestal, minería)</t>
        </is>
      </c>
      <c r="W79" s="12" t="n"/>
      <c r="X79" s="12" t="n"/>
    </row>
    <row r="80" ht="15" customHeight="1">
      <c r="C80" t="inlineStr">
        <is>
          <t>Actividad económica / giro mercantil</t>
        </is>
      </c>
      <c r="D80" t="inlineStr">
        <is>
          <t>F12</t>
        </is>
      </c>
      <c r="E80" t="inlineStr">
        <is>
          <t>INHERENTE</t>
        </is>
      </c>
      <c r="F80" t="inlineStr">
        <is>
          <t>CULTIVO DE CACAHUATE</t>
        </is>
      </c>
      <c r="G80" t="n">
        <v>124024</v>
      </c>
      <c r="H80" t="n">
        <v>2</v>
      </c>
      <c r="I80" t="n">
        <v>2</v>
      </c>
      <c r="J80" t="n">
        <v>8</v>
      </c>
      <c r="K80" t="n">
        <v>16</v>
      </c>
      <c r="L80" t="n">
        <v>16</v>
      </c>
      <c r="M80" t="n">
        <v>16</v>
      </c>
      <c r="N80" t="n">
        <v>16</v>
      </c>
      <c r="O80" t="n">
        <v>40</v>
      </c>
      <c r="P80" t="n">
        <v>8</v>
      </c>
      <c r="R80" s="9" t="n">
        <v>0.08</v>
      </c>
      <c r="S80" s="10" t="inlineStr">
        <is>
          <t>SÍ — integrante</t>
        </is>
      </c>
      <c r="T80" s="11" t="inlineStr">
        <is>
          <t>B · INTEGRANTE</t>
        </is>
      </c>
      <c r="U80" s="11" t="inlineStr">
        <is>
          <t>DEL BANCO (se hereda)</t>
        </is>
      </c>
      <c r="V80" s="11" t="inlineStr">
        <is>
          <t>9151 · SECTOR PRIMARIO (agropecuario, pesca, forestal, minería)</t>
        </is>
      </c>
      <c r="W80" s="12" t="n"/>
      <c r="X80" s="12" t="n"/>
    </row>
    <row r="81" ht="15" customHeight="1">
      <c r="C81" t="inlineStr">
        <is>
          <t>Actividad económica / giro mercantil</t>
        </is>
      </c>
      <c r="D81" t="inlineStr">
        <is>
          <t>F12</t>
        </is>
      </c>
      <c r="E81" t="inlineStr">
        <is>
          <t>INHERENTE</t>
        </is>
      </c>
      <c r="F81" t="inlineStr">
        <is>
          <t>CULTIVO DE CARTAMO</t>
        </is>
      </c>
      <c r="G81" t="n">
        <v>124032</v>
      </c>
      <c r="H81" t="n">
        <v>2</v>
      </c>
      <c r="I81" t="n">
        <v>2</v>
      </c>
      <c r="J81" t="n">
        <v>8</v>
      </c>
      <c r="K81" t="n">
        <v>16</v>
      </c>
      <c r="L81" t="n">
        <v>16</v>
      </c>
      <c r="M81" t="n">
        <v>16</v>
      </c>
      <c r="N81" t="n">
        <v>16</v>
      </c>
      <c r="O81" t="n">
        <v>40</v>
      </c>
      <c r="P81" t="n">
        <v>8</v>
      </c>
      <c r="R81" s="9" t="n">
        <v>0.08</v>
      </c>
      <c r="S81" s="10" t="inlineStr">
        <is>
          <t>SÍ — integrante</t>
        </is>
      </c>
      <c r="T81" s="11" t="inlineStr">
        <is>
          <t>B · INTEGRANTE</t>
        </is>
      </c>
      <c r="U81" s="11" t="inlineStr">
        <is>
          <t>DEL BANCO (se hereda)</t>
        </is>
      </c>
      <c r="V81" s="11" t="inlineStr">
        <is>
          <t>9151 · SECTOR PRIMARIO (agropecuario, pesca, forestal, minería)</t>
        </is>
      </c>
      <c r="W81" s="12" t="n"/>
      <c r="X81" s="12" t="n"/>
    </row>
    <row r="82" ht="15" customHeight="1">
      <c r="C82" t="inlineStr">
        <is>
          <t>Actividad económica / giro mercantil</t>
        </is>
      </c>
      <c r="D82" t="inlineStr">
        <is>
          <t>F12</t>
        </is>
      </c>
      <c r="E82" t="inlineStr">
        <is>
          <t>INHERENTE</t>
        </is>
      </c>
      <c r="F82" t="inlineStr">
        <is>
          <t>CULTIVO DE NUEZ</t>
        </is>
      </c>
      <c r="G82" t="n">
        <v>124040</v>
      </c>
      <c r="H82" t="n">
        <v>2</v>
      </c>
      <c r="I82" t="n">
        <v>2</v>
      </c>
      <c r="J82" t="n">
        <v>8</v>
      </c>
      <c r="K82" t="n">
        <v>16</v>
      </c>
      <c r="L82" t="n">
        <v>16</v>
      </c>
      <c r="M82" t="n">
        <v>16</v>
      </c>
      <c r="N82" t="n">
        <v>16</v>
      </c>
      <c r="O82" t="n">
        <v>40</v>
      </c>
      <c r="P82" t="n">
        <v>8</v>
      </c>
      <c r="R82" s="9" t="n">
        <v>0.08</v>
      </c>
      <c r="S82" s="10" t="inlineStr">
        <is>
          <t>SÍ — integrante</t>
        </is>
      </c>
      <c r="T82" s="11" t="inlineStr">
        <is>
          <t>B · INTEGRANTE</t>
        </is>
      </c>
      <c r="U82" s="11" t="inlineStr">
        <is>
          <t>DEL BANCO (se hereda)</t>
        </is>
      </c>
      <c r="V82" s="11" t="inlineStr">
        <is>
          <t>9151 · SECTOR PRIMARIO (agropecuario, pesca, forestal, minería)</t>
        </is>
      </c>
      <c r="W82" s="12" t="n"/>
      <c r="X82" s="12" t="n"/>
    </row>
    <row r="83" ht="15" customHeight="1">
      <c r="C83" t="inlineStr">
        <is>
          <t>Actividad económica / giro mercantil</t>
        </is>
      </c>
      <c r="D83" t="inlineStr">
        <is>
          <t>F12</t>
        </is>
      </c>
      <c r="E83" t="inlineStr">
        <is>
          <t>INHERENTE</t>
        </is>
      </c>
      <c r="F83" t="inlineStr">
        <is>
          <t>CULTIVO DE OLIVO</t>
        </is>
      </c>
      <c r="G83" t="n">
        <v>124058</v>
      </c>
      <c r="H83" t="n">
        <v>2</v>
      </c>
      <c r="I83" t="n">
        <v>2</v>
      </c>
      <c r="J83" t="n">
        <v>8</v>
      </c>
      <c r="K83" t="n">
        <v>16</v>
      </c>
      <c r="L83" t="n">
        <v>16</v>
      </c>
      <c r="M83" t="n">
        <v>16</v>
      </c>
      <c r="N83" t="n">
        <v>16</v>
      </c>
      <c r="O83" t="n">
        <v>40</v>
      </c>
      <c r="P83" t="n">
        <v>8</v>
      </c>
      <c r="R83" s="9" t="n">
        <v>0.08</v>
      </c>
      <c r="S83" s="10" t="inlineStr">
        <is>
          <t>SÍ — integrante</t>
        </is>
      </c>
      <c r="T83" s="11" t="inlineStr">
        <is>
          <t>B · INTEGRANTE</t>
        </is>
      </c>
      <c r="U83" s="11" t="inlineStr">
        <is>
          <t>DEL BANCO (se hereda)</t>
        </is>
      </c>
      <c r="V83" s="11" t="inlineStr">
        <is>
          <t>9151 · SECTOR PRIMARIO (agropecuario, pesca, forestal, minería)</t>
        </is>
      </c>
      <c r="W83" s="12" t="n"/>
      <c r="X83" s="12" t="n"/>
    </row>
    <row r="84" ht="15" customHeight="1">
      <c r="C84" t="inlineStr">
        <is>
          <t>Actividad económica / giro mercantil</t>
        </is>
      </c>
      <c r="D84" t="inlineStr">
        <is>
          <t>F12</t>
        </is>
      </c>
      <c r="E84" t="inlineStr">
        <is>
          <t>INHERENTE</t>
        </is>
      </c>
      <c r="F84" t="inlineStr">
        <is>
          <t>CULTIVO DE ESPECIAS</t>
        </is>
      </c>
      <c r="G84" t="n">
        <v>129016</v>
      </c>
      <c r="H84" t="n">
        <v>2</v>
      </c>
      <c r="I84" t="n">
        <v>2</v>
      </c>
      <c r="J84" t="n">
        <v>8</v>
      </c>
      <c r="K84" t="n">
        <v>16</v>
      </c>
      <c r="L84" t="n">
        <v>16</v>
      </c>
      <c r="M84" t="n">
        <v>16</v>
      </c>
      <c r="N84" t="n">
        <v>16</v>
      </c>
      <c r="O84" t="n">
        <v>40</v>
      </c>
      <c r="P84" t="n">
        <v>8</v>
      </c>
      <c r="R84" s="9" t="n">
        <v>0.08</v>
      </c>
      <c r="S84" s="10" t="inlineStr">
        <is>
          <t>SÍ — integrante</t>
        </is>
      </c>
      <c r="T84" s="11" t="inlineStr">
        <is>
          <t>B · INTEGRANTE</t>
        </is>
      </c>
      <c r="U84" s="11" t="inlineStr">
        <is>
          <t>DEL BANCO (se hereda)</t>
        </is>
      </c>
      <c r="V84" s="11" t="inlineStr">
        <is>
          <t>9151 · SECTOR PRIMARIO (agropecuario, pesca, forestal, minería)</t>
        </is>
      </c>
      <c r="W84" s="12" t="n"/>
      <c r="X84" s="12" t="n"/>
    </row>
    <row r="85" ht="15" customHeight="1">
      <c r="C85" t="inlineStr">
        <is>
          <t>Actividad económica / giro mercantil</t>
        </is>
      </c>
      <c r="D85" t="inlineStr">
        <is>
          <t>F12</t>
        </is>
      </c>
      <c r="E85" t="inlineStr">
        <is>
          <t>INHERENTE</t>
        </is>
      </c>
      <c r="F85" t="inlineStr">
        <is>
          <t>CULTIVO DE OTRAS SEMILLAS</t>
        </is>
      </c>
      <c r="G85" t="n">
        <v>129024</v>
      </c>
      <c r="H85" t="n">
        <v>4</v>
      </c>
      <c r="I85" t="n">
        <v>4</v>
      </c>
      <c r="J85" t="n">
        <v>8</v>
      </c>
      <c r="K85" t="n">
        <v>32</v>
      </c>
      <c r="L85" t="n">
        <v>32</v>
      </c>
      <c r="M85" t="n">
        <v>32</v>
      </c>
      <c r="N85" t="n">
        <v>32</v>
      </c>
      <c r="O85" t="n">
        <v>40</v>
      </c>
      <c r="P85" t="n">
        <v>8</v>
      </c>
      <c r="R85" s="9" t="n">
        <v>0.08</v>
      </c>
      <c r="S85" s="10" t="inlineStr">
        <is>
          <t>SÍ — integrante</t>
        </is>
      </c>
      <c r="T85" s="11" t="inlineStr">
        <is>
          <t>B · INTEGRANTE</t>
        </is>
      </c>
      <c r="U85" s="11" t="inlineStr">
        <is>
          <t>DEL BANCO (se hereda)</t>
        </is>
      </c>
      <c r="V85" s="11" t="inlineStr">
        <is>
          <t>9151 · SECTOR PRIMARIO (agropecuario, pesca, forestal, minería)</t>
        </is>
      </c>
      <c r="W85" s="12" t="n"/>
      <c r="X85" s="12" t="n"/>
    </row>
    <row r="86" ht="15" customHeight="1">
      <c r="C86" t="inlineStr">
        <is>
          <t>Actividad económica / giro mercantil</t>
        </is>
      </c>
      <c r="D86" t="inlineStr">
        <is>
          <t>F12</t>
        </is>
      </c>
      <c r="E86" t="inlineStr">
        <is>
          <t>INHERENTE</t>
        </is>
      </c>
      <c r="F86" t="inlineStr">
        <is>
          <t>CULTIVO DE SEMILLAS MEJORADAS</t>
        </is>
      </c>
      <c r="G86" t="n">
        <v>129032</v>
      </c>
      <c r="H86" t="n">
        <v>2</v>
      </c>
      <c r="I86" t="n">
        <v>2</v>
      </c>
      <c r="J86" t="n">
        <v>8</v>
      </c>
      <c r="K86" t="n">
        <v>16</v>
      </c>
      <c r="L86" t="n">
        <v>16</v>
      </c>
      <c r="M86" t="n">
        <v>16</v>
      </c>
      <c r="N86" t="n">
        <v>16</v>
      </c>
      <c r="O86" t="n">
        <v>40</v>
      </c>
      <c r="P86" t="n">
        <v>8</v>
      </c>
      <c r="R86" s="9" t="n">
        <v>0.08</v>
      </c>
      <c r="S86" s="10" t="inlineStr">
        <is>
          <t>SÍ — integrante</t>
        </is>
      </c>
      <c r="T86" s="11" t="inlineStr">
        <is>
          <t>B · INTEGRANTE</t>
        </is>
      </c>
      <c r="U86" s="11" t="inlineStr">
        <is>
          <t>DEL BANCO (se hereda)</t>
        </is>
      </c>
      <c r="V86" s="11" t="inlineStr">
        <is>
          <t>9151 · SECTOR PRIMARIO (agropecuario, pesca, forestal, minería)</t>
        </is>
      </c>
      <c r="W86" s="12" t="n"/>
      <c r="X86" s="12" t="n"/>
    </row>
    <row r="87" ht="15" customHeight="1">
      <c r="C87" t="inlineStr">
        <is>
          <t>Actividad económica / giro mercantil</t>
        </is>
      </c>
      <c r="D87" t="inlineStr">
        <is>
          <t>F12</t>
        </is>
      </c>
      <c r="E87" t="inlineStr">
        <is>
          <t>INHERENTE</t>
        </is>
      </c>
      <c r="F87" t="inlineStr">
        <is>
          <t>CULTIVO DE VAINILLA</t>
        </is>
      </c>
      <c r="G87" t="n">
        <v>129040</v>
      </c>
      <c r="H87" t="n">
        <v>3</v>
      </c>
      <c r="I87" t="n">
        <v>3</v>
      </c>
      <c r="J87" t="n">
        <v>8</v>
      </c>
      <c r="K87" t="n">
        <v>24</v>
      </c>
      <c r="L87" t="n">
        <v>24</v>
      </c>
      <c r="M87" t="n">
        <v>24</v>
      </c>
      <c r="N87" t="n">
        <v>24</v>
      </c>
      <c r="O87" t="n">
        <v>40</v>
      </c>
      <c r="P87" t="n">
        <v>8</v>
      </c>
      <c r="R87" s="9" t="n">
        <v>0.08</v>
      </c>
      <c r="S87" s="10" t="inlineStr">
        <is>
          <t>SÍ — integrante</t>
        </is>
      </c>
      <c r="T87" s="11" t="inlineStr">
        <is>
          <t>B · INTEGRANTE</t>
        </is>
      </c>
      <c r="U87" s="11" t="inlineStr">
        <is>
          <t>DEL BANCO (se hereda)</t>
        </is>
      </c>
      <c r="V87" s="11" t="inlineStr">
        <is>
          <t>9151 · SECTOR PRIMARIO (agropecuario, pesca, forestal, minería)</t>
        </is>
      </c>
      <c r="W87" s="12" t="n"/>
      <c r="X87" s="12" t="n"/>
    </row>
    <row r="88" ht="15" customHeight="1">
      <c r="C88" t="inlineStr">
        <is>
          <t>Actividad económica / giro mercantil</t>
        </is>
      </c>
      <c r="D88" t="inlineStr">
        <is>
          <t>F12</t>
        </is>
      </c>
      <c r="E88" t="inlineStr">
        <is>
          <t>INHERENTE</t>
        </is>
      </c>
      <c r="F88" t="inlineStr">
        <is>
          <t>CULTIVO DE FLORES Y PLANTAS DE ORNATO</t>
        </is>
      </c>
      <c r="G88" t="n">
        <v>131011</v>
      </c>
      <c r="H88" t="n">
        <v>2</v>
      </c>
      <c r="I88" t="n">
        <v>2</v>
      </c>
      <c r="J88" t="n">
        <v>8</v>
      </c>
      <c r="K88" t="n">
        <v>16</v>
      </c>
      <c r="L88" t="n">
        <v>16</v>
      </c>
      <c r="M88" t="n">
        <v>16</v>
      </c>
      <c r="N88" t="n">
        <v>16</v>
      </c>
      <c r="O88" t="n">
        <v>40</v>
      </c>
      <c r="P88" t="n">
        <v>8</v>
      </c>
      <c r="R88" s="9" t="n">
        <v>0.08</v>
      </c>
      <c r="S88" s="10" t="inlineStr">
        <is>
          <t>SÍ — integrante</t>
        </is>
      </c>
      <c r="T88" s="11" t="inlineStr">
        <is>
          <t>B · INTEGRANTE</t>
        </is>
      </c>
      <c r="U88" s="11" t="inlineStr">
        <is>
          <t>DEL BANCO (se hereda)</t>
        </is>
      </c>
      <c r="V88" s="11" t="inlineStr">
        <is>
          <t>9151 · SECTOR PRIMARIO (agropecuario, pesca, forestal, minería)</t>
        </is>
      </c>
      <c r="W88" s="12" t="n"/>
      <c r="X88" s="12" t="n"/>
    </row>
    <row r="89" ht="15" customHeight="1">
      <c r="C89" t="inlineStr">
        <is>
          <t>Actividad económica / giro mercantil</t>
        </is>
      </c>
      <c r="D89" t="inlineStr">
        <is>
          <t>F12</t>
        </is>
      </c>
      <c r="E89" t="inlineStr">
        <is>
          <t>INHERENTE</t>
        </is>
      </c>
      <c r="F89" t="inlineStr">
        <is>
          <t>CULTIVO DE CAFE</t>
        </is>
      </c>
      <c r="G89" t="n">
        <v>141010</v>
      </c>
      <c r="H89" t="n">
        <v>2</v>
      </c>
      <c r="I89" t="n">
        <v>2</v>
      </c>
      <c r="J89" t="n">
        <v>8</v>
      </c>
      <c r="K89" t="n">
        <v>16</v>
      </c>
      <c r="L89" t="n">
        <v>16</v>
      </c>
      <c r="M89" t="n">
        <v>16</v>
      </c>
      <c r="N89" t="n">
        <v>16</v>
      </c>
      <c r="O89" t="n">
        <v>40</v>
      </c>
      <c r="P89" t="n">
        <v>8</v>
      </c>
      <c r="R89" s="9" t="n">
        <v>0.08</v>
      </c>
      <c r="S89" s="10" t="inlineStr">
        <is>
          <t>SÍ — integrante</t>
        </is>
      </c>
      <c r="T89" s="11" t="inlineStr">
        <is>
          <t>B · INTEGRANTE</t>
        </is>
      </c>
      <c r="U89" s="11" t="inlineStr">
        <is>
          <t>DEL BANCO (se hereda)</t>
        </is>
      </c>
      <c r="V89" s="11" t="inlineStr">
        <is>
          <t>9151 · SECTOR PRIMARIO (agropecuario, pesca, forestal, minería)</t>
        </is>
      </c>
      <c r="W89" s="12" t="n"/>
      <c r="X89" s="12" t="n"/>
    </row>
    <row r="90" ht="15" customHeight="1">
      <c r="C90" t="inlineStr">
        <is>
          <t>Actividad económica / giro mercantil</t>
        </is>
      </c>
      <c r="D90" t="inlineStr">
        <is>
          <t>F12</t>
        </is>
      </c>
      <c r="E90" t="inlineStr">
        <is>
          <t>INHERENTE</t>
        </is>
      </c>
      <c r="F90" t="inlineStr">
        <is>
          <t>CULTIVO DE AGUACATE</t>
        </is>
      </c>
      <c r="G90" t="n">
        <v>142018</v>
      </c>
      <c r="H90" t="n">
        <v>2</v>
      </c>
      <c r="I90" t="n">
        <v>2</v>
      </c>
      <c r="J90" t="n">
        <v>8</v>
      </c>
      <c r="K90" t="n">
        <v>16</v>
      </c>
      <c r="L90" t="n">
        <v>16</v>
      </c>
      <c r="M90" t="n">
        <v>16</v>
      </c>
      <c r="N90" t="n">
        <v>16</v>
      </c>
      <c r="O90" t="n">
        <v>40</v>
      </c>
      <c r="P90" t="n">
        <v>8</v>
      </c>
      <c r="R90" s="9" t="n">
        <v>0.08</v>
      </c>
      <c r="S90" s="10" t="inlineStr">
        <is>
          <t>SÍ — integrante</t>
        </is>
      </c>
      <c r="T90" s="11" t="inlineStr">
        <is>
          <t>B · INTEGRANTE</t>
        </is>
      </c>
      <c r="U90" s="11" t="inlineStr">
        <is>
          <t>DEL BANCO (se hereda)</t>
        </is>
      </c>
      <c r="V90" s="11" t="inlineStr">
        <is>
          <t>9151 · SECTOR PRIMARIO (agropecuario, pesca, forestal, minería)</t>
        </is>
      </c>
      <c r="W90" s="12" t="n"/>
      <c r="X90" s="12" t="n"/>
    </row>
    <row r="91" ht="15" customHeight="1">
      <c r="C91" t="inlineStr">
        <is>
          <t>Actividad económica / giro mercantil</t>
        </is>
      </c>
      <c r="D91" t="inlineStr">
        <is>
          <t>F12</t>
        </is>
      </c>
      <c r="E91" t="inlineStr">
        <is>
          <t>INHERENTE</t>
        </is>
      </c>
      <c r="F91" t="inlineStr">
        <is>
          <t>CULTIVO DE DURAZNO</t>
        </is>
      </c>
      <c r="G91" t="n">
        <v>142026</v>
      </c>
      <c r="H91" t="n">
        <v>2</v>
      </c>
      <c r="I91" t="n">
        <v>2</v>
      </c>
      <c r="J91" t="n">
        <v>8</v>
      </c>
      <c r="K91" t="n">
        <v>16</v>
      </c>
      <c r="L91" t="n">
        <v>16</v>
      </c>
      <c r="M91" t="n">
        <v>16</v>
      </c>
      <c r="N91" t="n">
        <v>16</v>
      </c>
      <c r="O91" t="n">
        <v>40</v>
      </c>
      <c r="P91" t="n">
        <v>8</v>
      </c>
      <c r="R91" s="9" t="n">
        <v>0.08</v>
      </c>
      <c r="S91" s="10" t="inlineStr">
        <is>
          <t>SÍ — integrante</t>
        </is>
      </c>
      <c r="T91" s="11" t="inlineStr">
        <is>
          <t>B · INTEGRANTE</t>
        </is>
      </c>
      <c r="U91" s="11" t="inlineStr">
        <is>
          <t>DEL BANCO (se hereda)</t>
        </is>
      </c>
      <c r="V91" s="11" t="inlineStr">
        <is>
          <t>9151 · SECTOR PRIMARIO (agropecuario, pesca, forestal, minería)</t>
        </is>
      </c>
      <c r="W91" s="12" t="n"/>
      <c r="X91" s="12" t="n"/>
    </row>
    <row r="92" ht="15" customHeight="1">
      <c r="C92" t="inlineStr">
        <is>
          <t>Actividad económica / giro mercantil</t>
        </is>
      </c>
      <c r="D92" t="inlineStr">
        <is>
          <t>F12</t>
        </is>
      </c>
      <c r="E92" t="inlineStr">
        <is>
          <t>INHERENTE</t>
        </is>
      </c>
      <c r="F92" t="inlineStr">
        <is>
          <t>CULTIVO DE GUAYABA</t>
        </is>
      </c>
      <c r="G92" t="n">
        <v>142034</v>
      </c>
      <c r="H92" t="n">
        <v>2</v>
      </c>
      <c r="I92" t="n">
        <v>2</v>
      </c>
      <c r="J92" t="n">
        <v>8</v>
      </c>
      <c r="K92" t="n">
        <v>16</v>
      </c>
      <c r="L92" t="n">
        <v>16</v>
      </c>
      <c r="M92" t="n">
        <v>16</v>
      </c>
      <c r="N92" t="n">
        <v>16</v>
      </c>
      <c r="O92" t="n">
        <v>40</v>
      </c>
      <c r="P92" t="n">
        <v>8</v>
      </c>
      <c r="R92" s="9" t="n">
        <v>0.08</v>
      </c>
      <c r="S92" s="10" t="inlineStr">
        <is>
          <t>SÍ — integrante</t>
        </is>
      </c>
      <c r="T92" s="11" t="inlineStr">
        <is>
          <t>B · INTEGRANTE</t>
        </is>
      </c>
      <c r="U92" s="11" t="inlineStr">
        <is>
          <t>DEL BANCO (se hereda)</t>
        </is>
      </c>
      <c r="V92" s="11" t="inlineStr">
        <is>
          <t>9151 · SECTOR PRIMARIO (agropecuario, pesca, forestal, minería)</t>
        </is>
      </c>
      <c r="W92" s="12" t="n"/>
      <c r="X92" s="12" t="n"/>
    </row>
    <row r="93" ht="15" customHeight="1">
      <c r="C93" t="inlineStr">
        <is>
          <t>Actividad económica / giro mercantil</t>
        </is>
      </c>
      <c r="D93" t="inlineStr">
        <is>
          <t>F12</t>
        </is>
      </c>
      <c r="E93" t="inlineStr">
        <is>
          <t>INHERENTE</t>
        </is>
      </c>
      <c r="F93" t="inlineStr">
        <is>
          <t>CULTIVO DE LIMON</t>
        </is>
      </c>
      <c r="G93" t="n">
        <v>142042</v>
      </c>
      <c r="H93" t="n">
        <v>2</v>
      </c>
      <c r="I93" t="n">
        <v>2</v>
      </c>
      <c r="J93" t="n">
        <v>8</v>
      </c>
      <c r="K93" t="n">
        <v>16</v>
      </c>
      <c r="L93" t="n">
        <v>16</v>
      </c>
      <c r="M93" t="n">
        <v>16</v>
      </c>
      <c r="N93" t="n">
        <v>16</v>
      </c>
      <c r="O93" t="n">
        <v>40</v>
      </c>
      <c r="P93" t="n">
        <v>8</v>
      </c>
      <c r="R93" s="9" t="n">
        <v>0.08</v>
      </c>
      <c r="S93" s="10" t="inlineStr">
        <is>
          <t>SÍ — integrante</t>
        </is>
      </c>
      <c r="T93" s="11" t="inlineStr">
        <is>
          <t>B · INTEGRANTE</t>
        </is>
      </c>
      <c r="U93" s="11" t="inlineStr">
        <is>
          <t>DEL BANCO (se hereda)</t>
        </is>
      </c>
      <c r="V93" s="11" t="inlineStr">
        <is>
          <t>9151 · SECTOR PRIMARIO (agropecuario, pesca, forestal, minería)</t>
        </is>
      </c>
      <c r="W93" s="12" t="n"/>
      <c r="X93" s="12" t="n"/>
    </row>
    <row r="94" ht="15" customHeight="1">
      <c r="C94" t="inlineStr">
        <is>
          <t>Actividad económica / giro mercantil</t>
        </is>
      </c>
      <c r="D94" t="inlineStr">
        <is>
          <t>F12</t>
        </is>
      </c>
      <c r="E94" t="inlineStr">
        <is>
          <t>INHERENTE</t>
        </is>
      </c>
      <c r="F94" t="inlineStr">
        <is>
          <t>CULTIVO DE MANGO</t>
        </is>
      </c>
      <c r="G94" t="n">
        <v>142050</v>
      </c>
      <c r="H94" t="n">
        <v>2</v>
      </c>
      <c r="I94" t="n">
        <v>2</v>
      </c>
      <c r="J94" t="n">
        <v>8</v>
      </c>
      <c r="K94" t="n">
        <v>16</v>
      </c>
      <c r="L94" t="n">
        <v>16</v>
      </c>
      <c r="M94" t="n">
        <v>16</v>
      </c>
      <c r="N94" t="n">
        <v>16</v>
      </c>
      <c r="O94" t="n">
        <v>40</v>
      </c>
      <c r="P94" t="n">
        <v>8</v>
      </c>
      <c r="R94" s="9" t="n">
        <v>0.08</v>
      </c>
      <c r="S94" s="10" t="inlineStr">
        <is>
          <t>SÍ — integrante</t>
        </is>
      </c>
      <c r="T94" s="11" t="inlineStr">
        <is>
          <t>B · INTEGRANTE</t>
        </is>
      </c>
      <c r="U94" s="11" t="inlineStr">
        <is>
          <t>DEL BANCO (se hereda)</t>
        </is>
      </c>
      <c r="V94" s="11" t="inlineStr">
        <is>
          <t>9151 · SECTOR PRIMARIO (agropecuario, pesca, forestal, minería)</t>
        </is>
      </c>
      <c r="W94" s="12" t="n"/>
      <c r="X94" s="12" t="n"/>
    </row>
    <row r="95" ht="15" customHeight="1">
      <c r="C95" t="inlineStr">
        <is>
          <t>Actividad económica / giro mercantil</t>
        </is>
      </c>
      <c r="D95" t="inlineStr">
        <is>
          <t>F12</t>
        </is>
      </c>
      <c r="E95" t="inlineStr">
        <is>
          <t>INHERENTE</t>
        </is>
      </c>
      <c r="F95" t="inlineStr">
        <is>
          <t>CULTIVO DE MANZANA</t>
        </is>
      </c>
      <c r="G95" t="n">
        <v>142068</v>
      </c>
      <c r="H95" t="n">
        <v>2</v>
      </c>
      <c r="I95" t="n">
        <v>2</v>
      </c>
      <c r="J95" t="n">
        <v>8</v>
      </c>
      <c r="K95" t="n">
        <v>16</v>
      </c>
      <c r="L95" t="n">
        <v>16</v>
      </c>
      <c r="M95" t="n">
        <v>16</v>
      </c>
      <c r="N95" t="n">
        <v>16</v>
      </c>
      <c r="O95" t="n">
        <v>40</v>
      </c>
      <c r="P95" t="n">
        <v>8</v>
      </c>
      <c r="R95" s="9" t="n">
        <v>0.08</v>
      </c>
      <c r="S95" s="10" t="inlineStr">
        <is>
          <t>SÍ — integrante</t>
        </is>
      </c>
      <c r="T95" s="11" t="inlineStr">
        <is>
          <t>B · INTEGRANTE</t>
        </is>
      </c>
      <c r="U95" s="11" t="inlineStr">
        <is>
          <t>DEL BANCO (se hereda)</t>
        </is>
      </c>
      <c r="V95" s="11" t="inlineStr">
        <is>
          <t>9151 · SECTOR PRIMARIO (agropecuario, pesca, forestal, minería)</t>
        </is>
      </c>
      <c r="W95" s="12" t="n"/>
      <c r="X95" s="12" t="n"/>
    </row>
    <row r="96" ht="15" customHeight="1">
      <c r="C96" t="inlineStr">
        <is>
          <t>Actividad económica / giro mercantil</t>
        </is>
      </c>
      <c r="D96" t="inlineStr">
        <is>
          <t>F12</t>
        </is>
      </c>
      <c r="E96" t="inlineStr">
        <is>
          <t>INHERENTE</t>
        </is>
      </c>
      <c r="F96" t="inlineStr">
        <is>
          <t>CULTIVO DE NARANJA</t>
        </is>
      </c>
      <c r="G96" t="n">
        <v>142076</v>
      </c>
      <c r="H96" t="n">
        <v>2</v>
      </c>
      <c r="I96" t="n">
        <v>2</v>
      </c>
      <c r="J96" t="n">
        <v>8</v>
      </c>
      <c r="K96" t="n">
        <v>16</v>
      </c>
      <c r="L96" t="n">
        <v>16</v>
      </c>
      <c r="M96" t="n">
        <v>16</v>
      </c>
      <c r="N96" t="n">
        <v>16</v>
      </c>
      <c r="O96" t="n">
        <v>40</v>
      </c>
      <c r="P96" t="n">
        <v>8</v>
      </c>
      <c r="R96" s="9" t="n">
        <v>0.08</v>
      </c>
      <c r="S96" s="10" t="inlineStr">
        <is>
          <t>SÍ — integrante</t>
        </is>
      </c>
      <c r="T96" s="11" t="inlineStr">
        <is>
          <t>B · INTEGRANTE</t>
        </is>
      </c>
      <c r="U96" s="11" t="inlineStr">
        <is>
          <t>DEL BANCO (se hereda)</t>
        </is>
      </c>
      <c r="V96" s="11" t="inlineStr">
        <is>
          <t>9151 · SECTOR PRIMARIO (agropecuario, pesca, forestal, minería)</t>
        </is>
      </c>
      <c r="W96" s="12" t="n"/>
      <c r="X96" s="12" t="n"/>
    </row>
    <row r="97" ht="15" customHeight="1">
      <c r="C97" t="inlineStr">
        <is>
          <t>Actividad económica / giro mercantil</t>
        </is>
      </c>
      <c r="D97" t="inlineStr">
        <is>
          <t>F12</t>
        </is>
      </c>
      <c r="E97" t="inlineStr">
        <is>
          <t>INHERENTE</t>
        </is>
      </c>
      <c r="F97" t="inlineStr">
        <is>
          <t>CULTIVO DE OTROS ARBOLES FRUTALES</t>
        </is>
      </c>
      <c r="G97" t="n">
        <v>142084</v>
      </c>
      <c r="H97" t="n">
        <v>2</v>
      </c>
      <c r="I97" t="n">
        <v>2</v>
      </c>
      <c r="J97" t="n">
        <v>8</v>
      </c>
      <c r="K97" t="n">
        <v>16</v>
      </c>
      <c r="L97" t="n">
        <v>16</v>
      </c>
      <c r="M97" t="n">
        <v>16</v>
      </c>
      <c r="N97" t="n">
        <v>16</v>
      </c>
      <c r="O97" t="n">
        <v>40</v>
      </c>
      <c r="P97" t="n">
        <v>8</v>
      </c>
      <c r="R97" s="9" t="n">
        <v>0.08</v>
      </c>
      <c r="S97" s="10" t="inlineStr">
        <is>
          <t>SÍ — integrante</t>
        </is>
      </c>
      <c r="T97" s="11" t="inlineStr">
        <is>
          <t>B · INTEGRANTE</t>
        </is>
      </c>
      <c r="U97" s="11" t="inlineStr">
        <is>
          <t>DEL BANCO (se hereda)</t>
        </is>
      </c>
      <c r="V97" s="11" t="inlineStr">
        <is>
          <t>9151 · SECTOR PRIMARIO (agropecuario, pesca, forestal, minería)</t>
        </is>
      </c>
      <c r="W97" s="12" t="n"/>
      <c r="X97" s="12" t="n"/>
    </row>
    <row r="98" ht="15" customHeight="1">
      <c r="C98" t="inlineStr">
        <is>
          <t>Actividad económica / giro mercantil</t>
        </is>
      </c>
      <c r="D98" t="inlineStr">
        <is>
          <t>F12</t>
        </is>
      </c>
      <c r="E98" t="inlineStr">
        <is>
          <t>INHERENTE</t>
        </is>
      </c>
      <c r="F98" t="inlineStr">
        <is>
          <t>CULTIVO DE PAPAYA</t>
        </is>
      </c>
      <c r="G98" t="n">
        <v>142092</v>
      </c>
      <c r="H98" t="n">
        <v>2</v>
      </c>
      <c r="I98" t="n">
        <v>2</v>
      </c>
      <c r="J98" t="n">
        <v>8</v>
      </c>
      <c r="K98" t="n">
        <v>16</v>
      </c>
      <c r="L98" t="n">
        <v>16</v>
      </c>
      <c r="M98" t="n">
        <v>16</v>
      </c>
      <c r="N98" t="n">
        <v>16</v>
      </c>
      <c r="O98" t="n">
        <v>40</v>
      </c>
      <c r="P98" t="n">
        <v>8</v>
      </c>
      <c r="R98" s="9" t="n">
        <v>0.08</v>
      </c>
      <c r="S98" s="10" t="inlineStr">
        <is>
          <t>SÍ — integrante</t>
        </is>
      </c>
      <c r="T98" s="11" t="inlineStr">
        <is>
          <t>B · INTEGRANTE</t>
        </is>
      </c>
      <c r="U98" s="11" t="inlineStr">
        <is>
          <t>DEL BANCO (se hereda)</t>
        </is>
      </c>
      <c r="V98" s="11" t="inlineStr">
        <is>
          <t>9151 · SECTOR PRIMARIO (agropecuario, pesca, forestal, minería)</t>
        </is>
      </c>
      <c r="W98" s="12" t="n"/>
      <c r="X98" s="12" t="n"/>
    </row>
    <row r="99" ht="15" customHeight="1">
      <c r="C99" t="inlineStr">
        <is>
          <t>Actividad económica / giro mercantil</t>
        </is>
      </c>
      <c r="D99" t="inlineStr">
        <is>
          <t>F12</t>
        </is>
      </c>
      <c r="E99" t="inlineStr">
        <is>
          <t>INHERENTE</t>
        </is>
      </c>
      <c r="F99" t="inlineStr">
        <is>
          <t>CULTIVO DE PLATANO</t>
        </is>
      </c>
      <c r="G99" t="n">
        <v>142109</v>
      </c>
      <c r="H99" t="n">
        <v>2</v>
      </c>
      <c r="I99" t="n">
        <v>2</v>
      </c>
      <c r="J99" t="n">
        <v>8</v>
      </c>
      <c r="K99" t="n">
        <v>16</v>
      </c>
      <c r="L99" t="n">
        <v>16</v>
      </c>
      <c r="M99" t="n">
        <v>16</v>
      </c>
      <c r="N99" t="n">
        <v>16</v>
      </c>
      <c r="O99" t="n">
        <v>40</v>
      </c>
      <c r="P99" t="n">
        <v>8</v>
      </c>
      <c r="R99" s="9" t="n">
        <v>0.08</v>
      </c>
      <c r="S99" s="10" t="inlineStr">
        <is>
          <t>SÍ — integrante</t>
        </is>
      </c>
      <c r="T99" s="11" t="inlineStr">
        <is>
          <t>B · INTEGRANTE</t>
        </is>
      </c>
      <c r="U99" s="11" t="inlineStr">
        <is>
          <t>DEL BANCO (se hereda)</t>
        </is>
      </c>
      <c r="V99" s="11" t="inlineStr">
        <is>
          <t>9151 · SECTOR PRIMARIO (agropecuario, pesca, forestal, minería)</t>
        </is>
      </c>
      <c r="W99" s="12" t="n"/>
      <c r="X99" s="12" t="n"/>
    </row>
    <row r="100" ht="15" customHeight="1">
      <c r="C100" t="inlineStr">
        <is>
          <t>Actividad económica / giro mercantil</t>
        </is>
      </c>
      <c r="D100" t="inlineStr">
        <is>
          <t>F12</t>
        </is>
      </c>
      <c r="E100" t="inlineStr">
        <is>
          <t>INHERENTE</t>
        </is>
      </c>
      <c r="F100" t="inlineStr">
        <is>
          <t>CULTIVO DE TAMARINDO</t>
        </is>
      </c>
      <c r="G100" t="n">
        <v>142117</v>
      </c>
      <c r="H100" t="n">
        <v>2</v>
      </c>
      <c r="I100" t="n">
        <v>2</v>
      </c>
      <c r="J100" t="n">
        <v>8</v>
      </c>
      <c r="K100" t="n">
        <v>16</v>
      </c>
      <c r="L100" t="n">
        <v>16</v>
      </c>
      <c r="M100" t="n">
        <v>16</v>
      </c>
      <c r="N100" t="n">
        <v>16</v>
      </c>
      <c r="O100" t="n">
        <v>40</v>
      </c>
      <c r="P100" t="n">
        <v>8</v>
      </c>
      <c r="R100" s="9" t="n">
        <v>0.08</v>
      </c>
      <c r="S100" s="10" t="inlineStr">
        <is>
          <t>SÍ — integrante</t>
        </is>
      </c>
      <c r="T100" s="11" t="inlineStr">
        <is>
          <t>B · INTEGRANTE</t>
        </is>
      </c>
      <c r="U100" s="11" t="inlineStr">
        <is>
          <t>DEL BANCO (se hereda)</t>
        </is>
      </c>
      <c r="V100" s="11" t="inlineStr">
        <is>
          <t>9151 · SECTOR PRIMARIO (agropecuario, pesca, forestal, minería)</t>
        </is>
      </c>
      <c r="W100" s="12" t="n"/>
      <c r="X100" s="12" t="n"/>
    </row>
    <row r="101" ht="15" customHeight="1">
      <c r="C101" t="inlineStr">
        <is>
          <t>Actividad económica / giro mercantil</t>
        </is>
      </c>
      <c r="D101" t="inlineStr">
        <is>
          <t>F12</t>
        </is>
      </c>
      <c r="E101" t="inlineStr">
        <is>
          <t>INHERENTE</t>
        </is>
      </c>
      <c r="F101" t="inlineStr">
        <is>
          <t>CULTIVO DE TORONJA</t>
        </is>
      </c>
      <c r="G101" t="n">
        <v>142125</v>
      </c>
      <c r="H101" t="n">
        <v>2</v>
      </c>
      <c r="I101" t="n">
        <v>2</v>
      </c>
      <c r="J101" t="n">
        <v>8</v>
      </c>
      <c r="K101" t="n">
        <v>16</v>
      </c>
      <c r="L101" t="n">
        <v>16</v>
      </c>
      <c r="M101" t="n">
        <v>16</v>
      </c>
      <c r="N101" t="n">
        <v>16</v>
      </c>
      <c r="O101" t="n">
        <v>40</v>
      </c>
      <c r="P101" t="n">
        <v>8</v>
      </c>
      <c r="R101" s="9" t="n">
        <v>0.08</v>
      </c>
      <c r="S101" s="10" t="inlineStr">
        <is>
          <t>SÍ — integrante</t>
        </is>
      </c>
      <c r="T101" s="11" t="inlineStr">
        <is>
          <t>B · INTEGRANTE</t>
        </is>
      </c>
      <c r="U101" s="11" t="inlineStr">
        <is>
          <t>DEL BANCO (se hereda)</t>
        </is>
      </c>
      <c r="V101" s="11" t="inlineStr">
        <is>
          <t>9151 · SECTOR PRIMARIO (agropecuario, pesca, forestal, minería)</t>
        </is>
      </c>
      <c r="W101" s="12" t="n"/>
      <c r="X101" s="12" t="n"/>
    </row>
    <row r="102" ht="15" customHeight="1">
      <c r="C102" t="inlineStr">
        <is>
          <t>Actividad económica / giro mercantil</t>
        </is>
      </c>
      <c r="D102" t="inlineStr">
        <is>
          <t>F12</t>
        </is>
      </c>
      <c r="E102" t="inlineStr">
        <is>
          <t>INHERENTE</t>
        </is>
      </c>
      <c r="F102" t="inlineStr">
        <is>
          <t>CULTIVO DE VID</t>
        </is>
      </c>
      <c r="G102" t="n">
        <v>143016</v>
      </c>
      <c r="H102" t="n">
        <v>2</v>
      </c>
      <c r="I102" t="n">
        <v>2</v>
      </c>
      <c r="J102" t="n">
        <v>8</v>
      </c>
      <c r="K102" t="n">
        <v>16</v>
      </c>
      <c r="L102" t="n">
        <v>16</v>
      </c>
      <c r="M102" t="n">
        <v>16</v>
      </c>
      <c r="N102" t="n">
        <v>16</v>
      </c>
      <c r="O102" t="n">
        <v>40</v>
      </c>
      <c r="P102" t="n">
        <v>8</v>
      </c>
      <c r="R102" s="9" t="n">
        <v>0.08</v>
      </c>
      <c r="S102" s="10" t="inlineStr">
        <is>
          <t>SÍ — integrante</t>
        </is>
      </c>
      <c r="T102" s="11" t="inlineStr">
        <is>
          <t>B · INTEGRANTE</t>
        </is>
      </c>
      <c r="U102" s="11" t="inlineStr">
        <is>
          <t>DEL BANCO (se hereda)</t>
        </is>
      </c>
      <c r="V102" s="11" t="inlineStr">
        <is>
          <t>9151 · SECTOR PRIMARIO (agropecuario, pesca, forestal, minería)</t>
        </is>
      </c>
      <c r="W102" s="12" t="n"/>
      <c r="X102" s="12" t="n"/>
    </row>
    <row r="103" ht="15" customHeight="1">
      <c r="C103" t="inlineStr">
        <is>
          <t>Actividad económica / giro mercantil</t>
        </is>
      </c>
      <c r="D103" t="inlineStr">
        <is>
          <t>F12</t>
        </is>
      </c>
      <c r="E103" t="inlineStr">
        <is>
          <t>INHERENTE</t>
        </is>
      </c>
      <c r="F103" t="inlineStr">
        <is>
          <t>CULTIVO DE HENEQUEN</t>
        </is>
      </c>
      <c r="G103" t="n">
        <v>144014</v>
      </c>
      <c r="H103" t="n">
        <v>2</v>
      </c>
      <c r="I103" t="n">
        <v>2</v>
      </c>
      <c r="J103" t="n">
        <v>8</v>
      </c>
      <c r="K103" t="n">
        <v>16</v>
      </c>
      <c r="L103" t="n">
        <v>16</v>
      </c>
      <c r="M103" t="n">
        <v>16</v>
      </c>
      <c r="N103" t="n">
        <v>16</v>
      </c>
      <c r="O103" t="n">
        <v>40</v>
      </c>
      <c r="P103" t="n">
        <v>8</v>
      </c>
      <c r="R103" s="9" t="n">
        <v>0.08</v>
      </c>
      <c r="S103" s="10" t="inlineStr">
        <is>
          <t>SÍ — integrante</t>
        </is>
      </c>
      <c r="T103" s="11" t="inlineStr">
        <is>
          <t>B · INTEGRANTE</t>
        </is>
      </c>
      <c r="U103" s="11" t="inlineStr">
        <is>
          <t>DEL BANCO (se hereda)</t>
        </is>
      </c>
      <c r="V103" s="11" t="inlineStr">
        <is>
          <t>9151 · SECTOR PRIMARIO (agropecuario, pesca, forestal, minería)</t>
        </is>
      </c>
      <c r="W103" s="12" t="n"/>
      <c r="X103" s="12" t="n"/>
    </row>
    <row r="104" ht="15" customHeight="1">
      <c r="C104" t="inlineStr">
        <is>
          <t>Actividad económica / giro mercantil</t>
        </is>
      </c>
      <c r="D104" t="inlineStr">
        <is>
          <t>F12</t>
        </is>
      </c>
      <c r="E104" t="inlineStr">
        <is>
          <t>INHERENTE</t>
        </is>
      </c>
      <c r="F104" t="inlineStr">
        <is>
          <t>CULTIVO DE LINO</t>
        </is>
      </c>
      <c r="G104" t="n">
        <v>144022</v>
      </c>
      <c r="H104" t="n">
        <v>2</v>
      </c>
      <c r="I104" t="n">
        <v>2</v>
      </c>
      <c r="J104" t="n">
        <v>8</v>
      </c>
      <c r="K104" t="n">
        <v>16</v>
      </c>
      <c r="L104" t="n">
        <v>16</v>
      </c>
      <c r="M104" t="n">
        <v>16</v>
      </c>
      <c r="N104" t="n">
        <v>16</v>
      </c>
      <c r="O104" t="n">
        <v>40</v>
      </c>
      <c r="P104" t="n">
        <v>8</v>
      </c>
      <c r="R104" s="9" t="n">
        <v>0.08</v>
      </c>
      <c r="S104" s="10" t="inlineStr">
        <is>
          <t>SÍ — integrante</t>
        </is>
      </c>
      <c r="T104" s="11" t="inlineStr">
        <is>
          <t>B · INTEGRANTE</t>
        </is>
      </c>
      <c r="U104" s="11" t="inlineStr">
        <is>
          <t>DEL BANCO (se hereda)</t>
        </is>
      </c>
      <c r="V104" s="11" t="inlineStr">
        <is>
          <t>9151 · SECTOR PRIMARIO (agropecuario, pesca, forestal, minería)</t>
        </is>
      </c>
      <c r="W104" s="12" t="n"/>
      <c r="X104" s="12" t="n"/>
    </row>
    <row r="105" ht="15" customHeight="1">
      <c r="C105" t="inlineStr">
        <is>
          <t>Actividad económica / giro mercantil</t>
        </is>
      </c>
      <c r="D105" t="inlineStr">
        <is>
          <t>F12</t>
        </is>
      </c>
      <c r="E105" t="inlineStr">
        <is>
          <t>INHERENTE</t>
        </is>
      </c>
      <c r="F105" t="inlineStr">
        <is>
          <t>CULTIVO DE OTRAS FIBRAS DURAS</t>
        </is>
      </c>
      <c r="G105" t="n">
        <v>144030</v>
      </c>
      <c r="H105" t="n">
        <v>2</v>
      </c>
      <c r="I105" t="n">
        <v>2</v>
      </c>
      <c r="J105" t="n">
        <v>8</v>
      </c>
      <c r="K105" t="n">
        <v>16</v>
      </c>
      <c r="L105" t="n">
        <v>16</v>
      </c>
      <c r="M105" t="n">
        <v>16</v>
      </c>
      <c r="N105" t="n">
        <v>16</v>
      </c>
      <c r="O105" t="n">
        <v>40</v>
      </c>
      <c r="P105" t="n">
        <v>8</v>
      </c>
      <c r="R105" s="9" t="n">
        <v>0.08</v>
      </c>
      <c r="S105" s="10" t="inlineStr">
        <is>
          <t>SÍ — integrante</t>
        </is>
      </c>
      <c r="T105" s="11" t="inlineStr">
        <is>
          <t>B · INTEGRANTE</t>
        </is>
      </c>
      <c r="U105" s="11" t="inlineStr">
        <is>
          <t>DEL BANCO (se hereda)</t>
        </is>
      </c>
      <c r="V105" s="11" t="inlineStr">
        <is>
          <t>9151 · SECTOR PRIMARIO (agropecuario, pesca, forestal, minería)</t>
        </is>
      </c>
      <c r="W105" s="12" t="n"/>
      <c r="X105" s="12" t="n"/>
    </row>
    <row r="106" ht="15" customHeight="1">
      <c r="C106" t="inlineStr">
        <is>
          <t>Actividad económica / giro mercantil</t>
        </is>
      </c>
      <c r="D106" t="inlineStr">
        <is>
          <t>F12</t>
        </is>
      </c>
      <c r="E106" t="inlineStr">
        <is>
          <t>INHERENTE</t>
        </is>
      </c>
      <c r="F106" t="inlineStr">
        <is>
          <t>CULTIVO DE AGAVE O MEZCAL</t>
        </is>
      </c>
      <c r="G106" t="n">
        <v>145012</v>
      </c>
      <c r="H106" t="n">
        <v>3</v>
      </c>
      <c r="I106" t="n">
        <v>3</v>
      </c>
      <c r="J106" t="n">
        <v>8</v>
      </c>
      <c r="K106" t="n">
        <v>24</v>
      </c>
      <c r="L106" t="n">
        <v>24</v>
      </c>
      <c r="M106" t="n">
        <v>24</v>
      </c>
      <c r="N106" t="n">
        <v>24</v>
      </c>
      <c r="O106" t="n">
        <v>40</v>
      </c>
      <c r="P106" t="n">
        <v>8</v>
      </c>
      <c r="R106" s="9" t="n">
        <v>0.08</v>
      </c>
      <c r="S106" s="10" t="inlineStr">
        <is>
          <t>SÍ — integrante</t>
        </is>
      </c>
      <c r="T106" s="11" t="inlineStr">
        <is>
          <t>B · INTEGRANTE</t>
        </is>
      </c>
      <c r="U106" s="11" t="inlineStr">
        <is>
          <t>DEL BANCO (se hereda)</t>
        </is>
      </c>
      <c r="V106" s="11" t="inlineStr">
        <is>
          <t>9151 · SECTOR PRIMARIO (agropecuario, pesca, forestal, minería)</t>
        </is>
      </c>
      <c r="W106" s="12" t="n"/>
      <c r="X106" s="12" t="n"/>
    </row>
    <row r="107" ht="15" customHeight="1">
      <c r="C107" t="inlineStr">
        <is>
          <t>Actividad económica / giro mercantil</t>
        </is>
      </c>
      <c r="D107" t="inlineStr">
        <is>
          <t>F12</t>
        </is>
      </c>
      <c r="E107" t="inlineStr">
        <is>
          <t>INHERENTE</t>
        </is>
      </c>
      <c r="F107" t="inlineStr">
        <is>
          <t>CULTIVO DE MAGUEY</t>
        </is>
      </c>
      <c r="G107" t="n">
        <v>145020</v>
      </c>
      <c r="H107" t="n">
        <v>2</v>
      </c>
      <c r="I107" t="n">
        <v>2</v>
      </c>
      <c r="J107" t="n">
        <v>8</v>
      </c>
      <c r="K107" t="n">
        <v>16</v>
      </c>
      <c r="L107" t="n">
        <v>16</v>
      </c>
      <c r="M107" t="n">
        <v>16</v>
      </c>
      <c r="N107" t="n">
        <v>16</v>
      </c>
      <c r="O107" t="n">
        <v>40</v>
      </c>
      <c r="P107" t="n">
        <v>8</v>
      </c>
      <c r="R107" s="9" t="n">
        <v>0.08</v>
      </c>
      <c r="S107" s="10" t="inlineStr">
        <is>
          <t>SÍ — integrante</t>
        </is>
      </c>
      <c r="T107" s="11" t="inlineStr">
        <is>
          <t>B · INTEGRANTE</t>
        </is>
      </c>
      <c r="U107" s="11" t="inlineStr">
        <is>
          <t>DEL BANCO (se hereda)</t>
        </is>
      </c>
      <c r="V107" s="11" t="inlineStr">
        <is>
          <t>9151 · SECTOR PRIMARIO (agropecuario, pesca, forestal, minería)</t>
        </is>
      </c>
      <c r="W107" s="12" t="n"/>
      <c r="X107" s="12" t="n"/>
    </row>
    <row r="108" ht="15" customHeight="1">
      <c r="C108" t="inlineStr">
        <is>
          <t>Actividad económica / giro mercantil</t>
        </is>
      </c>
      <c r="D108" t="inlineStr">
        <is>
          <t>F12</t>
        </is>
      </c>
      <c r="E108" t="inlineStr">
        <is>
          <t>INHERENTE</t>
        </is>
      </c>
      <c r="F108" t="inlineStr">
        <is>
          <t>CULTIVO DE COPRA</t>
        </is>
      </c>
      <c r="G108" t="n">
        <v>146010</v>
      </c>
      <c r="H108" t="n">
        <v>2</v>
      </c>
      <c r="I108" t="n">
        <v>2</v>
      </c>
      <c r="J108" t="n">
        <v>8</v>
      </c>
      <c r="K108" t="n">
        <v>16</v>
      </c>
      <c r="L108" t="n">
        <v>16</v>
      </c>
      <c r="M108" t="n">
        <v>16</v>
      </c>
      <c r="N108" t="n">
        <v>16</v>
      </c>
      <c r="O108" t="n">
        <v>40</v>
      </c>
      <c r="P108" t="n">
        <v>8</v>
      </c>
      <c r="R108" s="9" t="n">
        <v>0.08</v>
      </c>
      <c r="S108" s="10" t="inlineStr">
        <is>
          <t>SÍ — integrante</t>
        </is>
      </c>
      <c r="T108" s="11" t="inlineStr">
        <is>
          <t>B · INTEGRANTE</t>
        </is>
      </c>
      <c r="U108" s="11" t="inlineStr">
        <is>
          <t>DEL BANCO (se hereda)</t>
        </is>
      </c>
      <c r="V108" s="11" t="inlineStr">
        <is>
          <t>9151 · SECTOR PRIMARIO (agropecuario, pesca, forestal, minería)</t>
        </is>
      </c>
      <c r="W108" s="12" t="n"/>
      <c r="X108" s="12" t="n"/>
    </row>
    <row r="109" ht="15" customHeight="1">
      <c r="C109" t="inlineStr">
        <is>
          <t>Actividad económica / giro mercantil</t>
        </is>
      </c>
      <c r="D109" t="inlineStr">
        <is>
          <t>F12</t>
        </is>
      </c>
      <c r="E109" t="inlineStr">
        <is>
          <t>INHERENTE</t>
        </is>
      </c>
      <c r="F109" t="inlineStr">
        <is>
          <t>CULTIVO DE CACAO</t>
        </is>
      </c>
      <c r="G109" t="n">
        <v>147018</v>
      </c>
      <c r="H109" t="n">
        <v>2</v>
      </c>
      <c r="I109" t="n">
        <v>2</v>
      </c>
      <c r="J109" t="n">
        <v>8</v>
      </c>
      <c r="K109" t="n">
        <v>16</v>
      </c>
      <c r="L109" t="n">
        <v>16</v>
      </c>
      <c r="M109" t="n">
        <v>16</v>
      </c>
      <c r="N109" t="n">
        <v>16</v>
      </c>
      <c r="O109" t="n">
        <v>40</v>
      </c>
      <c r="P109" t="n">
        <v>8</v>
      </c>
      <c r="R109" s="9" t="n">
        <v>0.08</v>
      </c>
      <c r="S109" s="10" t="inlineStr">
        <is>
          <t>SÍ — integrante</t>
        </is>
      </c>
      <c r="T109" s="11" t="inlineStr">
        <is>
          <t>B · INTEGRANTE</t>
        </is>
      </c>
      <c r="U109" s="11" t="inlineStr">
        <is>
          <t>DEL BANCO (se hereda)</t>
        </is>
      </c>
      <c r="V109" s="11" t="inlineStr">
        <is>
          <t>9151 · SECTOR PRIMARIO (agropecuario, pesca, forestal, minería)</t>
        </is>
      </c>
      <c r="W109" s="12" t="n"/>
      <c r="X109" s="12" t="n"/>
    </row>
    <row r="110" ht="15" customHeight="1">
      <c r="C110" t="inlineStr">
        <is>
          <t>Actividad económica / giro mercantil</t>
        </is>
      </c>
      <c r="D110" t="inlineStr">
        <is>
          <t>F12</t>
        </is>
      </c>
      <c r="E110" t="inlineStr">
        <is>
          <t>INHERENTE</t>
        </is>
      </c>
      <c r="F110" t="inlineStr">
        <is>
          <t>OTROS CULTIVOS PERMANENTES</t>
        </is>
      </c>
      <c r="G110" t="n">
        <v>149014</v>
      </c>
      <c r="H110" t="n">
        <v>2</v>
      </c>
      <c r="I110" t="n">
        <v>2</v>
      </c>
      <c r="J110" t="n">
        <v>8</v>
      </c>
      <c r="K110" t="n">
        <v>16</v>
      </c>
      <c r="L110" t="n">
        <v>16</v>
      </c>
      <c r="M110" t="n">
        <v>16</v>
      </c>
      <c r="N110" t="n">
        <v>16</v>
      </c>
      <c r="O110" t="n">
        <v>40</v>
      </c>
      <c r="P110" t="n">
        <v>8</v>
      </c>
      <c r="R110" s="9" t="n">
        <v>0.08</v>
      </c>
      <c r="S110" s="10" t="inlineStr">
        <is>
          <t>SÍ — integrante</t>
        </is>
      </c>
      <c r="T110" s="11" t="inlineStr">
        <is>
          <t>B · INTEGRANTE</t>
        </is>
      </c>
      <c r="U110" s="11" t="inlineStr">
        <is>
          <t>DEL BANCO (se hereda)</t>
        </is>
      </c>
      <c r="V110" s="11" t="inlineStr">
        <is>
          <t>9151 · SECTOR PRIMARIO (agropecuario, pesca, forestal, minería)</t>
        </is>
      </c>
      <c r="W110" s="12" t="n"/>
      <c r="X110" s="12" t="n"/>
    </row>
    <row r="111" ht="15" customHeight="1">
      <c r="C111" t="inlineStr">
        <is>
          <t>Actividad económica / giro mercantil</t>
        </is>
      </c>
      <c r="D111" t="inlineStr">
        <is>
          <t>F12</t>
        </is>
      </c>
      <c r="E111" t="inlineStr">
        <is>
          <t>INHERENTE</t>
        </is>
      </c>
      <c r="F111" t="inlineStr">
        <is>
          <t>USUARIOS MENORES AGRICULTURA</t>
        </is>
      </c>
      <c r="G111" t="n">
        <v>149907</v>
      </c>
      <c r="H111" t="n">
        <v>2</v>
      </c>
      <c r="I111" t="n">
        <v>2</v>
      </c>
      <c r="J111" t="n">
        <v>8</v>
      </c>
      <c r="K111" t="n">
        <v>16</v>
      </c>
      <c r="L111" t="n">
        <v>16</v>
      </c>
      <c r="M111" t="n">
        <v>16</v>
      </c>
      <c r="N111" t="n">
        <v>16</v>
      </c>
      <c r="O111" t="n">
        <v>40</v>
      </c>
      <c r="P111" t="n">
        <v>8</v>
      </c>
      <c r="R111" s="9" t="n">
        <v>0.08</v>
      </c>
      <c r="S111" s="10" t="inlineStr">
        <is>
          <t>SÍ — integrante</t>
        </is>
      </c>
      <c r="T111" s="11" t="inlineStr">
        <is>
          <t>B · INTEGRANTE</t>
        </is>
      </c>
      <c r="U111" s="11" t="inlineStr">
        <is>
          <t>DEL BANCO (se hereda)</t>
        </is>
      </c>
      <c r="V111" s="11" t="inlineStr">
        <is>
          <t>9151 · SECTOR PRIMARIO (agropecuario, pesca, forestal, minería)</t>
        </is>
      </c>
      <c r="W111" s="12" t="n"/>
      <c r="X111" s="12" t="n"/>
    </row>
    <row r="112" ht="15" customHeight="1">
      <c r="C112" t="inlineStr">
        <is>
          <t>Actividad económica / giro mercantil</t>
        </is>
      </c>
      <c r="D112" t="inlineStr">
        <is>
          <t>F12</t>
        </is>
      </c>
      <c r="E112" t="inlineStr">
        <is>
          <t>INHERENTE</t>
        </is>
      </c>
      <c r="F112" t="inlineStr">
        <is>
          <t>CARTERA AGRICOLA DE ESTADOS ANALITICOS</t>
        </is>
      </c>
      <c r="G112" t="n">
        <v>149915</v>
      </c>
      <c r="H112" t="n">
        <v>2</v>
      </c>
      <c r="I112" t="n">
        <v>2</v>
      </c>
      <c r="J112" t="n">
        <v>8</v>
      </c>
      <c r="K112" t="n">
        <v>16</v>
      </c>
      <c r="L112" t="n">
        <v>16</v>
      </c>
      <c r="M112" t="n">
        <v>16</v>
      </c>
      <c r="N112" t="n">
        <v>16</v>
      </c>
      <c r="O112" t="n">
        <v>40</v>
      </c>
      <c r="P112" t="n">
        <v>8</v>
      </c>
      <c r="R112" s="9" t="n">
        <v>0.08</v>
      </c>
      <c r="S112" s="10" t="inlineStr">
        <is>
          <t>SÍ — integrante</t>
        </is>
      </c>
      <c r="T112" s="11" t="inlineStr">
        <is>
          <t>B · INTEGRANTE</t>
        </is>
      </c>
      <c r="U112" s="11" t="inlineStr">
        <is>
          <t>DEL BANCO (se hereda)</t>
        </is>
      </c>
      <c r="V112" s="11" t="inlineStr">
        <is>
          <t>9154 · OTRAS ACTIVIDADES NO CLASIFICADAS</t>
        </is>
      </c>
      <c r="W112" s="12" t="n"/>
      <c r="X112" s="12" t="n"/>
    </row>
    <row r="113" ht="15" customHeight="1">
      <c r="C113" t="inlineStr">
        <is>
          <t>Actividad económica / giro mercantil</t>
        </is>
      </c>
      <c r="D113" t="inlineStr">
        <is>
          <t>F12</t>
        </is>
      </c>
      <c r="E113" t="inlineStr">
        <is>
          <t>INHERENTE</t>
        </is>
      </c>
      <c r="F113" t="inlineStr">
        <is>
          <t>IRRIGACION DE TIERRAS</t>
        </is>
      </c>
      <c r="G113" t="n">
        <v>191015</v>
      </c>
      <c r="H113" t="n">
        <v>1</v>
      </c>
      <c r="I113" t="n">
        <v>1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40</v>
      </c>
      <c r="P113" t="n">
        <v>8</v>
      </c>
      <c r="R113" s="9" t="n">
        <v>0.08</v>
      </c>
      <c r="S113" s="10" t="inlineStr">
        <is>
          <t>SÍ — integrante</t>
        </is>
      </c>
      <c r="T113" s="11" t="inlineStr">
        <is>
          <t>B · INTEGRANTE</t>
        </is>
      </c>
      <c r="U113" s="11" t="inlineStr">
        <is>
          <t>DEL BANCO (se hereda)</t>
        </is>
      </c>
      <c r="V113" s="11" t="inlineStr">
        <is>
          <t>9151 · SECTOR PRIMARIO (agropecuario, pesca, forestal, minería)</t>
        </is>
      </c>
      <c r="W113" s="12" t="n"/>
      <c r="X113" s="12" t="n"/>
    </row>
    <row r="114" ht="15" customHeight="1">
      <c r="C114" t="inlineStr">
        <is>
          <t>Actividad económica / giro mercantil</t>
        </is>
      </c>
      <c r="D114" t="inlineStr">
        <is>
          <t>F12</t>
        </is>
      </c>
      <c r="E114" t="inlineStr">
        <is>
          <t>INHERENTE</t>
        </is>
      </c>
      <c r="F114" t="inlineStr">
        <is>
          <t>PREPARACION DE TIERRAS DE CULTIVO Y OTROS SERVICIOS AGRICOLAS</t>
        </is>
      </c>
      <c r="G114" t="n">
        <v>191023</v>
      </c>
      <c r="H114" t="n">
        <v>1</v>
      </c>
      <c r="I114" t="n">
        <v>1</v>
      </c>
      <c r="J114" t="n">
        <v>8</v>
      </c>
      <c r="K114" t="n">
        <v>8</v>
      </c>
      <c r="L114" t="n">
        <v>8</v>
      </c>
      <c r="M114" t="n">
        <v>8</v>
      </c>
      <c r="N114" t="n">
        <v>8</v>
      </c>
      <c r="O114" t="n">
        <v>40</v>
      </c>
      <c r="P114" t="n">
        <v>8</v>
      </c>
      <c r="R114" s="9" t="n">
        <v>0.08</v>
      </c>
      <c r="S114" s="10" t="inlineStr">
        <is>
          <t>SÍ — integrante</t>
        </is>
      </c>
      <c r="T114" s="11" t="inlineStr">
        <is>
          <t>B · INTEGRANTE</t>
        </is>
      </c>
      <c r="U114" s="11" t="inlineStr">
        <is>
          <t>DEL BANCO (se hereda)</t>
        </is>
      </c>
      <c r="V114" s="11" t="inlineStr">
        <is>
          <t>9151 · SECTOR PRIMARIO (agropecuario, pesca, forestal, minería)</t>
        </is>
      </c>
      <c r="W114" s="12" t="n"/>
      <c r="X114" s="12" t="n"/>
    </row>
    <row r="115" ht="15" customHeight="1">
      <c r="C115" t="inlineStr">
        <is>
          <t>Actividad económica / giro mercantil</t>
        </is>
      </c>
      <c r="D115" t="inlineStr">
        <is>
          <t>F12</t>
        </is>
      </c>
      <c r="E115" t="inlineStr">
        <is>
          <t>INHERENTE</t>
        </is>
      </c>
      <c r="F115" t="inlineStr">
        <is>
          <t>GANADERÍA</t>
        </is>
      </c>
      <c r="G115" t="n">
        <v>200006</v>
      </c>
      <c r="H115" t="n">
        <v>2</v>
      </c>
      <c r="I115" t="n">
        <v>2</v>
      </c>
      <c r="J115" t="n">
        <v>8</v>
      </c>
      <c r="K115" t="n">
        <v>16</v>
      </c>
      <c r="L115" t="n">
        <v>16</v>
      </c>
      <c r="M115" t="n">
        <v>16</v>
      </c>
      <c r="N115" t="n">
        <v>16</v>
      </c>
      <c r="O115" t="n">
        <v>40</v>
      </c>
      <c r="P115" t="n">
        <v>8</v>
      </c>
      <c r="R115" s="9" t="n">
        <v>0.08</v>
      </c>
      <c r="S115" s="10" t="inlineStr">
        <is>
          <t>SÍ — integrante</t>
        </is>
      </c>
      <c r="T115" s="11" t="inlineStr">
        <is>
          <t>B · INTEGRANTE</t>
        </is>
      </c>
      <c r="U115" s="11" t="inlineStr">
        <is>
          <t>DEL BANCO (se hereda)</t>
        </is>
      </c>
      <c r="V115" s="11" t="inlineStr">
        <is>
          <t>9151 · SECTOR PRIMARIO (agropecuario, pesca, forestal, minería)</t>
        </is>
      </c>
      <c r="W115" s="12" t="n"/>
      <c r="X115" s="12" t="n"/>
    </row>
    <row r="116" ht="15" customHeight="1">
      <c r="C116" t="inlineStr">
        <is>
          <t>Actividad económica / giro mercantil</t>
        </is>
      </c>
      <c r="D116" t="inlineStr">
        <is>
          <t>F12</t>
        </is>
      </c>
      <c r="E116" t="inlineStr">
        <is>
          <t>INHERENTE</t>
        </is>
      </c>
      <c r="F116" t="inlineStr">
        <is>
          <t>Carbón y derivados</t>
        </is>
      </c>
      <c r="G116" t="n">
        <v>200105</v>
      </c>
      <c r="H116" t="n">
        <v>2</v>
      </c>
      <c r="I116" t="n">
        <v>2</v>
      </c>
      <c r="J116" t="n">
        <v>8</v>
      </c>
      <c r="K116" t="n">
        <v>16</v>
      </c>
      <c r="L116" t="n">
        <v>16</v>
      </c>
      <c r="M116" t="n">
        <v>16</v>
      </c>
      <c r="N116" t="n">
        <v>16</v>
      </c>
      <c r="O116" t="n">
        <v>40</v>
      </c>
      <c r="P116" t="n">
        <v>8</v>
      </c>
      <c r="R116" s="9" t="n">
        <v>0.08</v>
      </c>
      <c r="S116" s="10" t="inlineStr">
        <is>
          <t>SÍ — integrante</t>
        </is>
      </c>
      <c r="T116" s="11" t="inlineStr">
        <is>
          <t>B · INTEGRANTE</t>
        </is>
      </c>
      <c r="U116" s="11" t="inlineStr">
        <is>
          <t>DEL BANCO (se hereda)</t>
        </is>
      </c>
      <c r="V116" s="11" t="inlineStr">
        <is>
          <t>9154 · OTRAS ACTIVIDADES NO CLASIFICADAS</t>
        </is>
      </c>
      <c r="W116" s="12" t="n"/>
      <c r="X116" s="12" t="n"/>
    </row>
    <row r="117" ht="15" customHeight="1">
      <c r="C117" t="inlineStr">
        <is>
          <t>Actividad económica / giro mercantil</t>
        </is>
      </c>
      <c r="D117" t="inlineStr">
        <is>
          <t>F12</t>
        </is>
      </c>
      <c r="E117" t="inlineStr">
        <is>
          <t>INHERENTE</t>
        </is>
      </c>
      <c r="F117" t="inlineStr">
        <is>
          <t>Extracción de petróleo</t>
        </is>
      </c>
      <c r="G117" t="n">
        <v>200106</v>
      </c>
      <c r="H117" t="n">
        <v>2</v>
      </c>
      <c r="I117" t="n">
        <v>2</v>
      </c>
      <c r="J117" t="n">
        <v>8</v>
      </c>
      <c r="K117" t="n">
        <v>16</v>
      </c>
      <c r="L117" t="n">
        <v>16</v>
      </c>
      <c r="M117" t="n">
        <v>16</v>
      </c>
      <c r="N117" t="n">
        <v>16</v>
      </c>
      <c r="O117" t="n">
        <v>40</v>
      </c>
      <c r="P117" t="n">
        <v>8</v>
      </c>
      <c r="R117" s="9" t="n">
        <v>0.08</v>
      </c>
      <c r="S117" s="10" t="inlineStr">
        <is>
          <t>SÍ — integrante</t>
        </is>
      </c>
      <c r="T117" s="11" t="inlineStr">
        <is>
          <t>B · INTEGRANTE</t>
        </is>
      </c>
      <c r="U117" s="11" t="inlineStr">
        <is>
          <t>DEL BANCO (se hereda)</t>
        </is>
      </c>
      <c r="V117" s="11" t="inlineStr">
        <is>
          <t>9151 · SECTOR PRIMARIO (agropecuario, pesca, forestal, minería)</t>
        </is>
      </c>
      <c r="W117" s="12" t="n"/>
      <c r="X117" s="12" t="n"/>
    </row>
    <row r="118" ht="15" customHeight="1">
      <c r="C118" t="inlineStr">
        <is>
          <t>Actividad económica / giro mercantil</t>
        </is>
      </c>
      <c r="D118" t="inlineStr">
        <is>
          <t>F12</t>
        </is>
      </c>
      <c r="E118" t="inlineStr">
        <is>
          <t>INHERENTE</t>
        </is>
      </c>
      <c r="F118" t="inlineStr">
        <is>
          <t>Mineral de hierro</t>
        </is>
      </c>
      <c r="G118" t="n">
        <v>200107</v>
      </c>
      <c r="H118" t="n">
        <v>2</v>
      </c>
      <c r="I118" t="n">
        <v>2</v>
      </c>
      <c r="J118" t="n">
        <v>8</v>
      </c>
      <c r="K118" t="n">
        <v>16</v>
      </c>
      <c r="L118" t="n">
        <v>16</v>
      </c>
      <c r="M118" t="n">
        <v>16</v>
      </c>
      <c r="N118" t="n">
        <v>16</v>
      </c>
      <c r="O118" t="n">
        <v>40</v>
      </c>
      <c r="P118" t="n">
        <v>8</v>
      </c>
      <c r="R118" s="9" t="n">
        <v>0.08</v>
      </c>
      <c r="S118" s="10" t="inlineStr">
        <is>
          <t>SÍ — integrante</t>
        </is>
      </c>
      <c r="T118" s="11" t="inlineStr">
        <is>
          <t>B · INTEGRANTE</t>
        </is>
      </c>
      <c r="U118" s="11" t="inlineStr">
        <is>
          <t>DEL BANCO (se hereda)</t>
        </is>
      </c>
      <c r="V118" s="11" t="inlineStr">
        <is>
          <t>9151 · SECTOR PRIMARIO (agropecuario, pesca, forestal, minería)</t>
        </is>
      </c>
      <c r="W118" s="12" t="n"/>
      <c r="X118" s="12" t="n"/>
    </row>
    <row r="119" ht="15" customHeight="1">
      <c r="C119" t="inlineStr">
        <is>
          <t>Actividad económica / giro mercantil</t>
        </is>
      </c>
      <c r="D119" t="inlineStr">
        <is>
          <t>F12</t>
        </is>
      </c>
      <c r="E119" t="inlineStr">
        <is>
          <t>INHERENTE</t>
        </is>
      </c>
      <c r="F119" t="inlineStr">
        <is>
          <t>8.Minerales met#licos no ferrosos</t>
        </is>
      </c>
      <c r="G119" t="n">
        <v>200108</v>
      </c>
      <c r="H119" t="n">
        <v>2</v>
      </c>
      <c r="I119" t="n">
        <v>2</v>
      </c>
      <c r="J119" t="n">
        <v>8</v>
      </c>
      <c r="K119" t="n">
        <v>16</v>
      </c>
      <c r="L119" t="n">
        <v>16</v>
      </c>
      <c r="M119" t="n">
        <v>16</v>
      </c>
      <c r="N119" t="n">
        <v>16</v>
      </c>
      <c r="O119" t="n">
        <v>40</v>
      </c>
      <c r="P119" t="n">
        <v>8</v>
      </c>
      <c r="R119" s="9" t="n">
        <v>0.08</v>
      </c>
      <c r="S119" s="10" t="inlineStr">
        <is>
          <t>SÍ — integrante</t>
        </is>
      </c>
      <c r="T119" s="11" t="inlineStr">
        <is>
          <t>B · INTEGRANTE</t>
        </is>
      </c>
      <c r="U119" s="11" t="inlineStr">
        <is>
          <t>DEL BANCO (se hereda)</t>
        </is>
      </c>
      <c r="V119" s="11" t="inlineStr">
        <is>
          <t>9151 · SECTOR PRIMARIO (agropecuario, pesca, forestal, minería)</t>
        </is>
      </c>
      <c r="W119" s="12" t="n"/>
      <c r="X119" s="12" t="n"/>
    </row>
    <row r="120" ht="15" customHeight="1">
      <c r="C120" t="inlineStr">
        <is>
          <t>Actividad económica / giro mercantil</t>
        </is>
      </c>
      <c r="D120" t="inlineStr">
        <is>
          <t>F12</t>
        </is>
      </c>
      <c r="E120" t="inlineStr">
        <is>
          <t>INHERENTE</t>
        </is>
      </c>
      <c r="F120" t="inlineStr">
        <is>
          <t>9.Arena, grava, arcilla</t>
        </is>
      </c>
      <c r="G120" t="n">
        <v>200109</v>
      </c>
      <c r="H120" t="n">
        <v>1</v>
      </c>
      <c r="I120" t="n">
        <v>1</v>
      </c>
      <c r="J120" t="n">
        <v>8</v>
      </c>
      <c r="K120" t="n">
        <v>8</v>
      </c>
      <c r="L120" t="n">
        <v>8</v>
      </c>
      <c r="M120" t="n">
        <v>8</v>
      </c>
      <c r="N120" t="n">
        <v>8</v>
      </c>
      <c r="O120" t="n">
        <v>40</v>
      </c>
      <c r="P120" t="n">
        <v>8</v>
      </c>
      <c r="R120" s="9" t="n">
        <v>0.08</v>
      </c>
      <c r="S120" s="10" t="inlineStr">
        <is>
          <t>SÍ — integrante</t>
        </is>
      </c>
      <c r="T120" s="11" t="inlineStr">
        <is>
          <t>B · INTEGRANTE</t>
        </is>
      </c>
      <c r="U120" s="11" t="inlineStr">
        <is>
          <t>DEL BANCO (se hereda)</t>
        </is>
      </c>
      <c r="V120" s="11" t="inlineStr">
        <is>
          <t>9154 · OTRAS ACTIVIDADES NO CLASIFICADAS</t>
        </is>
      </c>
      <c r="W120" s="12" t="n"/>
      <c r="X120" s="12" t="n"/>
    </row>
    <row r="121" ht="15" customHeight="1">
      <c r="C121" t="inlineStr">
        <is>
          <t>Actividad económica / giro mercantil</t>
        </is>
      </c>
      <c r="D121" t="inlineStr">
        <is>
          <t>F12</t>
        </is>
      </c>
      <c r="E121" t="inlineStr">
        <is>
          <t>INHERENTE</t>
        </is>
      </c>
      <c r="F121" t="inlineStr">
        <is>
          <t>Minerales no metálicos</t>
        </is>
      </c>
      <c r="G121" t="n">
        <v>200110</v>
      </c>
      <c r="H121" t="n">
        <v>2</v>
      </c>
      <c r="I121" t="n">
        <v>2</v>
      </c>
      <c r="J121" t="n">
        <v>8</v>
      </c>
      <c r="K121" t="n">
        <v>16</v>
      </c>
      <c r="L121" t="n">
        <v>16</v>
      </c>
      <c r="M121" t="n">
        <v>16</v>
      </c>
      <c r="N121" t="n">
        <v>16</v>
      </c>
      <c r="O121" t="n">
        <v>40</v>
      </c>
      <c r="P121" t="n">
        <v>8</v>
      </c>
      <c r="R121" s="9" t="n">
        <v>0.08</v>
      </c>
      <c r="S121" s="10" t="inlineStr">
        <is>
          <t>SÍ — integrante</t>
        </is>
      </c>
      <c r="T121" s="11" t="inlineStr">
        <is>
          <t>B · INTEGRANTE</t>
        </is>
      </c>
      <c r="U121" s="11" t="inlineStr">
        <is>
          <t>DEL BANCO (se hereda)</t>
        </is>
      </c>
      <c r="V121" s="11" t="inlineStr">
        <is>
          <t>9151 · SECTOR PRIMARIO (agropecuario, pesca, forestal, minería)</t>
        </is>
      </c>
      <c r="W121" s="12" t="n"/>
      <c r="X121" s="12" t="n"/>
    </row>
    <row r="122" ht="15" customHeight="1">
      <c r="C122" t="inlineStr">
        <is>
          <t>Actividad económica / giro mercantil</t>
        </is>
      </c>
      <c r="D122" t="inlineStr">
        <is>
          <t>F12</t>
        </is>
      </c>
      <c r="E122" t="inlineStr">
        <is>
          <t>INHERENTE</t>
        </is>
      </c>
      <c r="F122" t="inlineStr">
        <is>
          <t>Productos cárnicos y lácteos</t>
        </is>
      </c>
      <c r="G122" t="n">
        <v>200211</v>
      </c>
      <c r="H122" t="n">
        <v>2</v>
      </c>
      <c r="I122" t="n">
        <v>2</v>
      </c>
      <c r="J122" t="n">
        <v>8</v>
      </c>
      <c r="K122" t="n">
        <v>16</v>
      </c>
      <c r="L122" t="n">
        <v>16</v>
      </c>
      <c r="M122" t="n">
        <v>16</v>
      </c>
      <c r="N122" t="n">
        <v>16</v>
      </c>
      <c r="O122" t="n">
        <v>40</v>
      </c>
      <c r="P122" t="n">
        <v>8</v>
      </c>
      <c r="R122" s="9" t="n">
        <v>0.08</v>
      </c>
      <c r="S122" s="10" t="inlineStr">
        <is>
          <t>SÍ — integrante</t>
        </is>
      </c>
      <c r="T122" s="11" t="inlineStr">
        <is>
          <t>B · INTEGRANTE</t>
        </is>
      </c>
      <c r="U122" s="11" t="inlineStr">
        <is>
          <t>DEL BANCO (se hereda)</t>
        </is>
      </c>
      <c r="V122" s="11" t="inlineStr">
        <is>
          <t>9152 · INDUSTRIA Y MANUFACTURA</t>
        </is>
      </c>
      <c r="W122" s="12" t="n"/>
      <c r="X122" s="12" t="n"/>
    </row>
    <row r="123" ht="15" customHeight="1">
      <c r="C123" t="inlineStr">
        <is>
          <t>Actividad económica / giro mercantil</t>
        </is>
      </c>
      <c r="D123" t="inlineStr">
        <is>
          <t>F12</t>
        </is>
      </c>
      <c r="E123" t="inlineStr">
        <is>
          <t>INHERENTE</t>
        </is>
      </c>
      <c r="F123" t="inlineStr">
        <is>
          <t>Envasado de frutas y legumbres</t>
        </is>
      </c>
      <c r="G123" t="n">
        <v>200212</v>
      </c>
      <c r="H123" t="n">
        <v>1</v>
      </c>
      <c r="I123" t="n">
        <v>1</v>
      </c>
      <c r="J123" t="n">
        <v>8</v>
      </c>
      <c r="K123" t="n">
        <v>8</v>
      </c>
      <c r="L123" t="n">
        <v>8</v>
      </c>
      <c r="M123" t="n">
        <v>8</v>
      </c>
      <c r="N123" t="n">
        <v>8</v>
      </c>
      <c r="O123" t="n">
        <v>40</v>
      </c>
      <c r="P123" t="n">
        <v>8</v>
      </c>
      <c r="R123" s="9" t="n">
        <v>0.08</v>
      </c>
      <c r="S123" s="10" t="inlineStr">
        <is>
          <t>SÍ — integrante</t>
        </is>
      </c>
      <c r="T123" s="11" t="inlineStr">
        <is>
          <t>B · INTEGRANTE</t>
        </is>
      </c>
      <c r="U123" s="11" t="inlineStr">
        <is>
          <t>DEL BANCO (se hereda)</t>
        </is>
      </c>
      <c r="V123" s="11" t="inlineStr">
        <is>
          <t>9151 · SECTOR PRIMARIO (agropecuario, pesca, forestal, minería)</t>
        </is>
      </c>
      <c r="W123" s="12" t="n"/>
      <c r="X123" s="12" t="n"/>
    </row>
    <row r="124" ht="15" customHeight="1">
      <c r="C124" t="inlineStr">
        <is>
          <t>Actividad económica / giro mercantil</t>
        </is>
      </c>
      <c r="D124" t="inlineStr">
        <is>
          <t>F12</t>
        </is>
      </c>
      <c r="E124" t="inlineStr">
        <is>
          <t>INHERENTE</t>
        </is>
      </c>
      <c r="F124" t="inlineStr">
        <is>
          <t>Molienda de trigo y sus producto</t>
        </is>
      </c>
      <c r="G124" t="n">
        <v>200213</v>
      </c>
      <c r="H124" t="n">
        <v>1</v>
      </c>
      <c r="I124" t="n">
        <v>1</v>
      </c>
      <c r="J124" t="n">
        <v>8</v>
      </c>
      <c r="K124" t="n">
        <v>8</v>
      </c>
      <c r="L124" t="n">
        <v>8</v>
      </c>
      <c r="M124" t="n">
        <v>8</v>
      </c>
      <c r="N124" t="n">
        <v>8</v>
      </c>
      <c r="O124" t="n">
        <v>40</v>
      </c>
      <c r="P124" t="n">
        <v>8</v>
      </c>
      <c r="R124" s="9" t="n">
        <v>0.08</v>
      </c>
      <c r="S124" s="10" t="inlineStr">
        <is>
          <t>SÍ — integrante</t>
        </is>
      </c>
      <c r="T124" s="11" t="inlineStr">
        <is>
          <t>B · INTEGRANTE</t>
        </is>
      </c>
      <c r="U124" s="11" t="inlineStr">
        <is>
          <t>DEL BANCO (se hereda)</t>
        </is>
      </c>
      <c r="V124" s="11" t="inlineStr">
        <is>
          <t>9154 · OTRAS ACTIVIDADES NO CLASIFICADAS</t>
        </is>
      </c>
      <c r="W124" s="12" t="n"/>
      <c r="X124" s="12" t="n"/>
    </row>
    <row r="125" ht="15" customHeight="1">
      <c r="C125" t="inlineStr">
        <is>
          <t>Actividad económica / giro mercantil</t>
        </is>
      </c>
      <c r="D125" t="inlineStr">
        <is>
          <t>F12</t>
        </is>
      </c>
      <c r="E125" t="inlineStr">
        <is>
          <t>INHERENTE</t>
        </is>
      </c>
      <c r="F125" t="inlineStr">
        <is>
          <t>Molienda, nixtamal, sus productos derivados</t>
        </is>
      </c>
      <c r="G125" t="n">
        <v>200214</v>
      </c>
      <c r="H125" t="n">
        <v>1</v>
      </c>
      <c r="I125" t="n">
        <v>1</v>
      </c>
      <c r="J125" t="n">
        <v>8</v>
      </c>
      <c r="K125" t="n">
        <v>8</v>
      </c>
      <c r="L125" t="n">
        <v>8</v>
      </c>
      <c r="M125" t="n">
        <v>8</v>
      </c>
      <c r="N125" t="n">
        <v>8</v>
      </c>
      <c r="O125" t="n">
        <v>40</v>
      </c>
      <c r="P125" t="n">
        <v>8</v>
      </c>
      <c r="R125" s="9" t="n">
        <v>0.08</v>
      </c>
      <c r="S125" s="10" t="inlineStr">
        <is>
          <t>SÍ — integrante</t>
        </is>
      </c>
      <c r="T125" s="11" t="inlineStr">
        <is>
          <t>B · INTEGRANTE</t>
        </is>
      </c>
      <c r="U125" s="11" t="inlineStr">
        <is>
          <t>DEL BANCO (se hereda)</t>
        </is>
      </c>
      <c r="V125" s="11" t="inlineStr">
        <is>
          <t>9152 · INDUSTRIA Y MANUFACTURA</t>
        </is>
      </c>
      <c r="W125" s="12" t="n"/>
      <c r="X125" s="12" t="n"/>
    </row>
    <row r="126" ht="15" customHeight="1">
      <c r="C126" t="inlineStr">
        <is>
          <t>Actividad económica / giro mercantil</t>
        </is>
      </c>
      <c r="D126" t="inlineStr">
        <is>
          <t>F12</t>
        </is>
      </c>
      <c r="E126" t="inlineStr">
        <is>
          <t>INHERENTE</t>
        </is>
      </c>
      <c r="F126" t="inlineStr">
        <is>
          <t>Procesamiento de café</t>
        </is>
      </c>
      <c r="G126" t="n">
        <v>200215</v>
      </c>
      <c r="H126" t="n">
        <v>3</v>
      </c>
      <c r="I126" t="n">
        <v>3</v>
      </c>
      <c r="J126" t="n">
        <v>8</v>
      </c>
      <c r="K126" t="n">
        <v>24</v>
      </c>
      <c r="L126" t="n">
        <v>24</v>
      </c>
      <c r="M126" t="n">
        <v>24</v>
      </c>
      <c r="N126" t="n">
        <v>24</v>
      </c>
      <c r="O126" t="n">
        <v>40</v>
      </c>
      <c r="P126" t="n">
        <v>8</v>
      </c>
      <c r="R126" s="9" t="n">
        <v>0.08</v>
      </c>
      <c r="S126" s="10" t="inlineStr">
        <is>
          <t>SÍ — integrante</t>
        </is>
      </c>
      <c r="T126" s="11" t="inlineStr">
        <is>
          <t>B · INTEGRANTE</t>
        </is>
      </c>
      <c r="U126" s="11" t="inlineStr">
        <is>
          <t>DEL BANCO (se hereda)</t>
        </is>
      </c>
      <c r="V126" s="11" t="inlineStr">
        <is>
          <t>9151 · SECTOR PRIMARIO (agropecuario, pesca, forestal, minería)</t>
        </is>
      </c>
      <c r="W126" s="12" t="n"/>
      <c r="X126" s="12" t="n"/>
    </row>
    <row r="127" ht="15" customHeight="1">
      <c r="C127" t="inlineStr">
        <is>
          <t>Actividad económica / giro mercantil</t>
        </is>
      </c>
      <c r="D127" t="inlineStr">
        <is>
          <t>F12</t>
        </is>
      </c>
      <c r="E127" t="inlineStr">
        <is>
          <t>INHERENTE</t>
        </is>
      </c>
      <c r="F127" t="inlineStr">
        <is>
          <t>Azúcar y sus derivados</t>
        </is>
      </c>
      <c r="G127" t="n">
        <v>200216</v>
      </c>
      <c r="H127" t="n">
        <v>3</v>
      </c>
      <c r="I127" t="n">
        <v>3</v>
      </c>
      <c r="J127" t="n">
        <v>8</v>
      </c>
      <c r="K127" t="n">
        <v>24</v>
      </c>
      <c r="L127" t="n">
        <v>24</v>
      </c>
      <c r="M127" t="n">
        <v>24</v>
      </c>
      <c r="N127" t="n">
        <v>24</v>
      </c>
      <c r="O127" t="n">
        <v>40</v>
      </c>
      <c r="P127" t="n">
        <v>8</v>
      </c>
      <c r="R127" s="9" t="n">
        <v>0.08</v>
      </c>
      <c r="S127" s="10" t="inlineStr">
        <is>
          <t>SÍ — integrante</t>
        </is>
      </c>
      <c r="T127" s="11" t="inlineStr">
        <is>
          <t>B · INTEGRANTE</t>
        </is>
      </c>
      <c r="U127" s="11" t="inlineStr">
        <is>
          <t>DEL BANCO (se hereda)</t>
        </is>
      </c>
      <c r="V127" s="11" t="inlineStr">
        <is>
          <t>9154 · OTRAS ACTIVIDADES NO CLASIFICADAS</t>
        </is>
      </c>
      <c r="W127" s="12" t="n"/>
      <c r="X127" s="12" t="n"/>
    </row>
    <row r="128" ht="15" customHeight="1">
      <c r="C128" t="inlineStr">
        <is>
          <t>Actividad económica / giro mercantil</t>
        </is>
      </c>
      <c r="D128" t="inlineStr">
        <is>
          <t>F12</t>
        </is>
      </c>
      <c r="E128" t="inlineStr">
        <is>
          <t>INHERENTE</t>
        </is>
      </c>
      <c r="F128" t="inlineStr">
        <is>
          <t>Aceites grasas vegetales domésticos</t>
        </is>
      </c>
      <c r="G128" t="n">
        <v>200217</v>
      </c>
      <c r="H128" t="n">
        <v>1</v>
      </c>
      <c r="I128" t="n">
        <v>1</v>
      </c>
      <c r="J128" t="n">
        <v>8</v>
      </c>
      <c r="K128" t="n">
        <v>8</v>
      </c>
      <c r="L128" t="n">
        <v>8</v>
      </c>
      <c r="M128" t="n">
        <v>8</v>
      </c>
      <c r="N128" t="n">
        <v>8</v>
      </c>
      <c r="O128" t="n">
        <v>40</v>
      </c>
      <c r="P128" t="n">
        <v>8</v>
      </c>
      <c r="R128" s="9" t="n">
        <v>0.08</v>
      </c>
      <c r="S128" s="10" t="inlineStr">
        <is>
          <t>SÍ — integrante</t>
        </is>
      </c>
      <c r="T128" s="11" t="inlineStr">
        <is>
          <t>B · INTEGRANTE</t>
        </is>
      </c>
      <c r="U128" s="11" t="inlineStr">
        <is>
          <t>DEL BANCO (se hereda)</t>
        </is>
      </c>
      <c r="V128" s="11" t="inlineStr">
        <is>
          <t>9154 · OTRAS ACTIVIDADES NO CLASIFICADAS</t>
        </is>
      </c>
      <c r="W128" s="12" t="n"/>
      <c r="X128" s="12" t="n"/>
    </row>
    <row r="129" ht="15" customHeight="1">
      <c r="C129" t="inlineStr">
        <is>
          <t>Actividad económica / giro mercantil</t>
        </is>
      </c>
      <c r="D129" t="inlineStr">
        <is>
          <t>F12</t>
        </is>
      </c>
      <c r="E129" t="inlineStr">
        <is>
          <t>INHERENTE</t>
        </is>
      </c>
      <c r="F129" t="inlineStr">
        <is>
          <t>Alimentos para animales</t>
        </is>
      </c>
      <c r="G129" t="n">
        <v>200218</v>
      </c>
      <c r="H129" t="n">
        <v>1</v>
      </c>
      <c r="I129" t="n">
        <v>1</v>
      </c>
      <c r="J129" t="n">
        <v>8</v>
      </c>
      <c r="K129" t="n">
        <v>8</v>
      </c>
      <c r="L129" t="n">
        <v>8</v>
      </c>
      <c r="M129" t="n">
        <v>8</v>
      </c>
      <c r="N129" t="n">
        <v>8</v>
      </c>
      <c r="O129" t="n">
        <v>40</v>
      </c>
      <c r="P129" t="n">
        <v>8</v>
      </c>
      <c r="R129" s="9" t="n">
        <v>0.08</v>
      </c>
      <c r="S129" s="10" t="inlineStr">
        <is>
          <t>SÍ — integrante</t>
        </is>
      </c>
      <c r="T129" s="11" t="inlineStr">
        <is>
          <t>B · INTEGRANTE</t>
        </is>
      </c>
      <c r="U129" s="11" t="inlineStr">
        <is>
          <t>DEL BANCO (se hereda)</t>
        </is>
      </c>
      <c r="V129" s="11" t="inlineStr">
        <is>
          <t>9154 · OTRAS ACTIVIDADES NO CLASIFICADAS</t>
        </is>
      </c>
      <c r="W129" s="12" t="n"/>
      <c r="X129" s="12" t="n"/>
    </row>
    <row r="130" ht="15" customHeight="1">
      <c r="C130" t="inlineStr">
        <is>
          <t>Actividad económica / giro mercantil</t>
        </is>
      </c>
      <c r="D130" t="inlineStr">
        <is>
          <t>F12</t>
        </is>
      </c>
      <c r="E130" t="inlineStr">
        <is>
          <t>INHERENTE</t>
        </is>
      </c>
      <c r="F130" t="inlineStr">
        <is>
          <t>Otros productos alimenticios</t>
        </is>
      </c>
      <c r="G130" t="n">
        <v>200219</v>
      </c>
      <c r="H130" t="n">
        <v>1</v>
      </c>
      <c r="I130" t="n">
        <v>1</v>
      </c>
      <c r="J130" t="n">
        <v>8</v>
      </c>
      <c r="K130" t="n">
        <v>8</v>
      </c>
      <c r="L130" t="n">
        <v>8</v>
      </c>
      <c r="M130" t="n">
        <v>8</v>
      </c>
      <c r="N130" t="n">
        <v>8</v>
      </c>
      <c r="O130" t="n">
        <v>40</v>
      </c>
      <c r="P130" t="n">
        <v>8</v>
      </c>
      <c r="R130" s="9" t="n">
        <v>0.08</v>
      </c>
      <c r="S130" s="10" t="inlineStr">
        <is>
          <t>SÍ — integrante</t>
        </is>
      </c>
      <c r="T130" s="11" t="inlineStr">
        <is>
          <t>B · INTEGRANTE</t>
        </is>
      </c>
      <c r="U130" s="11" t="inlineStr">
        <is>
          <t>DEL BANCO (se hereda)</t>
        </is>
      </c>
      <c r="V130" s="11" t="inlineStr">
        <is>
          <t>9152 · INDUSTRIA Y MANUFACTURA</t>
        </is>
      </c>
      <c r="W130" s="12" t="n"/>
      <c r="X130" s="12" t="n"/>
    </row>
    <row r="131" ht="15" customHeight="1">
      <c r="C131" t="inlineStr">
        <is>
          <t>Actividad económica / giro mercantil</t>
        </is>
      </c>
      <c r="D131" t="inlineStr">
        <is>
          <t>F12</t>
        </is>
      </c>
      <c r="E131" t="inlineStr">
        <is>
          <t>INHERENTE</t>
        </is>
      </c>
      <c r="F131" t="inlineStr">
        <is>
          <t>Bebidas alcohólicas</t>
        </is>
      </c>
      <c r="G131" t="n">
        <v>200220</v>
      </c>
      <c r="H131" t="n">
        <v>3</v>
      </c>
      <c r="I131" t="n">
        <v>3</v>
      </c>
      <c r="J131" t="n">
        <v>8</v>
      </c>
      <c r="K131" t="n">
        <v>24</v>
      </c>
      <c r="L131" t="n">
        <v>24</v>
      </c>
      <c r="M131" t="n">
        <v>24</v>
      </c>
      <c r="N131" t="n">
        <v>24</v>
      </c>
      <c r="O131" t="n">
        <v>40</v>
      </c>
      <c r="P131" t="n">
        <v>8</v>
      </c>
      <c r="R131" s="9" t="n">
        <v>0.08</v>
      </c>
      <c r="S131" s="10" t="inlineStr">
        <is>
          <t>SÍ — integrante</t>
        </is>
      </c>
      <c r="T131" s="11" t="inlineStr">
        <is>
          <t>B · INTEGRANTE</t>
        </is>
      </c>
      <c r="U131" s="11" t="inlineStr">
        <is>
          <t>DEL BANCO (se hereda)</t>
        </is>
      </c>
      <c r="V131" s="11" t="inlineStr">
        <is>
          <t>9152 · INDUSTRIA Y MANUFACTURA</t>
        </is>
      </c>
      <c r="W131" s="12" t="n"/>
      <c r="X131" s="12" t="n"/>
    </row>
    <row r="132" ht="15" customHeight="1">
      <c r="C132" t="inlineStr">
        <is>
          <t>Actividad económica / giro mercantil</t>
        </is>
      </c>
      <c r="D132" t="inlineStr">
        <is>
          <t>F12</t>
        </is>
      </c>
      <c r="E132" t="inlineStr">
        <is>
          <t>INHERENTE</t>
        </is>
      </c>
      <c r="F132" t="inlineStr">
        <is>
          <t>Cerveza</t>
        </is>
      </c>
      <c r="G132" t="n">
        <v>200221</v>
      </c>
      <c r="H132" t="n">
        <v>3</v>
      </c>
      <c r="I132" t="n">
        <v>3</v>
      </c>
      <c r="J132" t="n">
        <v>8</v>
      </c>
      <c r="K132" t="n">
        <v>24</v>
      </c>
      <c r="L132" t="n">
        <v>24</v>
      </c>
      <c r="M132" t="n">
        <v>24</v>
      </c>
      <c r="N132" t="n">
        <v>24</v>
      </c>
      <c r="O132" t="n">
        <v>40</v>
      </c>
      <c r="P132" t="n">
        <v>8</v>
      </c>
      <c r="R132" s="9" t="n">
        <v>0.08</v>
      </c>
      <c r="S132" s="10" t="inlineStr">
        <is>
          <t>SÍ — integrante</t>
        </is>
      </c>
      <c r="T132" s="11" t="inlineStr">
        <is>
          <t>B · INTEGRANTE</t>
        </is>
      </c>
      <c r="U132" s="11" t="inlineStr">
        <is>
          <t>DEL BANCO (se hereda)</t>
        </is>
      </c>
      <c r="V132" s="11" t="inlineStr">
        <is>
          <t>9152 · INDUSTRIA Y MANUFACTURA</t>
        </is>
      </c>
      <c r="W132" s="12" t="n"/>
      <c r="X132" s="12" t="n"/>
    </row>
    <row r="133" ht="15" customHeight="1">
      <c r="C133" t="inlineStr">
        <is>
          <t>Actividad económica / giro mercantil</t>
        </is>
      </c>
      <c r="D133" t="inlineStr">
        <is>
          <t>F12</t>
        </is>
      </c>
      <c r="E133" t="inlineStr">
        <is>
          <t>INHERENTE</t>
        </is>
      </c>
      <c r="F133" t="inlineStr">
        <is>
          <t>Refrescos y bebidas embotelladas</t>
        </is>
      </c>
      <c r="G133" t="n">
        <v>200222</v>
      </c>
      <c r="H133" t="n">
        <v>2</v>
      </c>
      <c r="I133" t="n">
        <v>2</v>
      </c>
      <c r="J133" t="n">
        <v>8</v>
      </c>
      <c r="K133" t="n">
        <v>16</v>
      </c>
      <c r="L133" t="n">
        <v>16</v>
      </c>
      <c r="M133" t="n">
        <v>16</v>
      </c>
      <c r="N133" t="n">
        <v>16</v>
      </c>
      <c r="O133" t="n">
        <v>40</v>
      </c>
      <c r="P133" t="n">
        <v>8</v>
      </c>
      <c r="R133" s="9" t="n">
        <v>0.08</v>
      </c>
      <c r="S133" s="10" t="inlineStr">
        <is>
          <t>SÍ — integrante</t>
        </is>
      </c>
      <c r="T133" s="11" t="inlineStr">
        <is>
          <t>B · INTEGRANTE</t>
        </is>
      </c>
      <c r="U133" s="11" t="inlineStr">
        <is>
          <t>DEL BANCO (se hereda)</t>
        </is>
      </c>
      <c r="V133" s="11" t="inlineStr">
        <is>
          <t>9152 · INDUSTRIA Y MANUFACTURA</t>
        </is>
      </c>
      <c r="W133" s="12" t="n"/>
      <c r="X133" s="12" t="n"/>
    </row>
    <row r="134" ht="15" customHeight="1">
      <c r="C134" t="inlineStr">
        <is>
          <t>Actividad económica / giro mercantil</t>
        </is>
      </c>
      <c r="D134" t="inlineStr">
        <is>
          <t>F12</t>
        </is>
      </c>
      <c r="E134" t="inlineStr">
        <is>
          <t>INHERENTE</t>
        </is>
      </c>
      <c r="F134" t="inlineStr">
        <is>
          <t>Tabaco y sus productos</t>
        </is>
      </c>
      <c r="G134" t="n">
        <v>200223</v>
      </c>
      <c r="H134" t="n">
        <v>3</v>
      </c>
      <c r="I134" t="n">
        <v>3</v>
      </c>
      <c r="J134" t="n">
        <v>8</v>
      </c>
      <c r="K134" t="n">
        <v>24</v>
      </c>
      <c r="L134" t="n">
        <v>24</v>
      </c>
      <c r="M134" t="n">
        <v>24</v>
      </c>
      <c r="N134" t="n">
        <v>24</v>
      </c>
      <c r="O134" t="n">
        <v>40</v>
      </c>
      <c r="P134" t="n">
        <v>8</v>
      </c>
      <c r="R134" s="9" t="n">
        <v>0.08</v>
      </c>
      <c r="S134" s="10" t="inlineStr">
        <is>
          <t>SÍ — integrante</t>
        </is>
      </c>
      <c r="T134" s="11" t="inlineStr">
        <is>
          <t>B · INTEGRANTE</t>
        </is>
      </c>
      <c r="U134" s="11" t="inlineStr">
        <is>
          <t>DEL BANCO (se hereda)</t>
        </is>
      </c>
      <c r="V134" s="11" t="inlineStr">
        <is>
          <t>9152 · INDUSTRIA Y MANUFACTURA</t>
        </is>
      </c>
      <c r="W134" s="12" t="n"/>
      <c r="X134" s="12" t="n"/>
    </row>
    <row r="135" ht="15" customHeight="1">
      <c r="C135" t="inlineStr">
        <is>
          <t>Actividad económica / giro mercantil</t>
        </is>
      </c>
      <c r="D135" t="inlineStr">
        <is>
          <t>F12</t>
        </is>
      </c>
      <c r="E135" t="inlineStr">
        <is>
          <t>INHERENTE</t>
        </is>
      </c>
      <c r="F135" t="inlineStr">
        <is>
          <t>Hilados y tejidos fibras blandas</t>
        </is>
      </c>
      <c r="G135" t="n">
        <v>200324</v>
      </c>
      <c r="H135" t="n">
        <v>1</v>
      </c>
      <c r="I135" t="n">
        <v>1</v>
      </c>
      <c r="J135" t="n">
        <v>8</v>
      </c>
      <c r="K135" t="n">
        <v>8</v>
      </c>
      <c r="L135" t="n">
        <v>8</v>
      </c>
      <c r="M135" t="n">
        <v>8</v>
      </c>
      <c r="N135" t="n">
        <v>8</v>
      </c>
      <c r="O135" t="n">
        <v>40</v>
      </c>
      <c r="P135" t="n">
        <v>8</v>
      </c>
      <c r="R135" s="9" t="n">
        <v>0.08</v>
      </c>
      <c r="S135" s="10" t="inlineStr">
        <is>
          <t>SÍ — integrante</t>
        </is>
      </c>
      <c r="T135" s="11" t="inlineStr">
        <is>
          <t>B · INTEGRANTE</t>
        </is>
      </c>
      <c r="U135" s="11" t="inlineStr">
        <is>
          <t>DEL BANCO (se hereda)</t>
        </is>
      </c>
      <c r="V135" s="11" t="inlineStr">
        <is>
          <t>9154 · OTRAS ACTIVIDADES NO CLASIFICADAS</t>
        </is>
      </c>
      <c r="W135" s="12" t="n"/>
      <c r="X135" s="12" t="n"/>
    </row>
    <row r="136" ht="15" customHeight="1">
      <c r="C136" t="inlineStr">
        <is>
          <t>Actividad económica / giro mercantil</t>
        </is>
      </c>
      <c r="D136" t="inlineStr">
        <is>
          <t>F12</t>
        </is>
      </c>
      <c r="E136" t="inlineStr">
        <is>
          <t>INHERENTE</t>
        </is>
      </c>
      <c r="F136" t="inlineStr">
        <is>
          <t>Hilados y tejidos fibras duras</t>
        </is>
      </c>
      <c r="G136" t="n">
        <v>200325</v>
      </c>
      <c r="H136" t="n">
        <v>1</v>
      </c>
      <c r="I136" t="n">
        <v>1</v>
      </c>
      <c r="J136" t="n">
        <v>8</v>
      </c>
      <c r="K136" t="n">
        <v>8</v>
      </c>
      <c r="L136" t="n">
        <v>8</v>
      </c>
      <c r="M136" t="n">
        <v>8</v>
      </c>
      <c r="N136" t="n">
        <v>8</v>
      </c>
      <c r="O136" t="n">
        <v>40</v>
      </c>
      <c r="P136" t="n">
        <v>8</v>
      </c>
      <c r="R136" s="9" t="n">
        <v>0.08</v>
      </c>
      <c r="S136" s="10" t="inlineStr">
        <is>
          <t>SÍ — integrante</t>
        </is>
      </c>
      <c r="T136" s="11" t="inlineStr">
        <is>
          <t>B · INTEGRANTE</t>
        </is>
      </c>
      <c r="U136" s="11" t="inlineStr">
        <is>
          <t>DEL BANCO (se hereda)</t>
        </is>
      </c>
      <c r="V136" s="11" t="inlineStr">
        <is>
          <t>9154 · OTRAS ACTIVIDADES NO CLASIFICADAS</t>
        </is>
      </c>
      <c r="W136" s="12" t="n"/>
      <c r="X136" s="12" t="n"/>
    </row>
    <row r="137" ht="15" customHeight="1">
      <c r="C137" t="inlineStr">
        <is>
          <t>Actividad económica / giro mercantil</t>
        </is>
      </c>
      <c r="D137" t="inlineStr">
        <is>
          <t>F12</t>
        </is>
      </c>
      <c r="E137" t="inlineStr">
        <is>
          <t>INHERENTE</t>
        </is>
      </c>
      <c r="F137" t="inlineStr">
        <is>
          <t>Otras industrias textiles</t>
        </is>
      </c>
      <c r="G137" t="n">
        <v>200326</v>
      </c>
      <c r="H137" t="n">
        <v>1</v>
      </c>
      <c r="I137" t="n">
        <v>1</v>
      </c>
      <c r="J137" t="n">
        <v>8</v>
      </c>
      <c r="K137" t="n">
        <v>8</v>
      </c>
      <c r="L137" t="n">
        <v>8</v>
      </c>
      <c r="M137" t="n">
        <v>8</v>
      </c>
      <c r="N137" t="n">
        <v>8</v>
      </c>
      <c r="O137" t="n">
        <v>40</v>
      </c>
      <c r="P137" t="n">
        <v>8</v>
      </c>
      <c r="R137" s="9" t="n">
        <v>0.08</v>
      </c>
      <c r="S137" s="10" t="inlineStr">
        <is>
          <t>SÍ — integrante</t>
        </is>
      </c>
      <c r="T137" s="11" t="inlineStr">
        <is>
          <t>B · INTEGRANTE</t>
        </is>
      </c>
      <c r="U137" s="11" t="inlineStr">
        <is>
          <t>DEL BANCO (se hereda)</t>
        </is>
      </c>
      <c r="V137" s="11" t="inlineStr">
        <is>
          <t>9152 · INDUSTRIA Y MANUFACTURA</t>
        </is>
      </c>
      <c r="W137" s="12" t="n"/>
      <c r="X137" s="12" t="n"/>
    </row>
    <row r="138" ht="15" customHeight="1">
      <c r="C138" t="inlineStr">
        <is>
          <t>Actividad económica / giro mercantil</t>
        </is>
      </c>
      <c r="D138" t="inlineStr">
        <is>
          <t>F12</t>
        </is>
      </c>
      <c r="E138" t="inlineStr">
        <is>
          <t>INHERENTE</t>
        </is>
      </c>
      <c r="F138" t="inlineStr">
        <is>
          <t>Prendas de vestir</t>
        </is>
      </c>
      <c r="G138" t="n">
        <v>200327</v>
      </c>
      <c r="H138" t="n">
        <v>1</v>
      </c>
      <c r="I138" t="n">
        <v>1</v>
      </c>
      <c r="J138" t="n">
        <v>8</v>
      </c>
      <c r="K138" t="n">
        <v>8</v>
      </c>
      <c r="L138" t="n">
        <v>8</v>
      </c>
      <c r="M138" t="n">
        <v>8</v>
      </c>
      <c r="N138" t="n">
        <v>8</v>
      </c>
      <c r="O138" t="n">
        <v>40</v>
      </c>
      <c r="P138" t="n">
        <v>8</v>
      </c>
      <c r="R138" s="9" t="n">
        <v>0.08</v>
      </c>
      <c r="S138" s="10" t="inlineStr">
        <is>
          <t>SÍ — integrante</t>
        </is>
      </c>
      <c r="T138" s="11" t="inlineStr">
        <is>
          <t>B · INTEGRANTE</t>
        </is>
      </c>
      <c r="U138" s="11" t="inlineStr">
        <is>
          <t>DEL BANCO (se hereda)</t>
        </is>
      </c>
      <c r="V138" s="11" t="inlineStr">
        <is>
          <t>9154 · OTRAS ACTIVIDADES NO CLASIFICADAS</t>
        </is>
      </c>
      <c r="W138" s="12" t="n"/>
      <c r="X138" s="12" t="n"/>
    </row>
    <row r="139" ht="15" customHeight="1">
      <c r="C139" t="inlineStr">
        <is>
          <t>Actividad económica / giro mercantil</t>
        </is>
      </c>
      <c r="D139" t="inlineStr">
        <is>
          <t>F12</t>
        </is>
      </c>
      <c r="E139" t="inlineStr">
        <is>
          <t>INHERENTE</t>
        </is>
      </c>
      <c r="F139" t="inlineStr">
        <is>
          <t>Cuero y sus productos</t>
        </is>
      </c>
      <c r="G139" t="n">
        <v>200328</v>
      </c>
      <c r="H139" t="n">
        <v>1</v>
      </c>
      <c r="I139" t="n">
        <v>1</v>
      </c>
      <c r="J139" t="n">
        <v>8</v>
      </c>
      <c r="K139" t="n">
        <v>8</v>
      </c>
      <c r="L139" t="n">
        <v>8</v>
      </c>
      <c r="M139" t="n">
        <v>8</v>
      </c>
      <c r="N139" t="n">
        <v>8</v>
      </c>
      <c r="O139" t="n">
        <v>40</v>
      </c>
      <c r="P139" t="n">
        <v>8</v>
      </c>
      <c r="R139" s="9" t="n">
        <v>0.08</v>
      </c>
      <c r="S139" s="10" t="inlineStr">
        <is>
          <t>SÍ — integrante</t>
        </is>
      </c>
      <c r="T139" s="11" t="inlineStr">
        <is>
          <t>B · INTEGRANTE</t>
        </is>
      </c>
      <c r="U139" s="11" t="inlineStr">
        <is>
          <t>DEL BANCO (se hereda)</t>
        </is>
      </c>
      <c r="V139" s="11" t="inlineStr">
        <is>
          <t>9152 · INDUSTRIA Y MANUFACTURA</t>
        </is>
      </c>
      <c r="W139" s="12" t="n"/>
      <c r="X139" s="12" t="n"/>
    </row>
    <row r="140" ht="15" customHeight="1">
      <c r="C140" t="inlineStr">
        <is>
          <t>Actividad económica / giro mercantil</t>
        </is>
      </c>
      <c r="D140" t="inlineStr">
        <is>
          <t>F12</t>
        </is>
      </c>
      <c r="E140" t="inlineStr">
        <is>
          <t>INHERENTE</t>
        </is>
      </c>
      <c r="F140" t="inlineStr">
        <is>
          <t>Aserraderos incluso triplay</t>
        </is>
      </c>
      <c r="G140" t="n">
        <v>200429</v>
      </c>
      <c r="H140" t="n">
        <v>1</v>
      </c>
      <c r="I140" t="n">
        <v>1</v>
      </c>
      <c r="J140" t="n">
        <v>8</v>
      </c>
      <c r="K140" t="n">
        <v>8</v>
      </c>
      <c r="L140" t="n">
        <v>8</v>
      </c>
      <c r="M140" t="n">
        <v>8</v>
      </c>
      <c r="N140" t="n">
        <v>8</v>
      </c>
      <c r="O140" t="n">
        <v>40</v>
      </c>
      <c r="P140" t="n">
        <v>8</v>
      </c>
      <c r="R140" s="9" t="n">
        <v>0.08</v>
      </c>
      <c r="S140" s="10" t="inlineStr">
        <is>
          <t>SÍ — integrante</t>
        </is>
      </c>
      <c r="T140" s="11" t="inlineStr">
        <is>
          <t>B · INTEGRANTE</t>
        </is>
      </c>
      <c r="U140" s="11" t="inlineStr">
        <is>
          <t>DEL BANCO (se hereda)</t>
        </is>
      </c>
      <c r="V140" s="11" t="inlineStr">
        <is>
          <t>9152 · INDUSTRIA Y MANUFACTURA</t>
        </is>
      </c>
      <c r="W140" s="12" t="n"/>
      <c r="X140" s="12" t="n"/>
    </row>
    <row r="141" ht="15" customHeight="1">
      <c r="C141" t="inlineStr">
        <is>
          <t>Actividad económica / giro mercantil</t>
        </is>
      </c>
      <c r="D141" t="inlineStr">
        <is>
          <t>F12</t>
        </is>
      </c>
      <c r="E141" t="inlineStr">
        <is>
          <t>INHERENTE</t>
        </is>
      </c>
      <c r="F141" t="inlineStr">
        <is>
          <t>Otras industrias de la madera</t>
        </is>
      </c>
      <c r="G141" t="n">
        <v>200430</v>
      </c>
      <c r="H141" t="n">
        <v>1</v>
      </c>
      <c r="I141" t="n">
        <v>1</v>
      </c>
      <c r="J141" t="n">
        <v>8</v>
      </c>
      <c r="K141" t="n">
        <v>8</v>
      </c>
      <c r="L141" t="n">
        <v>8</v>
      </c>
      <c r="M141" t="n">
        <v>8</v>
      </c>
      <c r="N141" t="n">
        <v>8</v>
      </c>
      <c r="O141" t="n">
        <v>40</v>
      </c>
      <c r="P141" t="n">
        <v>8</v>
      </c>
      <c r="R141" s="9" t="n">
        <v>0.08</v>
      </c>
      <c r="S141" s="10" t="inlineStr">
        <is>
          <t>SÍ — integrante</t>
        </is>
      </c>
      <c r="T141" s="11" t="inlineStr">
        <is>
          <t>B · INTEGRANTE</t>
        </is>
      </c>
      <c r="U141" s="11" t="inlineStr">
        <is>
          <t>DEL BANCO (se hereda)</t>
        </is>
      </c>
      <c r="V141" s="11" t="inlineStr">
        <is>
          <t>9151 · SECTOR PRIMARIO (agropecuario, pesca, forestal, minería)</t>
        </is>
      </c>
      <c r="W141" s="12" t="n"/>
      <c r="X141" s="12" t="n"/>
    </row>
    <row r="142" ht="15" customHeight="1">
      <c r="C142" t="inlineStr">
        <is>
          <t>Actividad económica / giro mercantil</t>
        </is>
      </c>
      <c r="D142" t="inlineStr">
        <is>
          <t>F12</t>
        </is>
      </c>
      <c r="E142" t="inlineStr">
        <is>
          <t>INHERENTE</t>
        </is>
      </c>
      <c r="F142" t="inlineStr">
        <is>
          <t>31.Papel y cartón</t>
        </is>
      </c>
      <c r="G142" t="n">
        <v>200531</v>
      </c>
      <c r="H142" t="n">
        <v>1</v>
      </c>
      <c r="I142" t="n">
        <v>1</v>
      </c>
      <c r="J142" t="n">
        <v>8</v>
      </c>
      <c r="K142" t="n">
        <v>8</v>
      </c>
      <c r="L142" t="n">
        <v>8</v>
      </c>
      <c r="M142" t="n">
        <v>8</v>
      </c>
      <c r="N142" t="n">
        <v>8</v>
      </c>
      <c r="O142" t="n">
        <v>40</v>
      </c>
      <c r="P142" t="n">
        <v>8</v>
      </c>
      <c r="R142" s="9" t="n">
        <v>0.08</v>
      </c>
      <c r="S142" s="10" t="inlineStr">
        <is>
          <t>SÍ — integrante</t>
        </is>
      </c>
      <c r="T142" s="11" t="inlineStr">
        <is>
          <t>B · INTEGRANTE</t>
        </is>
      </c>
      <c r="U142" s="11" t="inlineStr">
        <is>
          <t>DEL BANCO (se hereda)</t>
        </is>
      </c>
      <c r="V142" s="11" t="inlineStr">
        <is>
          <t>9154 · OTRAS ACTIVIDADES NO CLASIFICADAS</t>
        </is>
      </c>
      <c r="W142" s="12" t="n"/>
      <c r="X142" s="12" t="n"/>
    </row>
    <row r="143" ht="15" customHeight="1">
      <c r="C143" t="inlineStr">
        <is>
          <t>Actividad económica / giro mercantil</t>
        </is>
      </c>
      <c r="D143" t="inlineStr">
        <is>
          <t>F12</t>
        </is>
      </c>
      <c r="E143" t="inlineStr">
        <is>
          <t>INHERENTE</t>
        </is>
      </c>
      <c r="F143" t="inlineStr">
        <is>
          <t>Imprentas y editoriales</t>
        </is>
      </c>
      <c r="G143" t="n">
        <v>200532</v>
      </c>
      <c r="H143" t="n">
        <v>1</v>
      </c>
      <c r="I143" t="n">
        <v>1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40</v>
      </c>
      <c r="P143" t="n">
        <v>8</v>
      </c>
      <c r="R143" s="9" t="n">
        <v>0.08</v>
      </c>
      <c r="S143" s="10" t="inlineStr">
        <is>
          <t>SÍ — integrante</t>
        </is>
      </c>
      <c r="T143" s="11" t="inlineStr">
        <is>
          <t>B · INTEGRANTE</t>
        </is>
      </c>
      <c r="U143" s="11" t="inlineStr">
        <is>
          <t>DEL BANCO (se hereda)</t>
        </is>
      </c>
      <c r="V143" s="11" t="inlineStr">
        <is>
          <t>9152 · INDUSTRIA Y MANUFACTURA</t>
        </is>
      </c>
      <c r="W143" s="12" t="n"/>
      <c r="X143" s="12" t="n"/>
    </row>
    <row r="144" ht="15" customHeight="1">
      <c r="C144" t="inlineStr">
        <is>
          <t>Actividad económica / giro mercantil</t>
        </is>
      </c>
      <c r="D144" t="inlineStr">
        <is>
          <t>F12</t>
        </is>
      </c>
      <c r="E144" t="inlineStr">
        <is>
          <t>INHERENTE</t>
        </is>
      </c>
      <c r="F144" t="inlineStr">
        <is>
          <t>33.Refinación de petróleo</t>
        </is>
      </c>
      <c r="G144" t="n">
        <v>200633</v>
      </c>
      <c r="H144" t="n">
        <v>2</v>
      </c>
      <c r="I144" t="n">
        <v>2</v>
      </c>
      <c r="J144" t="n">
        <v>8</v>
      </c>
      <c r="K144" t="n">
        <v>16</v>
      </c>
      <c r="L144" t="n">
        <v>16</v>
      </c>
      <c r="M144" t="n">
        <v>16</v>
      </c>
      <c r="N144" t="n">
        <v>16</v>
      </c>
      <c r="O144" t="n">
        <v>40</v>
      </c>
      <c r="P144" t="n">
        <v>8</v>
      </c>
      <c r="R144" s="9" t="n">
        <v>0.08</v>
      </c>
      <c r="S144" s="10" t="inlineStr">
        <is>
          <t>SÍ — integrante</t>
        </is>
      </c>
      <c r="T144" s="11" t="inlineStr">
        <is>
          <t>B · INTEGRANTE</t>
        </is>
      </c>
      <c r="U144" s="11" t="inlineStr">
        <is>
          <t>DEL BANCO (se hereda)</t>
        </is>
      </c>
      <c r="V144" s="11" t="inlineStr">
        <is>
          <t>9151 · SECTOR PRIMARIO (agropecuario, pesca, forestal, minería)</t>
        </is>
      </c>
      <c r="W144" s="12" t="n"/>
      <c r="X144" s="12" t="n"/>
    </row>
    <row r="145" ht="15" customHeight="1">
      <c r="C145" t="inlineStr">
        <is>
          <t>Actividad económica / giro mercantil</t>
        </is>
      </c>
      <c r="D145" t="inlineStr">
        <is>
          <t>F12</t>
        </is>
      </c>
      <c r="E145" t="inlineStr">
        <is>
          <t>INHERENTE</t>
        </is>
      </c>
      <c r="F145" t="inlineStr">
        <is>
          <t>Petroquímica básica</t>
        </is>
      </c>
      <c r="G145" t="n">
        <v>200634</v>
      </c>
      <c r="H145" t="n">
        <v>2</v>
      </c>
      <c r="I145" t="n">
        <v>2</v>
      </c>
      <c r="J145" t="n">
        <v>8</v>
      </c>
      <c r="K145" t="n">
        <v>16</v>
      </c>
      <c r="L145" t="n">
        <v>16</v>
      </c>
      <c r="M145" t="n">
        <v>16</v>
      </c>
      <c r="N145" t="n">
        <v>16</v>
      </c>
      <c r="O145" t="n">
        <v>40</v>
      </c>
      <c r="P145" t="n">
        <v>8</v>
      </c>
      <c r="R145" s="9" t="n">
        <v>0.08</v>
      </c>
      <c r="S145" s="10" t="inlineStr">
        <is>
          <t>SÍ — integrante</t>
        </is>
      </c>
      <c r="T145" s="11" t="inlineStr">
        <is>
          <t>B · INTEGRANTE</t>
        </is>
      </c>
      <c r="U145" s="11" t="inlineStr">
        <is>
          <t>DEL BANCO (se hereda)</t>
        </is>
      </c>
      <c r="V145" s="11" t="inlineStr">
        <is>
          <t>9154 · OTRAS ACTIVIDADES NO CLASIFICADAS</t>
        </is>
      </c>
      <c r="W145" s="12" t="n"/>
      <c r="X145" s="12" t="n"/>
    </row>
    <row r="146" ht="15" customHeight="1">
      <c r="C146" t="inlineStr">
        <is>
          <t>Actividad económica / giro mercantil</t>
        </is>
      </c>
      <c r="D146" t="inlineStr">
        <is>
          <t>F12</t>
        </is>
      </c>
      <c r="E146" t="inlineStr">
        <is>
          <t>INHERENTE</t>
        </is>
      </c>
      <c r="F146" t="inlineStr">
        <is>
          <t>Química básica</t>
        </is>
      </c>
      <c r="G146" t="n">
        <v>200635</v>
      </c>
      <c r="H146" t="n">
        <v>3</v>
      </c>
      <c r="I146" t="n">
        <v>3</v>
      </c>
      <c r="J146" t="n">
        <v>8</v>
      </c>
      <c r="K146" t="n">
        <v>24</v>
      </c>
      <c r="L146" t="n">
        <v>24</v>
      </c>
      <c r="M146" t="n">
        <v>24</v>
      </c>
      <c r="N146" t="n">
        <v>24</v>
      </c>
      <c r="O146" t="n">
        <v>40</v>
      </c>
      <c r="P146" t="n">
        <v>8</v>
      </c>
      <c r="R146" s="9" t="n">
        <v>0.08</v>
      </c>
      <c r="S146" s="10" t="inlineStr">
        <is>
          <t>SÍ — integrante</t>
        </is>
      </c>
      <c r="T146" s="11" t="inlineStr">
        <is>
          <t>B · INTEGRANTE</t>
        </is>
      </c>
      <c r="U146" s="11" t="inlineStr">
        <is>
          <t>DEL BANCO (se hereda)</t>
        </is>
      </c>
      <c r="V146" s="11" t="inlineStr">
        <is>
          <t>9154 · OTRAS ACTIVIDADES NO CLASIFICADAS</t>
        </is>
      </c>
      <c r="W146" s="12" t="n"/>
      <c r="X146" s="12" t="n"/>
    </row>
    <row r="147" ht="15" customHeight="1">
      <c r="C147" t="inlineStr">
        <is>
          <t>Actividad económica / giro mercantil</t>
        </is>
      </c>
      <c r="D147" t="inlineStr">
        <is>
          <t>F12</t>
        </is>
      </c>
      <c r="E147" t="inlineStr">
        <is>
          <t>INHERENTE</t>
        </is>
      </c>
      <c r="F147" t="inlineStr">
        <is>
          <t>36.Abonos y fertilizantes</t>
        </is>
      </c>
      <c r="G147" t="n">
        <v>200636</v>
      </c>
      <c r="H147" t="n">
        <v>1</v>
      </c>
      <c r="I147" t="n">
        <v>1</v>
      </c>
      <c r="J147" t="n">
        <v>8</v>
      </c>
      <c r="K147" t="n">
        <v>8</v>
      </c>
      <c r="L147" t="n">
        <v>8</v>
      </c>
      <c r="M147" t="n">
        <v>8</v>
      </c>
      <c r="N147" t="n">
        <v>8</v>
      </c>
      <c r="O147" t="n">
        <v>40</v>
      </c>
      <c r="P147" t="n">
        <v>8</v>
      </c>
      <c r="R147" s="9" t="n">
        <v>0.08</v>
      </c>
      <c r="S147" s="10" t="inlineStr">
        <is>
          <t>SÍ — integrante</t>
        </is>
      </c>
      <c r="T147" s="11" t="inlineStr">
        <is>
          <t>B · INTEGRANTE</t>
        </is>
      </c>
      <c r="U147" s="11" t="inlineStr">
        <is>
          <t>DEL BANCO (se hereda)</t>
        </is>
      </c>
      <c r="V147" s="11" t="inlineStr">
        <is>
          <t>9154 · OTRAS ACTIVIDADES NO CLASIFICADAS</t>
        </is>
      </c>
      <c r="W147" s="12" t="n"/>
      <c r="X147" s="12" t="n"/>
    </row>
    <row r="148" ht="15" customHeight="1">
      <c r="C148" t="inlineStr">
        <is>
          <t>Actividad económica / giro mercantil</t>
        </is>
      </c>
      <c r="D148" t="inlineStr">
        <is>
          <t>F12</t>
        </is>
      </c>
      <c r="E148" t="inlineStr">
        <is>
          <t>INHERENTE</t>
        </is>
      </c>
      <c r="F148" t="inlineStr">
        <is>
          <t>Resinas sintéticas, plástico.</t>
        </is>
      </c>
      <c r="G148" t="n">
        <v>200637</v>
      </c>
      <c r="H148" t="n">
        <v>2</v>
      </c>
      <c r="I148" t="n">
        <v>2</v>
      </c>
      <c r="J148" t="n">
        <v>8</v>
      </c>
      <c r="K148" t="n">
        <v>16</v>
      </c>
      <c r="L148" t="n">
        <v>16</v>
      </c>
      <c r="M148" t="n">
        <v>16</v>
      </c>
      <c r="N148" t="n">
        <v>16</v>
      </c>
      <c r="O148" t="n">
        <v>40</v>
      </c>
      <c r="P148" t="n">
        <v>8</v>
      </c>
      <c r="R148" s="9" t="n">
        <v>0.08</v>
      </c>
      <c r="S148" s="10" t="inlineStr">
        <is>
          <t>SÍ — integrante</t>
        </is>
      </c>
      <c r="T148" s="11" t="inlineStr">
        <is>
          <t>B · INTEGRANTE</t>
        </is>
      </c>
      <c r="U148" s="11" t="inlineStr">
        <is>
          <t>DEL BANCO (se hereda)</t>
        </is>
      </c>
      <c r="V148" s="11" t="inlineStr">
        <is>
          <t>9154 · OTRAS ACTIVIDADES NO CLASIFICADAS</t>
        </is>
      </c>
      <c r="W148" s="12" t="n"/>
      <c r="X148" s="12" t="n"/>
    </row>
    <row r="149" ht="15" customHeight="1">
      <c r="C149" t="inlineStr">
        <is>
          <t>Actividad económica / giro mercantil</t>
        </is>
      </c>
      <c r="D149" t="inlineStr">
        <is>
          <t>F12</t>
        </is>
      </c>
      <c r="E149" t="inlineStr">
        <is>
          <t>INHERENTE</t>
        </is>
      </c>
      <c r="F149" t="inlineStr">
        <is>
          <t>Productos farmacéuticos</t>
        </is>
      </c>
      <c r="G149" t="n">
        <v>200638</v>
      </c>
      <c r="H149" t="n">
        <v>2</v>
      </c>
      <c r="I149" t="n">
        <v>2</v>
      </c>
      <c r="J149" t="n">
        <v>8</v>
      </c>
      <c r="K149" t="n">
        <v>16</v>
      </c>
      <c r="L149" t="n">
        <v>16</v>
      </c>
      <c r="M149" t="n">
        <v>16</v>
      </c>
      <c r="N149" t="n">
        <v>16</v>
      </c>
      <c r="O149" t="n">
        <v>40</v>
      </c>
      <c r="P149" t="n">
        <v>8</v>
      </c>
      <c r="R149" s="9" t="n">
        <v>0.08</v>
      </c>
      <c r="S149" s="10" t="inlineStr">
        <is>
          <t>SÍ — integrante</t>
        </is>
      </c>
      <c r="T149" s="11" t="inlineStr">
        <is>
          <t>B · INTEGRANTE</t>
        </is>
      </c>
      <c r="U149" s="11" t="inlineStr">
        <is>
          <t>DEL BANCO (se hereda)</t>
        </is>
      </c>
      <c r="V149" s="11" t="inlineStr">
        <is>
          <t>9152 · INDUSTRIA Y MANUFACTURA</t>
        </is>
      </c>
      <c r="W149" s="12" t="n"/>
      <c r="X149" s="12" t="n"/>
    </row>
    <row r="150" ht="15" customHeight="1">
      <c r="C150" t="inlineStr">
        <is>
          <t>Actividad económica / giro mercantil</t>
        </is>
      </c>
      <c r="D150" t="inlineStr">
        <is>
          <t>F12</t>
        </is>
      </c>
      <c r="E150" t="inlineStr">
        <is>
          <t>INHERENTE</t>
        </is>
      </c>
      <c r="F150" t="inlineStr">
        <is>
          <t>Jabones detergentes perfumes y c</t>
        </is>
      </c>
      <c r="G150" t="n">
        <v>200639</v>
      </c>
      <c r="H150" t="n">
        <v>2</v>
      </c>
      <c r="I150" t="n">
        <v>2</v>
      </c>
      <c r="J150" t="n">
        <v>8</v>
      </c>
      <c r="K150" t="n">
        <v>16</v>
      </c>
      <c r="L150" t="n">
        <v>16</v>
      </c>
      <c r="M150" t="n">
        <v>16</v>
      </c>
      <c r="N150" t="n">
        <v>16</v>
      </c>
      <c r="O150" t="n">
        <v>40</v>
      </c>
      <c r="P150" t="n">
        <v>8</v>
      </c>
      <c r="R150" s="9" t="n">
        <v>0.08</v>
      </c>
      <c r="S150" s="10" t="inlineStr">
        <is>
          <t>SÍ — integrante</t>
        </is>
      </c>
      <c r="T150" s="11" t="inlineStr">
        <is>
          <t>B · INTEGRANTE</t>
        </is>
      </c>
      <c r="U150" s="11" t="inlineStr">
        <is>
          <t>DEL BANCO (se hereda)</t>
        </is>
      </c>
      <c r="V150" s="11" t="inlineStr">
        <is>
          <t>9154 · OTRAS ACTIVIDADES NO CLASIFICADAS</t>
        </is>
      </c>
      <c r="W150" s="12" t="n"/>
      <c r="X150" s="12" t="n"/>
    </row>
    <row r="151" ht="15" customHeight="1">
      <c r="C151" t="inlineStr">
        <is>
          <t>Actividad económica / giro mercantil</t>
        </is>
      </c>
      <c r="D151" t="inlineStr">
        <is>
          <t>F12</t>
        </is>
      </c>
      <c r="E151" t="inlineStr">
        <is>
          <t>INHERENTE</t>
        </is>
      </c>
      <c r="F151" t="inlineStr">
        <is>
          <t>Otras industrias químicas</t>
        </is>
      </c>
      <c r="G151" t="n">
        <v>200640</v>
      </c>
      <c r="H151" t="n">
        <v>3</v>
      </c>
      <c r="I151" t="n">
        <v>3</v>
      </c>
      <c r="J151" t="n">
        <v>8</v>
      </c>
      <c r="K151" t="n">
        <v>24</v>
      </c>
      <c r="L151" t="n">
        <v>24</v>
      </c>
      <c r="M151" t="n">
        <v>24</v>
      </c>
      <c r="N151" t="n">
        <v>24</v>
      </c>
      <c r="O151" t="n">
        <v>40</v>
      </c>
      <c r="P151" t="n">
        <v>8</v>
      </c>
      <c r="R151" s="9" t="n">
        <v>0.08</v>
      </c>
      <c r="S151" s="10" t="inlineStr">
        <is>
          <t>SÍ — integrante</t>
        </is>
      </c>
      <c r="T151" s="11" t="inlineStr">
        <is>
          <t>B · INTEGRANTE</t>
        </is>
      </c>
      <c r="U151" s="11" t="inlineStr">
        <is>
          <t>DEL BANCO (se hereda)</t>
        </is>
      </c>
      <c r="V151" s="11" t="inlineStr">
        <is>
          <t>9152 · INDUSTRIA Y MANUFACTURA</t>
        </is>
      </c>
      <c r="W151" s="12" t="n"/>
      <c r="X151" s="12" t="n"/>
    </row>
    <row r="152" ht="15" customHeight="1">
      <c r="C152" t="inlineStr">
        <is>
          <t>Actividad económica / giro mercantil</t>
        </is>
      </c>
      <c r="D152" t="inlineStr">
        <is>
          <t>F12</t>
        </is>
      </c>
      <c r="E152" t="inlineStr">
        <is>
          <t>INHERENTE</t>
        </is>
      </c>
      <c r="F152" t="inlineStr">
        <is>
          <t>Productos de hule</t>
        </is>
      </c>
      <c r="G152" t="n">
        <v>200641</v>
      </c>
      <c r="H152" t="n">
        <v>2</v>
      </c>
      <c r="I152" t="n">
        <v>2</v>
      </c>
      <c r="J152" t="n">
        <v>8</v>
      </c>
      <c r="K152" t="n">
        <v>16</v>
      </c>
      <c r="L152" t="n">
        <v>16</v>
      </c>
      <c r="M152" t="n">
        <v>16</v>
      </c>
      <c r="N152" t="n">
        <v>16</v>
      </c>
      <c r="O152" t="n">
        <v>40</v>
      </c>
      <c r="P152" t="n">
        <v>8</v>
      </c>
      <c r="R152" s="9" t="n">
        <v>0.08</v>
      </c>
      <c r="S152" s="10" t="inlineStr">
        <is>
          <t>SÍ — integrante</t>
        </is>
      </c>
      <c r="T152" s="11" t="inlineStr">
        <is>
          <t>B · INTEGRANTE</t>
        </is>
      </c>
      <c r="U152" s="11" t="inlineStr">
        <is>
          <t>DEL BANCO (se hereda)</t>
        </is>
      </c>
      <c r="V152" s="11" t="inlineStr">
        <is>
          <t>9151 · SECTOR PRIMARIO (agropecuario, pesca, forestal, minería)</t>
        </is>
      </c>
      <c r="W152" s="12" t="n"/>
      <c r="X152" s="12" t="n"/>
    </row>
    <row r="153" ht="15" customHeight="1">
      <c r="C153" t="inlineStr">
        <is>
          <t>Actividad económica / giro mercantil</t>
        </is>
      </c>
      <c r="D153" t="inlineStr">
        <is>
          <t>F12</t>
        </is>
      </c>
      <c r="E153" t="inlineStr">
        <is>
          <t>INHERENTE</t>
        </is>
      </c>
      <c r="F153" t="inlineStr">
        <is>
          <t>Productos de plástico</t>
        </is>
      </c>
      <c r="G153" t="n">
        <v>200642</v>
      </c>
      <c r="H153" t="n">
        <v>2</v>
      </c>
      <c r="I153" t="n">
        <v>2</v>
      </c>
      <c r="J153" t="n">
        <v>8</v>
      </c>
      <c r="K153" t="n">
        <v>16</v>
      </c>
      <c r="L153" t="n">
        <v>16</v>
      </c>
      <c r="M153" t="n">
        <v>16</v>
      </c>
      <c r="N153" t="n">
        <v>16</v>
      </c>
      <c r="O153" t="n">
        <v>40</v>
      </c>
      <c r="P153" t="n">
        <v>8</v>
      </c>
      <c r="R153" s="9" t="n">
        <v>0.08</v>
      </c>
      <c r="S153" s="10" t="inlineStr">
        <is>
          <t>SÍ — integrante</t>
        </is>
      </c>
      <c r="T153" s="11" t="inlineStr">
        <is>
          <t>B · INTEGRANTE</t>
        </is>
      </c>
      <c r="U153" s="11" t="inlineStr">
        <is>
          <t>DEL BANCO (se hereda)</t>
        </is>
      </c>
      <c r="V153" s="11" t="inlineStr">
        <is>
          <t>9152 · INDUSTRIA Y MANUFACTURA</t>
        </is>
      </c>
      <c r="W153" s="12" t="n"/>
      <c r="X153" s="12" t="n"/>
    </row>
    <row r="154" ht="15" customHeight="1">
      <c r="C154" t="inlineStr">
        <is>
          <t>Actividad económica / giro mercantil</t>
        </is>
      </c>
      <c r="D154" t="inlineStr">
        <is>
          <t>F12</t>
        </is>
      </c>
      <c r="E154" t="inlineStr">
        <is>
          <t>INHERENTE</t>
        </is>
      </c>
      <c r="F154" t="inlineStr">
        <is>
          <t>Vidrio y sus productos</t>
        </is>
      </c>
      <c r="G154" t="n">
        <v>200743</v>
      </c>
      <c r="H154" t="n">
        <v>1</v>
      </c>
      <c r="I154" t="n">
        <v>1</v>
      </c>
      <c r="J154" t="n">
        <v>8</v>
      </c>
      <c r="K154" t="n">
        <v>8</v>
      </c>
      <c r="L154" t="n">
        <v>8</v>
      </c>
      <c r="M154" t="n">
        <v>8</v>
      </c>
      <c r="N154" t="n">
        <v>8</v>
      </c>
      <c r="O154" t="n">
        <v>40</v>
      </c>
      <c r="P154" t="n">
        <v>8</v>
      </c>
      <c r="R154" s="9" t="n">
        <v>0.08</v>
      </c>
      <c r="S154" s="10" t="inlineStr">
        <is>
          <t>SÍ — integrante</t>
        </is>
      </c>
      <c r="T154" s="11" t="inlineStr">
        <is>
          <t>B · INTEGRANTE</t>
        </is>
      </c>
      <c r="U154" s="11" t="inlineStr">
        <is>
          <t>DEL BANCO (se hereda)</t>
        </is>
      </c>
      <c r="V154" s="11" t="inlineStr">
        <is>
          <t>9152 · INDUSTRIA Y MANUFACTURA</t>
        </is>
      </c>
      <c r="W154" s="12" t="n"/>
      <c r="X154" s="12" t="n"/>
    </row>
    <row r="155" ht="15" customHeight="1">
      <c r="C155" t="inlineStr">
        <is>
          <t>Actividad económica / giro mercantil</t>
        </is>
      </c>
      <c r="D155" t="inlineStr">
        <is>
          <t>F12</t>
        </is>
      </c>
      <c r="E155" t="inlineStr">
        <is>
          <t>INHERENTE</t>
        </is>
      </c>
      <c r="F155" t="inlineStr">
        <is>
          <t>Cemento</t>
        </is>
      </c>
      <c r="G155" t="n">
        <v>200744</v>
      </c>
      <c r="H155" t="n">
        <v>1</v>
      </c>
      <c r="I155" t="n">
        <v>1</v>
      </c>
      <c r="J155" t="n">
        <v>8</v>
      </c>
      <c r="K155" t="n">
        <v>8</v>
      </c>
      <c r="L155" t="n">
        <v>8</v>
      </c>
      <c r="M155" t="n">
        <v>8</v>
      </c>
      <c r="N155" t="n">
        <v>8</v>
      </c>
      <c r="O155" t="n">
        <v>40</v>
      </c>
      <c r="P155" t="n">
        <v>8</v>
      </c>
      <c r="R155" s="9" t="n">
        <v>0.08</v>
      </c>
      <c r="S155" s="10" t="inlineStr">
        <is>
          <t>SÍ — integrante</t>
        </is>
      </c>
      <c r="T155" s="11" t="inlineStr">
        <is>
          <t>B · INTEGRANTE</t>
        </is>
      </c>
      <c r="U155" s="11" t="inlineStr">
        <is>
          <t>DEL BANCO (se hereda)</t>
        </is>
      </c>
      <c r="V155" s="11" t="inlineStr">
        <is>
          <t>9154 · OTRAS ACTIVIDADES NO CLASIFICADAS</t>
        </is>
      </c>
      <c r="W155" s="12" t="n"/>
      <c r="X155" s="12" t="n"/>
    </row>
    <row r="156" ht="15" customHeight="1">
      <c r="C156" t="inlineStr">
        <is>
          <t>Actividad económica / giro mercantil</t>
        </is>
      </c>
      <c r="D156" t="inlineStr">
        <is>
          <t>F12</t>
        </is>
      </c>
      <c r="E156" t="inlineStr">
        <is>
          <t>INHERENTE</t>
        </is>
      </c>
      <c r="F156" t="inlineStr">
        <is>
          <t>45.Otros productos minerales no met</t>
        </is>
      </c>
      <c r="G156" t="n">
        <v>200745</v>
      </c>
      <c r="H156" t="n">
        <v>2</v>
      </c>
      <c r="I156" t="n">
        <v>2</v>
      </c>
      <c r="J156" t="n">
        <v>8</v>
      </c>
      <c r="K156" t="n">
        <v>16</v>
      </c>
      <c r="L156" t="n">
        <v>16</v>
      </c>
      <c r="M156" t="n">
        <v>16</v>
      </c>
      <c r="N156" t="n">
        <v>16</v>
      </c>
      <c r="O156" t="n">
        <v>40</v>
      </c>
      <c r="P156" t="n">
        <v>8</v>
      </c>
      <c r="R156" s="9" t="n">
        <v>0.08</v>
      </c>
      <c r="S156" s="10" t="inlineStr">
        <is>
          <t>SÍ — integrante</t>
        </is>
      </c>
      <c r="T156" s="11" t="inlineStr">
        <is>
          <t>B · INTEGRANTE</t>
        </is>
      </c>
      <c r="U156" s="11" t="inlineStr">
        <is>
          <t>DEL BANCO (se hereda)</t>
        </is>
      </c>
      <c r="V156" s="11" t="inlineStr">
        <is>
          <t>9151 · SECTOR PRIMARIO (agropecuario, pesca, forestal, minería)</t>
        </is>
      </c>
      <c r="W156" s="12" t="n"/>
      <c r="X156" s="12" t="n"/>
    </row>
    <row r="157" ht="15" customHeight="1">
      <c r="C157" t="inlineStr">
        <is>
          <t>Actividad económica / giro mercantil</t>
        </is>
      </c>
      <c r="D157" t="inlineStr">
        <is>
          <t>F12</t>
        </is>
      </c>
      <c r="E157" t="inlineStr">
        <is>
          <t>INHERENTE</t>
        </is>
      </c>
      <c r="F157" t="inlineStr">
        <is>
          <t>Industrias básicas de hierro</t>
        </is>
      </c>
      <c r="G157" t="n">
        <v>200846</v>
      </c>
      <c r="H157" t="n">
        <v>2</v>
      </c>
      <c r="I157" t="n">
        <v>2</v>
      </c>
      <c r="J157" t="n">
        <v>8</v>
      </c>
      <c r="K157" t="n">
        <v>16</v>
      </c>
      <c r="L157" t="n">
        <v>16</v>
      </c>
      <c r="M157" t="n">
        <v>16</v>
      </c>
      <c r="N157" t="n">
        <v>16</v>
      </c>
      <c r="O157" t="n">
        <v>40</v>
      </c>
      <c r="P157" t="n">
        <v>8</v>
      </c>
      <c r="R157" s="9" t="n">
        <v>0.08</v>
      </c>
      <c r="S157" s="10" t="inlineStr">
        <is>
          <t>SÍ — integrante</t>
        </is>
      </c>
      <c r="T157" s="11" t="inlineStr">
        <is>
          <t>B · INTEGRANTE</t>
        </is>
      </c>
      <c r="U157" s="11" t="inlineStr">
        <is>
          <t>DEL BANCO (se hereda)</t>
        </is>
      </c>
      <c r="V157" s="11" t="inlineStr">
        <is>
          <t>9152 · INDUSTRIA Y MANUFACTURA</t>
        </is>
      </c>
      <c r="W157" s="12" t="n"/>
      <c r="X157" s="12" t="n"/>
    </row>
    <row r="158" ht="15" customHeight="1">
      <c r="C158" t="inlineStr">
        <is>
          <t>Actividad económica / giro mercantil</t>
        </is>
      </c>
      <c r="D158" t="inlineStr">
        <is>
          <t>F12</t>
        </is>
      </c>
      <c r="E158" t="inlineStr">
        <is>
          <t>INHERENTE</t>
        </is>
      </c>
      <c r="F158" t="inlineStr">
        <is>
          <t>Ind. básicas de metales no ferro</t>
        </is>
      </c>
      <c r="G158" t="n">
        <v>200847</v>
      </c>
      <c r="H158" t="n">
        <v>2</v>
      </c>
      <c r="I158" t="n">
        <v>2</v>
      </c>
      <c r="J158" t="n">
        <v>8</v>
      </c>
      <c r="K158" t="n">
        <v>16</v>
      </c>
      <c r="L158" t="n">
        <v>16</v>
      </c>
      <c r="M158" t="n">
        <v>16</v>
      </c>
      <c r="N158" t="n">
        <v>16</v>
      </c>
      <c r="O158" t="n">
        <v>40</v>
      </c>
      <c r="P158" t="n">
        <v>8</v>
      </c>
      <c r="R158" s="9" t="n">
        <v>0.08</v>
      </c>
      <c r="S158" s="10" t="inlineStr">
        <is>
          <t>SÍ — integrante</t>
        </is>
      </c>
      <c r="T158" s="11" t="inlineStr">
        <is>
          <t>B · INTEGRANTE</t>
        </is>
      </c>
      <c r="U158" s="11" t="inlineStr">
        <is>
          <t>DEL BANCO (se hereda)</t>
        </is>
      </c>
      <c r="V158" s="11" t="inlineStr">
        <is>
          <t>9152 · INDUSTRIA Y MANUFACTURA</t>
        </is>
      </c>
      <c r="W158" s="12" t="n"/>
      <c r="X158" s="12" t="n"/>
    </row>
    <row r="159" ht="15" customHeight="1">
      <c r="C159" t="inlineStr">
        <is>
          <t>Actividad económica / giro mercantil</t>
        </is>
      </c>
      <c r="D159" t="inlineStr">
        <is>
          <t>F12</t>
        </is>
      </c>
      <c r="E159" t="inlineStr">
        <is>
          <t>INHERENTE</t>
        </is>
      </c>
      <c r="F159" t="inlineStr">
        <is>
          <t>Muebles y accesorios metálicos</t>
        </is>
      </c>
      <c r="G159" t="n">
        <v>200948</v>
      </c>
      <c r="H159" t="n">
        <v>2</v>
      </c>
      <c r="I159" t="n">
        <v>2</v>
      </c>
      <c r="J159" t="n">
        <v>8</v>
      </c>
      <c r="K159" t="n">
        <v>16</v>
      </c>
      <c r="L159" t="n">
        <v>16</v>
      </c>
      <c r="M159" t="n">
        <v>16</v>
      </c>
      <c r="N159" t="n">
        <v>16</v>
      </c>
      <c r="O159" t="n">
        <v>40</v>
      </c>
      <c r="P159" t="n">
        <v>8</v>
      </c>
      <c r="R159" s="9" t="n">
        <v>0.08</v>
      </c>
      <c r="S159" s="10" t="inlineStr">
        <is>
          <t>SÍ — integrante</t>
        </is>
      </c>
      <c r="T159" s="11" t="inlineStr">
        <is>
          <t>B · INTEGRANTE</t>
        </is>
      </c>
      <c r="U159" s="11" t="inlineStr">
        <is>
          <t>DEL BANCO (se hereda)</t>
        </is>
      </c>
      <c r="V159" s="11" t="inlineStr">
        <is>
          <t>9154 · OTRAS ACTIVIDADES NO CLASIFICADAS</t>
        </is>
      </c>
      <c r="W159" s="12" t="n"/>
      <c r="X159" s="12" t="n"/>
    </row>
    <row r="160" ht="15" customHeight="1">
      <c r="C160" t="inlineStr">
        <is>
          <t>Actividad económica / giro mercantil</t>
        </is>
      </c>
      <c r="D160" t="inlineStr">
        <is>
          <t>F12</t>
        </is>
      </c>
      <c r="E160" t="inlineStr">
        <is>
          <t>INHERENTE</t>
        </is>
      </c>
      <c r="F160" t="inlineStr">
        <is>
          <t>Productos metálicos estructurales</t>
        </is>
      </c>
      <c r="G160" t="n">
        <v>200949</v>
      </c>
      <c r="H160" t="n">
        <v>2</v>
      </c>
      <c r="I160" t="n">
        <v>2</v>
      </c>
      <c r="J160" t="n">
        <v>8</v>
      </c>
      <c r="K160" t="n">
        <v>16</v>
      </c>
      <c r="L160" t="n">
        <v>16</v>
      </c>
      <c r="M160" t="n">
        <v>16</v>
      </c>
      <c r="N160" t="n">
        <v>16</v>
      </c>
      <c r="O160" t="n">
        <v>40</v>
      </c>
      <c r="P160" t="n">
        <v>8</v>
      </c>
      <c r="R160" s="9" t="n">
        <v>0.08</v>
      </c>
      <c r="S160" s="10" t="inlineStr">
        <is>
          <t>SÍ — integrante</t>
        </is>
      </c>
      <c r="T160" s="11" t="inlineStr">
        <is>
          <t>B · INTEGRANTE</t>
        </is>
      </c>
      <c r="U160" s="11" t="inlineStr">
        <is>
          <t>DEL BANCO (se hereda)</t>
        </is>
      </c>
      <c r="V160" s="11" t="inlineStr">
        <is>
          <t>9152 · INDUSTRIA Y MANUFACTURA</t>
        </is>
      </c>
      <c r="W160" s="12" t="n"/>
      <c r="X160" s="12" t="n"/>
    </row>
    <row r="161" ht="15" customHeight="1">
      <c r="C161" t="inlineStr">
        <is>
          <t>Actividad económica / giro mercantil</t>
        </is>
      </c>
      <c r="D161" t="inlineStr">
        <is>
          <t>F12</t>
        </is>
      </c>
      <c r="E161" t="inlineStr">
        <is>
          <t>INHERENTE</t>
        </is>
      </c>
      <c r="F161" t="inlineStr">
        <is>
          <t>Otros productos metálicos</t>
        </is>
      </c>
      <c r="G161" t="n">
        <v>200950</v>
      </c>
      <c r="H161" t="n">
        <v>3</v>
      </c>
      <c r="I161" t="n">
        <v>3</v>
      </c>
      <c r="J161" t="n">
        <v>8</v>
      </c>
      <c r="K161" t="n">
        <v>24</v>
      </c>
      <c r="L161" t="n">
        <v>24</v>
      </c>
      <c r="M161" t="n">
        <v>24</v>
      </c>
      <c r="N161" t="n">
        <v>24</v>
      </c>
      <c r="O161" t="n">
        <v>40</v>
      </c>
      <c r="P161" t="n">
        <v>8</v>
      </c>
      <c r="R161" s="9" t="n">
        <v>0.08</v>
      </c>
      <c r="S161" s="10" t="inlineStr">
        <is>
          <t>SÍ — integrante</t>
        </is>
      </c>
      <c r="T161" s="11" t="inlineStr">
        <is>
          <t>B · INTEGRANTE</t>
        </is>
      </c>
      <c r="U161" s="11" t="inlineStr">
        <is>
          <t>DEL BANCO (se hereda)</t>
        </is>
      </c>
      <c r="V161" s="11" t="inlineStr">
        <is>
          <t>9152 · INDUSTRIA Y MANUFACTURA</t>
        </is>
      </c>
      <c r="W161" s="12" t="n"/>
      <c r="X161" s="12" t="n"/>
    </row>
    <row r="162" ht="15" customHeight="1">
      <c r="C162" t="inlineStr">
        <is>
          <t>Actividad económica / giro mercantil</t>
        </is>
      </c>
      <c r="D162" t="inlineStr">
        <is>
          <t>F12</t>
        </is>
      </c>
      <c r="E162" t="inlineStr">
        <is>
          <t>INHERENTE</t>
        </is>
      </c>
      <c r="F162" t="inlineStr">
        <is>
          <t>51.Maquinaria y equipo no eléctrico</t>
        </is>
      </c>
      <c r="G162" t="n">
        <v>200951</v>
      </c>
      <c r="H162" t="n">
        <v>2</v>
      </c>
      <c r="I162" t="n">
        <v>2</v>
      </c>
      <c r="J162" t="n">
        <v>8</v>
      </c>
      <c r="K162" t="n">
        <v>16</v>
      </c>
      <c r="L162" t="n">
        <v>16</v>
      </c>
      <c r="M162" t="n">
        <v>16</v>
      </c>
      <c r="N162" t="n">
        <v>16</v>
      </c>
      <c r="O162" t="n">
        <v>40</v>
      </c>
      <c r="P162" t="n">
        <v>8</v>
      </c>
      <c r="R162" s="9" t="n">
        <v>0.08</v>
      </c>
      <c r="S162" s="10" t="inlineStr">
        <is>
          <t>SÍ — integrante</t>
        </is>
      </c>
      <c r="T162" s="11" t="inlineStr">
        <is>
          <t>B · INTEGRANTE</t>
        </is>
      </c>
      <c r="U162" s="11" t="inlineStr">
        <is>
          <t>DEL BANCO (se hereda)</t>
        </is>
      </c>
      <c r="V162" s="11" t="inlineStr">
        <is>
          <t>9154 · OTRAS ACTIVIDADES NO CLASIFICADAS</t>
        </is>
      </c>
      <c r="W162" s="12" t="n"/>
      <c r="X162" s="12" t="n"/>
    </row>
    <row r="163" ht="15" customHeight="1">
      <c r="C163" t="inlineStr">
        <is>
          <t>Actividad económica / giro mercantil</t>
        </is>
      </c>
      <c r="D163" t="inlineStr">
        <is>
          <t>F12</t>
        </is>
      </c>
      <c r="E163" t="inlineStr">
        <is>
          <t>INHERENTE</t>
        </is>
      </c>
      <c r="F163" t="inlineStr">
        <is>
          <t>Maquinaria y aparatos eléctricos</t>
        </is>
      </c>
      <c r="G163" t="n">
        <v>200952</v>
      </c>
      <c r="H163" t="n">
        <v>2</v>
      </c>
      <c r="I163" t="n">
        <v>2</v>
      </c>
      <c r="J163" t="n">
        <v>8</v>
      </c>
      <c r="K163" t="n">
        <v>16</v>
      </c>
      <c r="L163" t="n">
        <v>16</v>
      </c>
      <c r="M163" t="n">
        <v>16</v>
      </c>
      <c r="N163" t="n">
        <v>16</v>
      </c>
      <c r="O163" t="n">
        <v>40</v>
      </c>
      <c r="P163" t="n">
        <v>8</v>
      </c>
      <c r="R163" s="9" t="n">
        <v>0.08</v>
      </c>
      <c r="S163" s="10" t="inlineStr">
        <is>
          <t>SÍ — integrante</t>
        </is>
      </c>
      <c r="T163" s="11" t="inlineStr">
        <is>
          <t>B · INTEGRANTE</t>
        </is>
      </c>
      <c r="U163" s="11" t="inlineStr">
        <is>
          <t>DEL BANCO (se hereda)</t>
        </is>
      </c>
      <c r="V163" s="11" t="inlineStr">
        <is>
          <t>9154 · OTRAS ACTIVIDADES NO CLASIFICADAS</t>
        </is>
      </c>
      <c r="W163" s="12" t="n"/>
      <c r="X163" s="12" t="n"/>
    </row>
    <row r="164" ht="15" customHeight="1">
      <c r="C164" t="inlineStr">
        <is>
          <t>Actividad económica / giro mercantil</t>
        </is>
      </c>
      <c r="D164" t="inlineStr">
        <is>
          <t>F12</t>
        </is>
      </c>
      <c r="E164" t="inlineStr">
        <is>
          <t>INHERENTE</t>
        </is>
      </c>
      <c r="F164" t="inlineStr">
        <is>
          <t>Aparatos electrodomésticos</t>
        </is>
      </c>
      <c r="G164" t="n">
        <v>200953</v>
      </c>
      <c r="H164" t="n">
        <v>2</v>
      </c>
      <c r="I164" t="n">
        <v>2</v>
      </c>
      <c r="J164" t="n">
        <v>8</v>
      </c>
      <c r="K164" t="n">
        <v>16</v>
      </c>
      <c r="L164" t="n">
        <v>16</v>
      </c>
      <c r="M164" t="n">
        <v>16</v>
      </c>
      <c r="N164" t="n">
        <v>16</v>
      </c>
      <c r="O164" t="n">
        <v>40</v>
      </c>
      <c r="P164" t="n">
        <v>8</v>
      </c>
      <c r="R164" s="9" t="n">
        <v>0.08</v>
      </c>
      <c r="S164" s="10" t="inlineStr">
        <is>
          <t>SÍ — integrante</t>
        </is>
      </c>
      <c r="T164" s="11" t="inlineStr">
        <is>
          <t>B · INTEGRANTE</t>
        </is>
      </c>
      <c r="U164" s="11" t="inlineStr">
        <is>
          <t>DEL BANCO (se hereda)</t>
        </is>
      </c>
      <c r="V164" s="11" t="inlineStr">
        <is>
          <t>9154 · OTRAS ACTIVIDADES NO CLASIFICADAS</t>
        </is>
      </c>
      <c r="W164" s="12" t="n"/>
      <c r="X164" s="12" t="n"/>
    </row>
    <row r="165" ht="15" customHeight="1">
      <c r="C165" t="inlineStr">
        <is>
          <t>Actividad económica / giro mercantil</t>
        </is>
      </c>
      <c r="D165" t="inlineStr">
        <is>
          <t>F12</t>
        </is>
      </c>
      <c r="E165" t="inlineStr">
        <is>
          <t>INHERENTE</t>
        </is>
      </c>
      <c r="F165" t="inlineStr">
        <is>
          <t>Equipos y aparatos electrónicos</t>
        </is>
      </c>
      <c r="G165" t="n">
        <v>200954</v>
      </c>
      <c r="H165" t="n">
        <v>2</v>
      </c>
      <c r="I165" t="n">
        <v>2</v>
      </c>
      <c r="J165" t="n">
        <v>8</v>
      </c>
      <c r="K165" t="n">
        <v>16</v>
      </c>
      <c r="L165" t="n">
        <v>16</v>
      </c>
      <c r="M165" t="n">
        <v>16</v>
      </c>
      <c r="N165" t="n">
        <v>16</v>
      </c>
      <c r="O165" t="n">
        <v>40</v>
      </c>
      <c r="P165" t="n">
        <v>8</v>
      </c>
      <c r="R165" s="9" t="n">
        <v>0.08</v>
      </c>
      <c r="S165" s="10" t="inlineStr">
        <is>
          <t>SÍ — integrante</t>
        </is>
      </c>
      <c r="T165" s="11" t="inlineStr">
        <is>
          <t>B · INTEGRANTE</t>
        </is>
      </c>
      <c r="U165" s="11" t="inlineStr">
        <is>
          <t>DEL BANCO (se hereda)</t>
        </is>
      </c>
      <c r="V165" s="11" t="inlineStr">
        <is>
          <t>9154 · OTRAS ACTIVIDADES NO CLASIFICADAS</t>
        </is>
      </c>
      <c r="W165" s="12" t="n"/>
      <c r="X165" s="12" t="n"/>
    </row>
    <row r="166" ht="15" customHeight="1">
      <c r="C166" t="inlineStr">
        <is>
          <t>Actividad económica / giro mercantil</t>
        </is>
      </c>
      <c r="D166" t="inlineStr">
        <is>
          <t>F12</t>
        </is>
      </c>
      <c r="E166" t="inlineStr">
        <is>
          <t>INHERENTE</t>
        </is>
      </c>
      <c r="F166" t="inlineStr">
        <is>
          <t>Equipos y aparatos eléctricos</t>
        </is>
      </c>
      <c r="G166" t="n">
        <v>200955</v>
      </c>
      <c r="H166" t="n">
        <v>2</v>
      </c>
      <c r="I166" t="n">
        <v>2</v>
      </c>
      <c r="J166" t="n">
        <v>8</v>
      </c>
      <c r="K166" t="n">
        <v>16</v>
      </c>
      <c r="L166" t="n">
        <v>16</v>
      </c>
      <c r="M166" t="n">
        <v>16</v>
      </c>
      <c r="N166" t="n">
        <v>16</v>
      </c>
      <c r="O166" t="n">
        <v>40</v>
      </c>
      <c r="P166" t="n">
        <v>8</v>
      </c>
      <c r="R166" s="9" t="n">
        <v>0.08</v>
      </c>
      <c r="S166" s="10" t="inlineStr">
        <is>
          <t>SÍ — integrante</t>
        </is>
      </c>
      <c r="T166" s="11" t="inlineStr">
        <is>
          <t>B · INTEGRANTE</t>
        </is>
      </c>
      <c r="U166" s="11" t="inlineStr">
        <is>
          <t>DEL BANCO (se hereda)</t>
        </is>
      </c>
      <c r="V166" s="11" t="inlineStr">
        <is>
          <t>9154 · OTRAS ACTIVIDADES NO CLASIFICADAS</t>
        </is>
      </c>
      <c r="W166" s="12" t="n"/>
      <c r="X166" s="12" t="n"/>
    </row>
    <row r="167" ht="15" customHeight="1">
      <c r="C167" t="inlineStr">
        <is>
          <t>Actividad económica / giro mercantil</t>
        </is>
      </c>
      <c r="D167" t="inlineStr">
        <is>
          <t>F12</t>
        </is>
      </c>
      <c r="E167" t="inlineStr">
        <is>
          <t>INHERENTE</t>
        </is>
      </c>
      <c r="F167" t="inlineStr">
        <is>
          <t>56.Vehículos y automóviles</t>
        </is>
      </c>
      <c r="G167" t="n">
        <v>200956</v>
      </c>
      <c r="H167" t="n">
        <v>5</v>
      </c>
      <c r="I167" t="n">
        <v>5</v>
      </c>
      <c r="J167" t="n">
        <v>8</v>
      </c>
      <c r="K167" t="n">
        <v>40</v>
      </c>
      <c r="L167" t="n">
        <v>40</v>
      </c>
      <c r="M167" t="n">
        <v>40</v>
      </c>
      <c r="N167" t="n">
        <v>40</v>
      </c>
      <c r="O167" t="n">
        <v>40</v>
      </c>
      <c r="P167" t="n">
        <v>8</v>
      </c>
      <c r="Q167" t="inlineStr">
        <is>
          <t>DETERMINANTE</t>
        </is>
      </c>
      <c r="R167" s="9" t="n">
        <v>0.08</v>
      </c>
      <c r="S167" s="10" t="inlineStr">
        <is>
          <t>SÍ — integrante</t>
        </is>
      </c>
      <c r="T167" s="11" t="inlineStr">
        <is>
          <t>B · INTEGRANTE</t>
        </is>
      </c>
      <c r="U167" s="11" t="inlineStr">
        <is>
          <t>DEL BANCO (se hereda)</t>
        </is>
      </c>
      <c r="V167" s="11" t="inlineStr">
        <is>
          <t>9154 · OTRAS ACTIVIDADES NO CLASIFICADAS</t>
        </is>
      </c>
      <c r="W167" s="12" t="n"/>
      <c r="X167" s="12" t="n"/>
    </row>
    <row r="168" ht="15" customHeight="1">
      <c r="C168" t="inlineStr">
        <is>
          <t>Actividad económica / giro mercantil</t>
        </is>
      </c>
      <c r="D168" t="inlineStr">
        <is>
          <t>F12</t>
        </is>
      </c>
      <c r="E168" t="inlineStr">
        <is>
          <t>INHERENTE</t>
        </is>
      </c>
      <c r="F168" t="inlineStr">
        <is>
          <t>Carrocerías, Motores, Partes y A</t>
        </is>
      </c>
      <c r="G168" t="n">
        <v>200957</v>
      </c>
      <c r="H168" t="n">
        <v>2</v>
      </c>
      <c r="I168" t="n">
        <v>2</v>
      </c>
      <c r="J168" t="n">
        <v>8</v>
      </c>
      <c r="K168" t="n">
        <v>16</v>
      </c>
      <c r="L168" t="n">
        <v>16</v>
      </c>
      <c r="M168" t="n">
        <v>16</v>
      </c>
      <c r="N168" t="n">
        <v>16</v>
      </c>
      <c r="O168" t="n">
        <v>40</v>
      </c>
      <c r="P168" t="n">
        <v>8</v>
      </c>
      <c r="R168" s="9" t="n">
        <v>0.08</v>
      </c>
      <c r="S168" s="10" t="inlineStr">
        <is>
          <t>SÍ — integrante</t>
        </is>
      </c>
      <c r="T168" s="11" t="inlineStr">
        <is>
          <t>B · INTEGRANTE</t>
        </is>
      </c>
      <c r="U168" s="11" t="inlineStr">
        <is>
          <t>DEL BANCO (se hereda)</t>
        </is>
      </c>
      <c r="V168" s="11" t="inlineStr">
        <is>
          <t>9152 · INDUSTRIA Y MANUFACTURA</t>
        </is>
      </c>
      <c r="W168" s="12" t="n"/>
      <c r="X168" s="12" t="n"/>
    </row>
    <row r="169" ht="15" customHeight="1">
      <c r="C169" t="inlineStr">
        <is>
          <t>Actividad económica / giro mercantil</t>
        </is>
      </c>
      <c r="D169" t="inlineStr">
        <is>
          <t>F12</t>
        </is>
      </c>
      <c r="E169" t="inlineStr">
        <is>
          <t>INHERENTE</t>
        </is>
      </c>
      <c r="F169" t="inlineStr">
        <is>
          <t>58.Equipos y materiales de transp.</t>
        </is>
      </c>
      <c r="G169" t="n">
        <v>200958</v>
      </c>
      <c r="H169" t="n">
        <v>1</v>
      </c>
      <c r="I169" t="n">
        <v>1</v>
      </c>
      <c r="J169" t="n">
        <v>8</v>
      </c>
      <c r="K169" t="n">
        <v>8</v>
      </c>
      <c r="L169" t="n">
        <v>8</v>
      </c>
      <c r="M169" t="n">
        <v>8</v>
      </c>
      <c r="N169" t="n">
        <v>8</v>
      </c>
      <c r="O169" t="n">
        <v>40</v>
      </c>
      <c r="P169" t="n">
        <v>8</v>
      </c>
      <c r="R169" s="9" t="n">
        <v>0.08</v>
      </c>
      <c r="S169" s="10" t="inlineStr">
        <is>
          <t>SÍ — integrante</t>
        </is>
      </c>
      <c r="T169" s="11" t="inlineStr">
        <is>
          <t>B · INTEGRANTE</t>
        </is>
      </c>
      <c r="U169" s="11" t="inlineStr">
        <is>
          <t>DEL BANCO (se hereda)</t>
        </is>
      </c>
      <c r="V169" s="11" t="inlineStr">
        <is>
          <t>9154 · OTRAS ACTIVIDADES NO CLASIFICADAS</t>
        </is>
      </c>
      <c r="W169" s="12" t="n"/>
      <c r="X169" s="12" t="n"/>
    </row>
    <row r="170" ht="15" customHeight="1">
      <c r="C170" t="inlineStr">
        <is>
          <t>Actividad económica / giro mercantil</t>
        </is>
      </c>
      <c r="D170" t="inlineStr">
        <is>
          <t>F12</t>
        </is>
      </c>
      <c r="E170" t="inlineStr">
        <is>
          <t>INHERENTE</t>
        </is>
      </c>
      <c r="F170" t="inlineStr">
        <is>
          <t>FABRICACION DE ARMAS</t>
        </is>
      </c>
      <c r="G170" t="n">
        <v>200959</v>
      </c>
      <c r="H170" t="n">
        <v>5</v>
      </c>
      <c r="I170" t="n">
        <v>5</v>
      </c>
      <c r="J170" t="n">
        <v>8</v>
      </c>
      <c r="K170" t="n">
        <v>40</v>
      </c>
      <c r="L170" t="n">
        <v>40</v>
      </c>
      <c r="M170" t="n">
        <v>40</v>
      </c>
      <c r="N170" t="n">
        <v>40</v>
      </c>
      <c r="O170" t="n">
        <v>40</v>
      </c>
      <c r="P170" t="n">
        <v>8</v>
      </c>
      <c r="Q170" t="inlineStr">
        <is>
          <t>DETERMINANTE</t>
        </is>
      </c>
      <c r="R170" s="9" t="n">
        <v>0.08</v>
      </c>
      <c r="S170" s="10" t="inlineStr">
        <is>
          <t>SÍ — integrante</t>
        </is>
      </c>
      <c r="T170" s="11" t="inlineStr">
        <is>
          <t>B · INTEGRANTE</t>
        </is>
      </c>
      <c r="U170" s="11" t="inlineStr">
        <is>
          <t>DEL BANCO (se hereda)</t>
        </is>
      </c>
      <c r="V170" s="11" t="inlineStr">
        <is>
          <t>9152 · INDUSTRIA Y MANUFACTURA</t>
        </is>
      </c>
      <c r="W170" s="12" t="n"/>
      <c r="X170" s="12" t="n"/>
    </row>
    <row r="171" ht="15" customHeight="1">
      <c r="C171" t="inlineStr">
        <is>
          <t>Actividad económica / giro mercantil</t>
        </is>
      </c>
      <c r="D171" t="inlineStr">
        <is>
          <t>F12</t>
        </is>
      </c>
      <c r="E171" t="inlineStr">
        <is>
          <t>INHERENTE</t>
        </is>
      </c>
      <c r="F171" t="inlineStr">
        <is>
          <t>59.Otras ind. manufacturera</t>
        </is>
      </c>
      <c r="G171" t="n">
        <v>201059</v>
      </c>
      <c r="H171" t="n">
        <v>1</v>
      </c>
      <c r="I171" t="n">
        <v>1</v>
      </c>
      <c r="J171" t="n">
        <v>8</v>
      </c>
      <c r="K171" t="n">
        <v>8</v>
      </c>
      <c r="L171" t="n">
        <v>8</v>
      </c>
      <c r="M171" t="n">
        <v>8</v>
      </c>
      <c r="N171" t="n">
        <v>8</v>
      </c>
      <c r="O171" t="n">
        <v>40</v>
      </c>
      <c r="P171" t="n">
        <v>8</v>
      </c>
      <c r="R171" s="9" t="n">
        <v>0.08</v>
      </c>
      <c r="S171" s="10" t="inlineStr">
        <is>
          <t>SÍ — integrante</t>
        </is>
      </c>
      <c r="T171" s="11" t="inlineStr">
        <is>
          <t>B · INTEGRANTE</t>
        </is>
      </c>
      <c r="U171" s="11" t="inlineStr">
        <is>
          <t>DEL BANCO (se hereda)</t>
        </is>
      </c>
      <c r="V171" s="11" t="inlineStr">
        <is>
          <t>9152 · INDUSTRIA Y MANUFACTURA</t>
        </is>
      </c>
      <c r="W171" s="12" t="n"/>
      <c r="X171" s="12" t="n"/>
    </row>
    <row r="172" ht="15" customHeight="1">
      <c r="C172" t="inlineStr">
        <is>
          <t>Actividad económica / giro mercantil</t>
        </is>
      </c>
      <c r="D172" t="inlineStr">
        <is>
          <t>F12</t>
        </is>
      </c>
      <c r="E172" t="inlineStr">
        <is>
          <t>INHERENTE</t>
        </is>
      </c>
      <c r="F172" t="inlineStr">
        <is>
          <t>60.Construcción</t>
        </is>
      </c>
      <c r="G172" t="n">
        <v>201160</v>
      </c>
      <c r="H172" t="n">
        <v>5</v>
      </c>
      <c r="I172" t="n">
        <v>5</v>
      </c>
      <c r="J172" t="n">
        <v>8</v>
      </c>
      <c r="K172" t="n">
        <v>40</v>
      </c>
      <c r="L172" t="n">
        <v>40</v>
      </c>
      <c r="M172" t="n">
        <v>40</v>
      </c>
      <c r="N172" t="n">
        <v>40</v>
      </c>
      <c r="O172" t="n">
        <v>40</v>
      </c>
      <c r="P172" t="n">
        <v>8</v>
      </c>
      <c r="Q172" t="inlineStr">
        <is>
          <t>DETERMINANTE</t>
        </is>
      </c>
      <c r="R172" s="9" t="n">
        <v>0.08</v>
      </c>
      <c r="S172" s="10" t="inlineStr">
        <is>
          <t>SÍ — integrante</t>
        </is>
      </c>
      <c r="T172" s="11" t="inlineStr">
        <is>
          <t>B · INTEGRANTE</t>
        </is>
      </c>
      <c r="U172" s="11" t="inlineStr">
        <is>
          <t>DEL BANCO (se hereda)</t>
        </is>
      </c>
      <c r="V172" s="11" t="inlineStr">
        <is>
          <t>9117 · INMOBILIARIO / CONSTRUCCIÓN</t>
        </is>
      </c>
      <c r="W172" s="12" t="n"/>
      <c r="X172" s="12" t="n"/>
    </row>
    <row r="173" ht="15" customHeight="1">
      <c r="C173" t="inlineStr">
        <is>
          <t>Actividad económica / giro mercantil</t>
        </is>
      </c>
      <c r="D173" t="inlineStr">
        <is>
          <t>F12</t>
        </is>
      </c>
      <c r="E173" t="inlineStr">
        <is>
          <t>INHERENTE</t>
        </is>
      </c>
      <c r="F173" t="inlineStr">
        <is>
          <t>61. Electricidad, gas y agua</t>
        </is>
      </c>
      <c r="G173" t="n">
        <v>201261</v>
      </c>
      <c r="H173" t="n">
        <v>1</v>
      </c>
      <c r="I173" t="n">
        <v>1</v>
      </c>
      <c r="J173" t="n">
        <v>8</v>
      </c>
      <c r="K173" t="n">
        <v>8</v>
      </c>
      <c r="L173" t="n">
        <v>8</v>
      </c>
      <c r="M173" t="n">
        <v>8</v>
      </c>
      <c r="N173" t="n">
        <v>8</v>
      </c>
      <c r="O173" t="n">
        <v>40</v>
      </c>
      <c r="P173" t="n">
        <v>8</v>
      </c>
      <c r="R173" s="9" t="n">
        <v>0.08</v>
      </c>
      <c r="S173" s="10" t="inlineStr">
        <is>
          <t>SÍ — integrante</t>
        </is>
      </c>
      <c r="T173" s="11" t="inlineStr">
        <is>
          <t>B · INTEGRANTE</t>
        </is>
      </c>
      <c r="U173" s="11" t="inlineStr">
        <is>
          <t>DEL BANCO (se hereda)</t>
        </is>
      </c>
      <c r="V173" s="11" t="inlineStr">
        <is>
          <t>9154 · OTRAS ACTIVIDADES NO CLASIFICADAS</t>
        </is>
      </c>
      <c r="W173" s="12" t="n"/>
      <c r="X173" s="12" t="n"/>
    </row>
    <row r="174" ht="15" customHeight="1">
      <c r="C174" t="inlineStr">
        <is>
          <t>Actividad económica / giro mercantil</t>
        </is>
      </c>
      <c r="D174" t="inlineStr">
        <is>
          <t>F12</t>
        </is>
      </c>
      <c r="E174" t="inlineStr">
        <is>
          <t>INHERENTE</t>
        </is>
      </c>
      <c r="F174" t="inlineStr">
        <is>
          <t>CRIA Y EXPLOTACION DE GANADO VACUNO PARA CARNE</t>
        </is>
      </c>
      <c r="G174" t="n">
        <v>211011</v>
      </c>
      <c r="H174" t="n">
        <v>2</v>
      </c>
      <c r="I174" t="n">
        <v>2</v>
      </c>
      <c r="J174" t="n">
        <v>8</v>
      </c>
      <c r="K174" t="n">
        <v>16</v>
      </c>
      <c r="L174" t="n">
        <v>16</v>
      </c>
      <c r="M174" t="n">
        <v>16</v>
      </c>
      <c r="N174" t="n">
        <v>16</v>
      </c>
      <c r="O174" t="n">
        <v>40</v>
      </c>
      <c r="P174" t="n">
        <v>8</v>
      </c>
      <c r="R174" s="9" t="n">
        <v>0.08</v>
      </c>
      <c r="S174" s="10" t="inlineStr">
        <is>
          <t>SÍ — integrante</t>
        </is>
      </c>
      <c r="T174" s="11" t="inlineStr">
        <is>
          <t>B · INTEGRANTE</t>
        </is>
      </c>
      <c r="U174" s="11" t="inlineStr">
        <is>
          <t>DEL BANCO (se hereda)</t>
        </is>
      </c>
      <c r="V174" s="11" t="inlineStr">
        <is>
          <t>9151 · SECTOR PRIMARIO (agropecuario, pesca, forestal, minería)</t>
        </is>
      </c>
      <c r="W174" s="12" t="n"/>
      <c r="X174" s="12" t="n"/>
    </row>
    <row r="175" ht="15" customHeight="1">
      <c r="C175" t="inlineStr">
        <is>
          <t>Actividad económica / giro mercantil</t>
        </is>
      </c>
      <c r="D175" t="inlineStr">
        <is>
          <t>F12</t>
        </is>
      </c>
      <c r="E175" t="inlineStr">
        <is>
          <t>INHERENTE</t>
        </is>
      </c>
      <c r="F175" t="inlineStr">
        <is>
          <t>CRIA Y EXPLOTACION DE GANADO VACUNO PARA LECHE</t>
        </is>
      </c>
      <c r="G175" t="n">
        <v>212019</v>
      </c>
      <c r="H175" t="n">
        <v>2</v>
      </c>
      <c r="I175" t="n">
        <v>2</v>
      </c>
      <c r="J175" t="n">
        <v>8</v>
      </c>
      <c r="K175" t="n">
        <v>16</v>
      </c>
      <c r="L175" t="n">
        <v>16</v>
      </c>
      <c r="M175" t="n">
        <v>16</v>
      </c>
      <c r="N175" t="n">
        <v>16</v>
      </c>
      <c r="O175" t="n">
        <v>40</v>
      </c>
      <c r="P175" t="n">
        <v>8</v>
      </c>
      <c r="R175" s="9" t="n">
        <v>0.08</v>
      </c>
      <c r="S175" s="10" t="inlineStr">
        <is>
          <t>SÍ — integrante</t>
        </is>
      </c>
      <c r="T175" s="11" t="inlineStr">
        <is>
          <t>B · INTEGRANTE</t>
        </is>
      </c>
      <c r="U175" s="11" t="inlineStr">
        <is>
          <t>DEL BANCO (se hereda)</t>
        </is>
      </c>
      <c r="V175" s="11" t="inlineStr">
        <is>
          <t>9151 · SECTOR PRIMARIO (agropecuario, pesca, forestal, minería)</t>
        </is>
      </c>
      <c r="W175" s="12" t="n"/>
      <c r="X175" s="12" t="n"/>
    </row>
    <row r="176" ht="15" customHeight="1">
      <c r="C176" t="inlineStr">
        <is>
          <t>Actividad económica / giro mercantil</t>
        </is>
      </c>
      <c r="D176" t="inlineStr">
        <is>
          <t>F12</t>
        </is>
      </c>
      <c r="E176" t="inlineStr">
        <is>
          <t>INHERENTE</t>
        </is>
      </c>
      <c r="F176" t="inlineStr">
        <is>
          <t>CRIA DE GANADO DE LIDIA</t>
        </is>
      </c>
      <c r="G176" t="n">
        <v>213017</v>
      </c>
      <c r="H176" t="n">
        <v>2</v>
      </c>
      <c r="I176" t="n">
        <v>2</v>
      </c>
      <c r="J176" t="n">
        <v>8</v>
      </c>
      <c r="K176" t="n">
        <v>16</v>
      </c>
      <c r="L176" t="n">
        <v>16</v>
      </c>
      <c r="M176" t="n">
        <v>16</v>
      </c>
      <c r="N176" t="n">
        <v>16</v>
      </c>
      <c r="O176" t="n">
        <v>40</v>
      </c>
      <c r="P176" t="n">
        <v>8</v>
      </c>
      <c r="R176" s="9" t="n">
        <v>0.08</v>
      </c>
      <c r="S176" s="10" t="inlineStr">
        <is>
          <t>SÍ — integrante</t>
        </is>
      </c>
      <c r="T176" s="11" t="inlineStr">
        <is>
          <t>B · INTEGRANTE</t>
        </is>
      </c>
      <c r="U176" s="11" t="inlineStr">
        <is>
          <t>DEL BANCO (se hereda)</t>
        </is>
      </c>
      <c r="V176" s="11" t="inlineStr">
        <is>
          <t>9151 · SECTOR PRIMARIO (agropecuario, pesca, forestal, minería)</t>
        </is>
      </c>
      <c r="W176" s="12" t="n"/>
      <c r="X176" s="12" t="n"/>
    </row>
    <row r="177" ht="15" customHeight="1">
      <c r="C177" t="inlineStr">
        <is>
          <t>Actividad económica / giro mercantil</t>
        </is>
      </c>
      <c r="D177" t="inlineStr">
        <is>
          <t>F12</t>
        </is>
      </c>
      <c r="E177" t="inlineStr">
        <is>
          <t>INHERENTE</t>
        </is>
      </c>
      <c r="F177" t="inlineStr">
        <is>
          <t>CRIA DE GANADO CABALLAR</t>
        </is>
      </c>
      <c r="G177" t="n">
        <v>214015</v>
      </c>
      <c r="H177" t="n">
        <v>2</v>
      </c>
      <c r="I177" t="n">
        <v>2</v>
      </c>
      <c r="J177" t="n">
        <v>8</v>
      </c>
      <c r="K177" t="n">
        <v>16</v>
      </c>
      <c r="L177" t="n">
        <v>16</v>
      </c>
      <c r="M177" t="n">
        <v>16</v>
      </c>
      <c r="N177" t="n">
        <v>16</v>
      </c>
      <c r="O177" t="n">
        <v>40</v>
      </c>
      <c r="P177" t="n">
        <v>8</v>
      </c>
      <c r="R177" s="9" t="n">
        <v>0.08</v>
      </c>
      <c r="S177" s="10" t="inlineStr">
        <is>
          <t>SÍ — integrante</t>
        </is>
      </c>
      <c r="T177" s="11" t="inlineStr">
        <is>
          <t>B · INTEGRANTE</t>
        </is>
      </c>
      <c r="U177" s="11" t="inlineStr">
        <is>
          <t>DEL BANCO (se hereda)</t>
        </is>
      </c>
      <c r="V177" s="11" t="inlineStr">
        <is>
          <t>9151 · SECTOR PRIMARIO (agropecuario, pesca, forestal, minería)</t>
        </is>
      </c>
      <c r="W177" s="12" t="n"/>
      <c r="X177" s="12" t="n"/>
    </row>
    <row r="178" ht="15" customHeight="1">
      <c r="C178" t="inlineStr">
        <is>
          <t>Actividad económica / giro mercantil</t>
        </is>
      </c>
      <c r="D178" t="inlineStr">
        <is>
          <t>F12</t>
        </is>
      </c>
      <c r="E178" t="inlineStr">
        <is>
          <t>INHERENTE</t>
        </is>
      </c>
      <c r="F178" t="inlineStr">
        <is>
          <t>CRIA DE OTROS EQUINOS Y GANADO PARA EL TRABAJO</t>
        </is>
      </c>
      <c r="G178" t="n">
        <v>219015</v>
      </c>
      <c r="H178" t="n">
        <v>2</v>
      </c>
      <c r="I178" t="n">
        <v>2</v>
      </c>
      <c r="J178" t="n">
        <v>8</v>
      </c>
      <c r="K178" t="n">
        <v>16</v>
      </c>
      <c r="L178" t="n">
        <v>16</v>
      </c>
      <c r="M178" t="n">
        <v>16</v>
      </c>
      <c r="N178" t="n">
        <v>16</v>
      </c>
      <c r="O178" t="n">
        <v>40</v>
      </c>
      <c r="P178" t="n">
        <v>8</v>
      </c>
      <c r="R178" s="9" t="n">
        <v>0.08</v>
      </c>
      <c r="S178" s="10" t="inlineStr">
        <is>
          <t>SÍ — integrante</t>
        </is>
      </c>
      <c r="T178" s="11" t="inlineStr">
        <is>
          <t>B · INTEGRANTE</t>
        </is>
      </c>
      <c r="U178" s="11" t="inlineStr">
        <is>
          <t>DEL BANCO (se hereda)</t>
        </is>
      </c>
      <c r="V178" s="11" t="inlineStr">
        <is>
          <t>9151 · SECTOR PRIMARIO (agropecuario, pesca, forestal, minería)</t>
        </is>
      </c>
      <c r="W178" s="12" t="n"/>
      <c r="X178" s="12" t="n"/>
    </row>
    <row r="179" ht="15" customHeight="1">
      <c r="C179" t="inlineStr">
        <is>
          <t>Actividad económica / giro mercantil</t>
        </is>
      </c>
      <c r="D179" t="inlineStr">
        <is>
          <t>F12</t>
        </is>
      </c>
      <c r="E179" t="inlineStr">
        <is>
          <t>INHERENTE</t>
        </is>
      </c>
      <c r="F179" t="inlineStr">
        <is>
          <t>USUARIOS MENORES GANADERIA</t>
        </is>
      </c>
      <c r="G179" t="n">
        <v>219908</v>
      </c>
      <c r="H179" t="n">
        <v>1</v>
      </c>
      <c r="I179" t="n">
        <v>1</v>
      </c>
      <c r="J179" t="n">
        <v>8</v>
      </c>
      <c r="K179" t="n">
        <v>8</v>
      </c>
      <c r="L179" t="n">
        <v>8</v>
      </c>
      <c r="M179" t="n">
        <v>8</v>
      </c>
      <c r="N179" t="n">
        <v>8</v>
      </c>
      <c r="O179" t="n">
        <v>40</v>
      </c>
      <c r="P179" t="n">
        <v>8</v>
      </c>
      <c r="R179" s="9" t="n">
        <v>0.08</v>
      </c>
      <c r="S179" s="10" t="inlineStr">
        <is>
          <t>SÍ — integrante</t>
        </is>
      </c>
      <c r="T179" s="11" t="inlineStr">
        <is>
          <t>B · INTEGRANTE</t>
        </is>
      </c>
      <c r="U179" s="11" t="inlineStr">
        <is>
          <t>DEL BANCO (se hereda)</t>
        </is>
      </c>
      <c r="V179" s="11" t="inlineStr">
        <is>
          <t>9151 · SECTOR PRIMARIO (agropecuario, pesca, forestal, minería)</t>
        </is>
      </c>
      <c r="W179" s="12" t="n"/>
      <c r="X179" s="12" t="n"/>
    </row>
    <row r="180" ht="15" customHeight="1">
      <c r="C180" t="inlineStr">
        <is>
          <t>Actividad económica / giro mercantil</t>
        </is>
      </c>
      <c r="D180" t="inlineStr">
        <is>
          <t>F12</t>
        </is>
      </c>
      <c r="E180" t="inlineStr">
        <is>
          <t>INHERENTE</t>
        </is>
      </c>
      <c r="F180" t="inlineStr">
        <is>
          <t>CARTERA GANADERA DE ESTADOS ANALITICOS</t>
        </is>
      </c>
      <c r="G180" t="n">
        <v>219916</v>
      </c>
      <c r="H180" t="n">
        <v>2</v>
      </c>
      <c r="I180" t="n">
        <v>2</v>
      </c>
      <c r="J180" t="n">
        <v>8</v>
      </c>
      <c r="K180" t="n">
        <v>16</v>
      </c>
      <c r="L180" t="n">
        <v>16</v>
      </c>
      <c r="M180" t="n">
        <v>16</v>
      </c>
      <c r="N180" t="n">
        <v>16</v>
      </c>
      <c r="O180" t="n">
        <v>40</v>
      </c>
      <c r="P180" t="n">
        <v>8</v>
      </c>
      <c r="R180" s="9" t="n">
        <v>0.08</v>
      </c>
      <c r="S180" s="10" t="inlineStr">
        <is>
          <t>SÍ — integrante</t>
        </is>
      </c>
      <c r="T180" s="11" t="inlineStr">
        <is>
          <t>B · INTEGRANTE</t>
        </is>
      </c>
      <c r="U180" s="11" t="inlineStr">
        <is>
          <t>DEL BANCO (se hereda)</t>
        </is>
      </c>
      <c r="V180" s="11" t="inlineStr">
        <is>
          <t>9151 · SECTOR PRIMARIO (agropecuario, pesca, forestal, minería)</t>
        </is>
      </c>
      <c r="W180" s="12" t="n"/>
      <c r="X180" s="12" t="n"/>
    </row>
    <row r="181" ht="15" customHeight="1">
      <c r="C181" t="inlineStr">
        <is>
          <t>Actividad económica / giro mercantil</t>
        </is>
      </c>
      <c r="D181" t="inlineStr">
        <is>
          <t>F12</t>
        </is>
      </c>
      <c r="E181" t="inlineStr">
        <is>
          <t>INHERENTE</t>
        </is>
      </c>
      <c r="F181" t="inlineStr">
        <is>
          <t>CRIA Y EXPLOTACION DE GANADO PORCINO</t>
        </is>
      </c>
      <c r="G181" t="n">
        <v>221010</v>
      </c>
      <c r="H181" t="n">
        <v>2</v>
      </c>
      <c r="I181" t="n">
        <v>2</v>
      </c>
      <c r="J181" t="n">
        <v>8</v>
      </c>
      <c r="K181" t="n">
        <v>16</v>
      </c>
      <c r="L181" t="n">
        <v>16</v>
      </c>
      <c r="M181" t="n">
        <v>16</v>
      </c>
      <c r="N181" t="n">
        <v>16</v>
      </c>
      <c r="O181" t="n">
        <v>40</v>
      </c>
      <c r="P181" t="n">
        <v>8</v>
      </c>
      <c r="R181" s="9" t="n">
        <v>0.08</v>
      </c>
      <c r="S181" s="10" t="inlineStr">
        <is>
          <t>SÍ — integrante</t>
        </is>
      </c>
      <c r="T181" s="11" t="inlineStr">
        <is>
          <t>B · INTEGRANTE</t>
        </is>
      </c>
      <c r="U181" s="11" t="inlineStr">
        <is>
          <t>DEL BANCO (se hereda)</t>
        </is>
      </c>
      <c r="V181" s="11" t="inlineStr">
        <is>
          <t>9151 · SECTOR PRIMARIO (agropecuario, pesca, forestal, minería)</t>
        </is>
      </c>
      <c r="W181" s="12" t="n"/>
      <c r="X181" s="12" t="n"/>
    </row>
    <row r="182" ht="15" customHeight="1">
      <c r="C182" t="inlineStr">
        <is>
          <t>Actividad económica / giro mercantil</t>
        </is>
      </c>
      <c r="D182" t="inlineStr">
        <is>
          <t>F12</t>
        </is>
      </c>
      <c r="E182" t="inlineStr">
        <is>
          <t>INHERENTE</t>
        </is>
      </c>
      <c r="F182" t="inlineStr">
        <is>
          <t>CRIA Y EXPLOTACION DE GANADO OVINO</t>
        </is>
      </c>
      <c r="G182" t="n">
        <v>222018</v>
      </c>
      <c r="H182" t="n">
        <v>2</v>
      </c>
      <c r="I182" t="n">
        <v>2</v>
      </c>
      <c r="J182" t="n">
        <v>8</v>
      </c>
      <c r="K182" t="n">
        <v>16</v>
      </c>
      <c r="L182" t="n">
        <v>16</v>
      </c>
      <c r="M182" t="n">
        <v>16</v>
      </c>
      <c r="N182" t="n">
        <v>16</v>
      </c>
      <c r="O182" t="n">
        <v>40</v>
      </c>
      <c r="P182" t="n">
        <v>8</v>
      </c>
      <c r="R182" s="9" t="n">
        <v>0.08</v>
      </c>
      <c r="S182" s="10" t="inlineStr">
        <is>
          <t>SÍ — integrante</t>
        </is>
      </c>
      <c r="T182" s="11" t="inlineStr">
        <is>
          <t>B · INTEGRANTE</t>
        </is>
      </c>
      <c r="U182" s="11" t="inlineStr">
        <is>
          <t>DEL BANCO (se hereda)</t>
        </is>
      </c>
      <c r="V182" s="11" t="inlineStr">
        <is>
          <t>9151 · SECTOR PRIMARIO (agropecuario, pesca, forestal, minería)</t>
        </is>
      </c>
      <c r="W182" s="12" t="n"/>
      <c r="X182" s="12" t="n"/>
    </row>
    <row r="183" ht="15" customHeight="1">
      <c r="C183" t="inlineStr">
        <is>
          <t>Actividad económica / giro mercantil</t>
        </is>
      </c>
      <c r="D183" t="inlineStr">
        <is>
          <t>F12</t>
        </is>
      </c>
      <c r="E183" t="inlineStr">
        <is>
          <t>INHERENTE</t>
        </is>
      </c>
      <c r="F183" t="inlineStr">
        <is>
          <t>CRIA Y EXPLOTACION DE GANADO CAPRINO</t>
        </is>
      </c>
      <c r="G183" t="n">
        <v>223016</v>
      </c>
      <c r="H183" t="n">
        <v>2</v>
      </c>
      <c r="I183" t="n">
        <v>2</v>
      </c>
      <c r="J183" t="n">
        <v>8</v>
      </c>
      <c r="K183" t="n">
        <v>16</v>
      </c>
      <c r="L183" t="n">
        <v>16</v>
      </c>
      <c r="M183" t="n">
        <v>16</v>
      </c>
      <c r="N183" t="n">
        <v>16</v>
      </c>
      <c r="O183" t="n">
        <v>40</v>
      </c>
      <c r="P183" t="n">
        <v>8</v>
      </c>
      <c r="R183" s="9" t="n">
        <v>0.08</v>
      </c>
      <c r="S183" s="10" t="inlineStr">
        <is>
          <t>SÍ — integrante</t>
        </is>
      </c>
      <c r="T183" s="11" t="inlineStr">
        <is>
          <t>B · INTEGRANTE</t>
        </is>
      </c>
      <c r="U183" s="11" t="inlineStr">
        <is>
          <t>DEL BANCO (se hereda)</t>
        </is>
      </c>
      <c r="V183" s="11" t="inlineStr">
        <is>
          <t>9151 · SECTOR PRIMARIO (agropecuario, pesca, forestal, minería)</t>
        </is>
      </c>
      <c r="W183" s="12" t="n"/>
      <c r="X183" s="12" t="n"/>
    </row>
    <row r="184" ht="15" customHeight="1">
      <c r="C184" t="inlineStr">
        <is>
          <t>Actividad económica / giro mercantil</t>
        </is>
      </c>
      <c r="D184" t="inlineStr">
        <is>
          <t>F12</t>
        </is>
      </c>
      <c r="E184" t="inlineStr">
        <is>
          <t>INHERENTE</t>
        </is>
      </c>
      <c r="F184" t="inlineStr">
        <is>
          <t>CRIA Y EXPLOTACION DE GALLINA PARA PRODUCCION DE HUEVO</t>
        </is>
      </c>
      <c r="G184" t="n">
        <v>231019</v>
      </c>
      <c r="H184" t="n">
        <v>2</v>
      </c>
      <c r="I184" t="n">
        <v>2</v>
      </c>
      <c r="J184" t="n">
        <v>8</v>
      </c>
      <c r="K184" t="n">
        <v>16</v>
      </c>
      <c r="L184" t="n">
        <v>16</v>
      </c>
      <c r="M184" t="n">
        <v>16</v>
      </c>
      <c r="N184" t="n">
        <v>16</v>
      </c>
      <c r="O184" t="n">
        <v>40</v>
      </c>
      <c r="P184" t="n">
        <v>8</v>
      </c>
      <c r="R184" s="9" t="n">
        <v>0.08</v>
      </c>
      <c r="S184" s="10" t="inlineStr">
        <is>
          <t>SÍ — integrante</t>
        </is>
      </c>
      <c r="T184" s="11" t="inlineStr">
        <is>
          <t>B · INTEGRANTE</t>
        </is>
      </c>
      <c r="U184" s="11" t="inlineStr">
        <is>
          <t>DEL BANCO (se hereda)</t>
        </is>
      </c>
      <c r="V184" s="11" t="inlineStr">
        <is>
          <t>9151 · SECTOR PRIMARIO (agropecuario, pesca, forestal, minería)</t>
        </is>
      </c>
      <c r="W184" s="12" t="n"/>
      <c r="X184" s="12" t="n"/>
    </row>
    <row r="185" ht="15" customHeight="1">
      <c r="C185" t="inlineStr">
        <is>
          <t>Actividad económica / giro mercantil</t>
        </is>
      </c>
      <c r="D185" t="inlineStr">
        <is>
          <t>F12</t>
        </is>
      </c>
      <c r="E185" t="inlineStr">
        <is>
          <t>INHERENTE</t>
        </is>
      </c>
      <c r="F185" t="inlineStr">
        <is>
          <t>CRIA Y EXPLOTACION DE POLLOS</t>
        </is>
      </c>
      <c r="G185" t="n">
        <v>232017</v>
      </c>
      <c r="H185" t="n">
        <v>2</v>
      </c>
      <c r="I185" t="n">
        <v>2</v>
      </c>
      <c r="J185" t="n">
        <v>8</v>
      </c>
      <c r="K185" t="n">
        <v>16</v>
      </c>
      <c r="L185" t="n">
        <v>16</v>
      </c>
      <c r="M185" t="n">
        <v>16</v>
      </c>
      <c r="N185" t="n">
        <v>16</v>
      </c>
      <c r="O185" t="n">
        <v>40</v>
      </c>
      <c r="P185" t="n">
        <v>8</v>
      </c>
      <c r="R185" s="9" t="n">
        <v>0.08</v>
      </c>
      <c r="S185" s="10" t="inlineStr">
        <is>
          <t>SÍ — integrante</t>
        </is>
      </c>
      <c r="T185" s="11" t="inlineStr">
        <is>
          <t>B · INTEGRANTE</t>
        </is>
      </c>
      <c r="U185" s="11" t="inlineStr">
        <is>
          <t>DEL BANCO (se hereda)</t>
        </is>
      </c>
      <c r="V185" s="11" t="inlineStr">
        <is>
          <t>9151 · SECTOR PRIMARIO (agropecuario, pesca, forestal, minería)</t>
        </is>
      </c>
      <c r="W185" s="12" t="n"/>
      <c r="X185" s="12" t="n"/>
    </row>
    <row r="186" ht="15" customHeight="1">
      <c r="C186" t="inlineStr">
        <is>
          <t>Actividad económica / giro mercantil</t>
        </is>
      </c>
      <c r="D186" t="inlineStr">
        <is>
          <t>F12</t>
        </is>
      </c>
      <c r="E186" t="inlineStr">
        <is>
          <t>INHERENTE</t>
        </is>
      </c>
      <c r="F186" t="inlineStr">
        <is>
          <t>CRIA Y EXPLOTACION DE OTRAS AVES PARA ALIMENTACION</t>
        </is>
      </c>
      <c r="G186" t="n">
        <v>233015</v>
      </c>
      <c r="H186" t="n">
        <v>2</v>
      </c>
      <c r="I186" t="n">
        <v>2</v>
      </c>
      <c r="J186" t="n">
        <v>8</v>
      </c>
      <c r="K186" t="n">
        <v>16</v>
      </c>
      <c r="L186" t="n">
        <v>16</v>
      </c>
      <c r="M186" t="n">
        <v>16</v>
      </c>
      <c r="N186" t="n">
        <v>16</v>
      </c>
      <c r="O186" t="n">
        <v>40</v>
      </c>
      <c r="P186" t="n">
        <v>8</v>
      </c>
      <c r="R186" s="9" t="n">
        <v>0.08</v>
      </c>
      <c r="S186" s="10" t="inlineStr">
        <is>
          <t>SÍ — integrante</t>
        </is>
      </c>
      <c r="T186" s="11" t="inlineStr">
        <is>
          <t>B · INTEGRANTE</t>
        </is>
      </c>
      <c r="U186" s="11" t="inlineStr">
        <is>
          <t>DEL BANCO (se hereda)</t>
        </is>
      </c>
      <c r="V186" s="11" t="inlineStr">
        <is>
          <t>9151 · SECTOR PRIMARIO (agropecuario, pesca, forestal, minería)</t>
        </is>
      </c>
      <c r="W186" s="12" t="n"/>
      <c r="X186" s="12" t="n"/>
    </row>
    <row r="187" ht="15" customHeight="1">
      <c r="C187" t="inlineStr">
        <is>
          <t>Actividad económica / giro mercantil</t>
        </is>
      </c>
      <c r="D187" t="inlineStr">
        <is>
          <t>F12</t>
        </is>
      </c>
      <c r="E187" t="inlineStr">
        <is>
          <t>INHERENTE</t>
        </is>
      </c>
      <c r="F187" t="inlineStr">
        <is>
          <t>CRIA Y EXPLOTACION DE ABEJAS</t>
        </is>
      </c>
      <c r="G187" t="n">
        <v>241018</v>
      </c>
      <c r="H187" t="n">
        <v>2</v>
      </c>
      <c r="I187" t="n">
        <v>2</v>
      </c>
      <c r="J187" t="n">
        <v>8</v>
      </c>
      <c r="K187" t="n">
        <v>16</v>
      </c>
      <c r="L187" t="n">
        <v>16</v>
      </c>
      <c r="M187" t="n">
        <v>16</v>
      </c>
      <c r="N187" t="n">
        <v>16</v>
      </c>
      <c r="O187" t="n">
        <v>40</v>
      </c>
      <c r="P187" t="n">
        <v>8</v>
      </c>
      <c r="R187" s="9" t="n">
        <v>0.08</v>
      </c>
      <c r="S187" s="10" t="inlineStr">
        <is>
          <t>SÍ — integrante</t>
        </is>
      </c>
      <c r="T187" s="11" t="inlineStr">
        <is>
          <t>B · INTEGRANTE</t>
        </is>
      </c>
      <c r="U187" s="11" t="inlineStr">
        <is>
          <t>DEL BANCO (se hereda)</t>
        </is>
      </c>
      <c r="V187" s="11" t="inlineStr">
        <is>
          <t>9151 · SECTOR PRIMARIO (agropecuario, pesca, forestal, minería)</t>
        </is>
      </c>
      <c r="W187" s="12" t="n"/>
      <c r="X187" s="12" t="n"/>
    </row>
    <row r="188" ht="15" customHeight="1">
      <c r="C188" t="inlineStr">
        <is>
          <t>Actividad económica / giro mercantil</t>
        </is>
      </c>
      <c r="D188" t="inlineStr">
        <is>
          <t>F12</t>
        </is>
      </c>
      <c r="E188" t="inlineStr">
        <is>
          <t>INHERENTE</t>
        </is>
      </c>
      <c r="F188" t="inlineStr">
        <is>
          <t>CRIA Y EXPLOTACION DE CONEJOS Y LIEBRES</t>
        </is>
      </c>
      <c r="G188" t="n">
        <v>251017</v>
      </c>
      <c r="H188" t="n">
        <v>2</v>
      </c>
      <c r="I188" t="n">
        <v>2</v>
      </c>
      <c r="J188" t="n">
        <v>8</v>
      </c>
      <c r="K188" t="n">
        <v>16</v>
      </c>
      <c r="L188" t="n">
        <v>16</v>
      </c>
      <c r="M188" t="n">
        <v>16</v>
      </c>
      <c r="N188" t="n">
        <v>16</v>
      </c>
      <c r="O188" t="n">
        <v>40</v>
      </c>
      <c r="P188" t="n">
        <v>8</v>
      </c>
      <c r="R188" s="9" t="n">
        <v>0.08</v>
      </c>
      <c r="S188" s="10" t="inlineStr">
        <is>
          <t>SÍ — integrante</t>
        </is>
      </c>
      <c r="T188" s="11" t="inlineStr">
        <is>
          <t>B · INTEGRANTE</t>
        </is>
      </c>
      <c r="U188" s="11" t="inlineStr">
        <is>
          <t>DEL BANCO (se hereda)</t>
        </is>
      </c>
      <c r="V188" s="11" t="inlineStr">
        <is>
          <t>9151 · SECTOR PRIMARIO (agropecuario, pesca, forestal, minería)</t>
        </is>
      </c>
      <c r="W188" s="12" t="n"/>
      <c r="X188" s="12" t="n"/>
    </row>
    <row r="189" ht="15" customHeight="1">
      <c r="C189" t="inlineStr">
        <is>
          <t>Actividad económica / giro mercantil</t>
        </is>
      </c>
      <c r="D189" t="inlineStr">
        <is>
          <t>F12</t>
        </is>
      </c>
      <c r="E189" t="inlineStr">
        <is>
          <t>INHERENTE</t>
        </is>
      </c>
      <c r="F189" t="inlineStr">
        <is>
          <t>CRIA Y EXPLOTACION DE ANIMALES DOMESTICOS, PARA LABORATORIO Y OTROS FINES NO ALIMENTICIOS</t>
        </is>
      </c>
      <c r="G189" t="n">
        <v>259011</v>
      </c>
      <c r="H189" t="n">
        <v>2</v>
      </c>
      <c r="I189" t="n">
        <v>2</v>
      </c>
      <c r="J189" t="n">
        <v>8</v>
      </c>
      <c r="K189" t="n">
        <v>16</v>
      </c>
      <c r="L189" t="n">
        <v>16</v>
      </c>
      <c r="M189" t="n">
        <v>16</v>
      </c>
      <c r="N189" t="n">
        <v>16</v>
      </c>
      <c r="O189" t="n">
        <v>40</v>
      </c>
      <c r="P189" t="n">
        <v>8</v>
      </c>
      <c r="R189" s="9" t="n">
        <v>0.08</v>
      </c>
      <c r="S189" s="10" t="inlineStr">
        <is>
          <t>SÍ — integrante</t>
        </is>
      </c>
      <c r="T189" s="11" t="inlineStr">
        <is>
          <t>B · INTEGRANTE</t>
        </is>
      </c>
      <c r="U189" s="11" t="inlineStr">
        <is>
          <t>DEL BANCO (se hereda)</t>
        </is>
      </c>
      <c r="V189" s="11" t="inlineStr">
        <is>
          <t>9151 · SECTOR PRIMARIO (agropecuario, pesca, forestal, minería)</t>
        </is>
      </c>
      <c r="W189" s="12" t="n"/>
      <c r="X189" s="12" t="n"/>
    </row>
    <row r="190" ht="15" customHeight="1">
      <c r="C190" t="inlineStr">
        <is>
          <t>Actividad económica / giro mercantil</t>
        </is>
      </c>
      <c r="D190" t="inlineStr">
        <is>
          <t>F12</t>
        </is>
      </c>
      <c r="E190" t="inlineStr">
        <is>
          <t>INHERENTE</t>
        </is>
      </c>
      <c r="F190" t="inlineStr">
        <is>
          <t>CRIA Y EXPLOTACION DE GUSANO DE SEDA</t>
        </is>
      </c>
      <c r="G190" t="n">
        <v>259029</v>
      </c>
      <c r="H190" t="n">
        <v>2</v>
      </c>
      <c r="I190" t="n">
        <v>2</v>
      </c>
      <c r="J190" t="n">
        <v>8</v>
      </c>
      <c r="K190" t="n">
        <v>16</v>
      </c>
      <c r="L190" t="n">
        <v>16</v>
      </c>
      <c r="M190" t="n">
        <v>16</v>
      </c>
      <c r="N190" t="n">
        <v>16</v>
      </c>
      <c r="O190" t="n">
        <v>40</v>
      </c>
      <c r="P190" t="n">
        <v>8</v>
      </c>
      <c r="R190" s="9" t="n">
        <v>0.08</v>
      </c>
      <c r="S190" s="10" t="inlineStr">
        <is>
          <t>SÍ — integrante</t>
        </is>
      </c>
      <c r="T190" s="11" t="inlineStr">
        <is>
          <t>B · INTEGRANTE</t>
        </is>
      </c>
      <c r="U190" s="11" t="inlineStr">
        <is>
          <t>DEL BANCO (se hereda)</t>
        </is>
      </c>
      <c r="V190" s="11" t="inlineStr">
        <is>
          <t>9151 · SECTOR PRIMARIO (agropecuario, pesca, forestal, minería)</t>
        </is>
      </c>
      <c r="W190" s="12" t="n"/>
      <c r="X190" s="12" t="n"/>
    </row>
    <row r="191" ht="15" customHeight="1">
      <c r="C191" t="inlineStr">
        <is>
          <t>Actividad económica / giro mercantil</t>
        </is>
      </c>
      <c r="D191" t="inlineStr">
        <is>
          <t>F12</t>
        </is>
      </c>
      <c r="E191" t="inlineStr">
        <is>
          <t>INHERENTE</t>
        </is>
      </c>
      <c r="F191" t="inlineStr">
        <is>
          <t>FORMACION DE PRADERAS Y POTREROS ARTIFICIALES</t>
        </is>
      </c>
      <c r="G191" t="n">
        <v>291013</v>
      </c>
      <c r="H191" t="n">
        <v>1</v>
      </c>
      <c r="I191" t="n">
        <v>1</v>
      </c>
      <c r="J191" t="n">
        <v>8</v>
      </c>
      <c r="K191" t="n">
        <v>8</v>
      </c>
      <c r="L191" t="n">
        <v>8</v>
      </c>
      <c r="M191" t="n">
        <v>8</v>
      </c>
      <c r="N191" t="n">
        <v>8</v>
      </c>
      <c r="O191" t="n">
        <v>40</v>
      </c>
      <c r="P191" t="n">
        <v>8</v>
      </c>
      <c r="R191" s="9" t="n">
        <v>0.08</v>
      </c>
      <c r="S191" s="10" t="inlineStr">
        <is>
          <t>SÍ — integrante</t>
        </is>
      </c>
      <c r="T191" s="11" t="inlineStr">
        <is>
          <t>B · INTEGRANTE</t>
        </is>
      </c>
      <c r="U191" s="11" t="inlineStr">
        <is>
          <t>DEL BANCO (se hereda)</t>
        </is>
      </c>
      <c r="V191" s="11" t="inlineStr">
        <is>
          <t>9154 · OTRAS ACTIVIDADES NO CLASIFICADAS</t>
        </is>
      </c>
      <c r="W191" s="12" t="n"/>
      <c r="X191" s="12" t="n"/>
    </row>
    <row r="192" ht="15" customHeight="1">
      <c r="C192" t="inlineStr">
        <is>
          <t>Actividad económica / giro mercantil</t>
        </is>
      </c>
      <c r="D192" t="inlineStr">
        <is>
          <t>F12</t>
        </is>
      </c>
      <c r="E192" t="inlineStr">
        <is>
          <t>INHERENTE</t>
        </is>
      </c>
      <c r="F192" t="inlineStr">
        <is>
          <t>INSEMINACION ARTIFICIAL Y OTROS SERVICIOS DE GANADERIA</t>
        </is>
      </c>
      <c r="G192" t="n">
        <v>291021</v>
      </c>
      <c r="H192" t="n">
        <v>1</v>
      </c>
      <c r="I192" t="n">
        <v>1</v>
      </c>
      <c r="J192" t="n">
        <v>8</v>
      </c>
      <c r="K192" t="n">
        <v>8</v>
      </c>
      <c r="L192" t="n">
        <v>8</v>
      </c>
      <c r="M192" t="n">
        <v>8</v>
      </c>
      <c r="N192" t="n">
        <v>8</v>
      </c>
      <c r="O192" t="n">
        <v>40</v>
      </c>
      <c r="P192" t="n">
        <v>8</v>
      </c>
      <c r="R192" s="9" t="n">
        <v>0.08</v>
      </c>
      <c r="S192" s="10" t="inlineStr">
        <is>
          <t>SÍ — integrante</t>
        </is>
      </c>
      <c r="T192" s="11" t="inlineStr">
        <is>
          <t>B · INTEGRANTE</t>
        </is>
      </c>
      <c r="U192" s="11" t="inlineStr">
        <is>
          <t>DEL BANCO (se hereda)</t>
        </is>
      </c>
      <c r="V192" s="11" t="inlineStr">
        <is>
          <t>9151 · SECTOR PRIMARIO (agropecuario, pesca, forestal, minería)</t>
        </is>
      </c>
      <c r="W192" s="12" t="n"/>
      <c r="X192" s="12" t="n"/>
    </row>
    <row r="193" ht="15" customHeight="1">
      <c r="C193" t="inlineStr">
        <is>
          <t>Actividad económica / giro mercantil</t>
        </is>
      </c>
      <c r="D193" t="inlineStr">
        <is>
          <t>F12</t>
        </is>
      </c>
      <c r="E193" t="inlineStr">
        <is>
          <t>INHERENTE</t>
        </is>
      </c>
      <c r="F193" t="inlineStr">
        <is>
          <t>SILVICULTURA</t>
        </is>
      </c>
      <c r="G193" t="n">
        <v>300004</v>
      </c>
      <c r="H193" t="n">
        <v>2</v>
      </c>
      <c r="I193" t="n">
        <v>2</v>
      </c>
      <c r="J193" t="n">
        <v>8</v>
      </c>
      <c r="K193" t="n">
        <v>16</v>
      </c>
      <c r="L193" t="n">
        <v>16</v>
      </c>
      <c r="M193" t="n">
        <v>16</v>
      </c>
      <c r="N193" t="n">
        <v>16</v>
      </c>
      <c r="O193" t="n">
        <v>40</v>
      </c>
      <c r="P193" t="n">
        <v>8</v>
      </c>
      <c r="R193" s="9" t="n">
        <v>0.08</v>
      </c>
      <c r="S193" s="10" t="inlineStr">
        <is>
          <t>SÍ — integrante</t>
        </is>
      </c>
      <c r="T193" s="11" t="inlineStr">
        <is>
          <t>B · INTEGRANTE</t>
        </is>
      </c>
      <c r="U193" s="11" t="inlineStr">
        <is>
          <t>DEL BANCO (se hereda)</t>
        </is>
      </c>
      <c r="V193" s="11" t="inlineStr">
        <is>
          <t>9151 · SECTOR PRIMARIO (agropecuario, pesca, forestal, minería)</t>
        </is>
      </c>
      <c r="W193" s="12" t="n"/>
      <c r="X193" s="12" t="n"/>
    </row>
    <row r="194" ht="15" customHeight="1">
      <c r="C194" t="inlineStr">
        <is>
          <t>Actividad económica / giro mercantil</t>
        </is>
      </c>
      <c r="D194" t="inlineStr">
        <is>
          <t>F12</t>
        </is>
      </c>
      <c r="E194" t="inlineStr">
        <is>
          <t>INHERENTE</t>
        </is>
      </c>
      <c r="F194" t="inlineStr">
        <is>
          <t>62. Comercio</t>
        </is>
      </c>
      <c r="G194" t="n">
        <v>300162</v>
      </c>
      <c r="H194" t="n">
        <v>4</v>
      </c>
      <c r="I194" t="n">
        <v>4</v>
      </c>
      <c r="J194" t="n">
        <v>8</v>
      </c>
      <c r="K194" t="n">
        <v>32</v>
      </c>
      <c r="L194" t="n">
        <v>32</v>
      </c>
      <c r="M194" t="n">
        <v>32</v>
      </c>
      <c r="N194" t="n">
        <v>32</v>
      </c>
      <c r="O194" t="n">
        <v>40</v>
      </c>
      <c r="P194" t="n">
        <v>8</v>
      </c>
      <c r="R194" s="9" t="n">
        <v>0.08</v>
      </c>
      <c r="S194" s="10" t="inlineStr">
        <is>
          <t>SÍ — integrante</t>
        </is>
      </c>
      <c r="T194" s="11" t="inlineStr">
        <is>
          <t>B · INTEGRANTE</t>
        </is>
      </c>
      <c r="U194" s="11" t="inlineStr">
        <is>
          <t>DEL BANCO (se hereda)</t>
        </is>
      </c>
      <c r="V194" s="11" t="inlineStr">
        <is>
          <t>9113 · COMERCIO GENERAL</t>
        </is>
      </c>
      <c r="W194" s="12" t="n"/>
      <c r="X194" s="12" t="n"/>
    </row>
    <row r="195" ht="15" customHeight="1">
      <c r="C195" t="inlineStr">
        <is>
          <t>Actividad económica / giro mercantil</t>
        </is>
      </c>
      <c r="D195" t="inlineStr">
        <is>
          <t>F12</t>
        </is>
      </c>
      <c r="E195" t="inlineStr">
        <is>
          <t>INHERENTE</t>
        </is>
      </c>
      <c r="F195" t="inlineStr">
        <is>
          <t>Casinos, Loterías y Juegos de Azar</t>
        </is>
      </c>
      <c r="G195" t="n">
        <v>300163</v>
      </c>
      <c r="H195" t="n">
        <v>5</v>
      </c>
      <c r="I195" t="n">
        <v>5</v>
      </c>
      <c r="J195" t="n">
        <v>8</v>
      </c>
      <c r="K195" t="n">
        <v>40</v>
      </c>
      <c r="L195" t="n">
        <v>40</v>
      </c>
      <c r="M195" t="n">
        <v>40</v>
      </c>
      <c r="N195" t="n">
        <v>40</v>
      </c>
      <c r="O195" t="n">
        <v>40</v>
      </c>
      <c r="P195" t="n">
        <v>8</v>
      </c>
      <c r="Q195" t="inlineStr">
        <is>
          <t>DETERMINANTE</t>
        </is>
      </c>
      <c r="R195" s="9" t="n">
        <v>0.08</v>
      </c>
      <c r="S195" s="10" t="inlineStr">
        <is>
          <t>SÍ — integrante</t>
        </is>
      </c>
      <c r="T195" s="11" t="inlineStr">
        <is>
          <t>B · INTEGRANTE</t>
        </is>
      </c>
      <c r="U195" s="11" t="inlineStr">
        <is>
          <t>DEL BANCO (se hereda)</t>
        </is>
      </c>
      <c r="V195" s="11" t="inlineStr">
        <is>
          <t>9120 · EFECTIVO INTENSIVO</t>
        </is>
      </c>
      <c r="W195" s="12" t="n"/>
      <c r="X195" s="12" t="n"/>
    </row>
    <row r="196" ht="15" customHeight="1">
      <c r="C196" t="inlineStr">
        <is>
          <t>Actividad económica / giro mercantil</t>
        </is>
      </c>
      <c r="D196" t="inlineStr">
        <is>
          <t>F12</t>
        </is>
      </c>
      <c r="E196" t="inlineStr">
        <is>
          <t>INHERENTE</t>
        </is>
      </c>
      <c r="F196" t="inlineStr">
        <is>
          <t>Comercio de antigüedades</t>
        </is>
      </c>
      <c r="G196" t="n">
        <v>300164</v>
      </c>
      <c r="H196" t="n">
        <v>5</v>
      </c>
      <c r="I196" t="n">
        <v>5</v>
      </c>
      <c r="J196" t="n">
        <v>8</v>
      </c>
      <c r="K196" t="n">
        <v>40</v>
      </c>
      <c r="L196" t="n">
        <v>40</v>
      </c>
      <c r="M196" t="n">
        <v>40</v>
      </c>
      <c r="N196" t="n">
        <v>40</v>
      </c>
      <c r="O196" t="n">
        <v>40</v>
      </c>
      <c r="P196" t="n">
        <v>8</v>
      </c>
      <c r="Q196" t="inlineStr">
        <is>
          <t>DETERMINANTE</t>
        </is>
      </c>
      <c r="R196" s="9" t="n">
        <v>0.08</v>
      </c>
      <c r="S196" s="10" t="inlineStr">
        <is>
          <t>SÍ — integrante</t>
        </is>
      </c>
      <c r="T196" s="11" t="inlineStr">
        <is>
          <t>B · INTEGRANTE</t>
        </is>
      </c>
      <c r="U196" s="11" t="inlineStr">
        <is>
          <t>DEL BANCO (se hereda)</t>
        </is>
      </c>
      <c r="V196" s="11" t="inlineStr">
        <is>
          <t>9120 · EFECTIVO INTENSIVO</t>
        </is>
      </c>
      <c r="W196" s="12" t="n"/>
      <c r="X196" s="12" t="n"/>
    </row>
    <row r="197" ht="15" customHeight="1">
      <c r="C197" t="inlineStr">
        <is>
          <t>Actividad económica / giro mercantil</t>
        </is>
      </c>
      <c r="D197" t="inlineStr">
        <is>
          <t>F12</t>
        </is>
      </c>
      <c r="E197" t="inlineStr">
        <is>
          <t>INHERENTE</t>
        </is>
      </c>
      <c r="F197" t="inlineStr">
        <is>
          <t>Bares y cantinas</t>
        </is>
      </c>
      <c r="G197" t="n">
        <v>300165</v>
      </c>
      <c r="H197" t="n">
        <v>5</v>
      </c>
      <c r="I197" t="n">
        <v>5</v>
      </c>
      <c r="J197" t="n">
        <v>8</v>
      </c>
      <c r="K197" t="n">
        <v>40</v>
      </c>
      <c r="L197" t="n">
        <v>40</v>
      </c>
      <c r="M197" t="n">
        <v>40</v>
      </c>
      <c r="N197" t="n">
        <v>40</v>
      </c>
      <c r="O197" t="n">
        <v>40</v>
      </c>
      <c r="P197" t="n">
        <v>8</v>
      </c>
      <c r="Q197" t="inlineStr">
        <is>
          <t>DETERMINANTE</t>
        </is>
      </c>
      <c r="R197" s="9" t="n">
        <v>0.08</v>
      </c>
      <c r="S197" s="10" t="inlineStr">
        <is>
          <t>SÍ — integrante</t>
        </is>
      </c>
      <c r="T197" s="11" t="inlineStr">
        <is>
          <t>B · INTEGRANTE</t>
        </is>
      </c>
      <c r="U197" s="11" t="inlineStr">
        <is>
          <t>DEL BANCO (se hereda)</t>
        </is>
      </c>
      <c r="V197" s="11" t="inlineStr">
        <is>
          <t>9120 · EFECTIVO INTENSIVO</t>
        </is>
      </c>
      <c r="W197" s="12" t="n"/>
      <c r="X197" s="12" t="n"/>
    </row>
    <row r="198" ht="15" customHeight="1">
      <c r="C198" t="inlineStr">
        <is>
          <t>Actividad económica / giro mercantil</t>
        </is>
      </c>
      <c r="D198" t="inlineStr">
        <is>
          <t>F12</t>
        </is>
      </c>
      <c r="E198" t="inlineStr">
        <is>
          <t>INHERENTE</t>
        </is>
      </c>
      <c r="F198" t="inlineStr">
        <is>
          <t>Servicios financieros</t>
        </is>
      </c>
      <c r="G198" t="n">
        <v>300166</v>
      </c>
      <c r="H198" t="n">
        <v>2</v>
      </c>
      <c r="I198" t="n">
        <v>2</v>
      </c>
      <c r="J198" t="n">
        <v>8</v>
      </c>
      <c r="K198" t="n">
        <v>16</v>
      </c>
      <c r="L198" t="n">
        <v>16</v>
      </c>
      <c r="M198" t="n">
        <v>16</v>
      </c>
      <c r="N198" t="n">
        <v>16</v>
      </c>
      <c r="O198" t="n">
        <v>40</v>
      </c>
      <c r="P198" t="n">
        <v>8</v>
      </c>
      <c r="R198" s="9" t="n">
        <v>0.08</v>
      </c>
      <c r="S198" s="10" t="inlineStr">
        <is>
          <t>SÍ — integrante</t>
        </is>
      </c>
      <c r="T198" s="11" t="inlineStr">
        <is>
          <t>B · INTEGRANTE</t>
        </is>
      </c>
      <c r="U198" s="11" t="inlineStr">
        <is>
          <t>DEL BANCO (se hereda)</t>
        </is>
      </c>
      <c r="V198" s="11" t="inlineStr">
        <is>
          <t>9154 · OTRAS ACTIVIDADES NO CLASIFICADAS</t>
        </is>
      </c>
      <c r="W198" s="12" t="n"/>
      <c r="X198" s="12" t="n"/>
    </row>
    <row r="199" ht="15" customHeight="1">
      <c r="C199" t="inlineStr">
        <is>
          <t>Actividad económica / giro mercantil</t>
        </is>
      </c>
      <c r="D199" t="inlineStr">
        <is>
          <t>F12</t>
        </is>
      </c>
      <c r="E199" t="inlineStr">
        <is>
          <t>INHERENTE</t>
        </is>
      </c>
      <c r="F199" t="inlineStr">
        <is>
          <t>JUEGOS DE FERIA</t>
        </is>
      </c>
      <c r="G199" t="n">
        <v>300167</v>
      </c>
      <c r="H199" t="n">
        <v>5</v>
      </c>
      <c r="I199" t="n">
        <v>5</v>
      </c>
      <c r="J199" t="n">
        <v>8</v>
      </c>
      <c r="K199" t="n">
        <v>40</v>
      </c>
      <c r="L199" t="n">
        <v>40</v>
      </c>
      <c r="M199" t="n">
        <v>40</v>
      </c>
      <c r="N199" t="n">
        <v>40</v>
      </c>
      <c r="O199" t="n">
        <v>40</v>
      </c>
      <c r="P199" t="n">
        <v>8</v>
      </c>
      <c r="Q199" t="inlineStr">
        <is>
          <t>DETERMINANTE</t>
        </is>
      </c>
      <c r="R199" s="9" t="n">
        <v>0.08</v>
      </c>
      <c r="S199" s="10" t="inlineStr">
        <is>
          <t>SÍ — integrante</t>
        </is>
      </c>
      <c r="T199" s="11" t="inlineStr">
        <is>
          <t>B · INTEGRANTE</t>
        </is>
      </c>
      <c r="U199" s="11" t="inlineStr">
        <is>
          <t>DEL BANCO (se hereda)</t>
        </is>
      </c>
      <c r="V199" s="11" t="inlineStr">
        <is>
          <t>9120 · EFECTIVO INTENSIVO</t>
        </is>
      </c>
      <c r="W199" s="12" t="n"/>
      <c r="X199" s="12" t="n"/>
    </row>
    <row r="200" ht="15" customHeight="1">
      <c r="C200" t="inlineStr">
        <is>
          <t>Actividad económica / giro mercantil</t>
        </is>
      </c>
      <c r="D200" t="inlineStr">
        <is>
          <t>F12</t>
        </is>
      </c>
      <c r="E200" t="inlineStr">
        <is>
          <t>INHERENTE</t>
        </is>
      </c>
      <c r="F200" t="inlineStr">
        <is>
          <t>GALERIAS DE ARTES GRAFICAS Y MUSEOS</t>
        </is>
      </c>
      <c r="G200" t="n">
        <v>300168</v>
      </c>
      <c r="H200" t="n">
        <v>5</v>
      </c>
      <c r="I200" t="n">
        <v>5</v>
      </c>
      <c r="J200" t="n">
        <v>8</v>
      </c>
      <c r="K200" t="n">
        <v>40</v>
      </c>
      <c r="L200" t="n">
        <v>40</v>
      </c>
      <c r="M200" t="n">
        <v>40</v>
      </c>
      <c r="N200" t="n">
        <v>40</v>
      </c>
      <c r="O200" t="n">
        <v>40</v>
      </c>
      <c r="P200" t="n">
        <v>8</v>
      </c>
      <c r="Q200" t="inlineStr">
        <is>
          <t>DETERMINANTE</t>
        </is>
      </c>
      <c r="R200" s="9" t="n">
        <v>0.08</v>
      </c>
      <c r="S200" s="10" t="inlineStr">
        <is>
          <t>SÍ — integrante</t>
        </is>
      </c>
      <c r="T200" s="11" t="inlineStr">
        <is>
          <t>B · INTEGRANTE</t>
        </is>
      </c>
      <c r="U200" s="11" t="inlineStr">
        <is>
          <t>DEL BANCO (se hereda)</t>
        </is>
      </c>
      <c r="V200" s="11" t="inlineStr">
        <is>
          <t>9154 · OTRAS ACTIVIDADES NO CLASIFICADAS</t>
        </is>
      </c>
      <c r="W200" s="12" t="n"/>
      <c r="X200" s="12" t="n"/>
    </row>
    <row r="201" ht="15" customHeight="1">
      <c r="C201" t="inlineStr">
        <is>
          <t>Actividad económica / giro mercantil</t>
        </is>
      </c>
      <c r="D201" t="inlineStr">
        <is>
          <t>F12</t>
        </is>
      </c>
      <c r="E201" t="inlineStr">
        <is>
          <t>INHERENTE</t>
        </is>
      </c>
      <c r="F201" t="inlineStr">
        <is>
          <t>COMPRA VENTA DE OTRAS JOYAS</t>
        </is>
      </c>
      <c r="G201" t="n">
        <v>300169</v>
      </c>
      <c r="H201" t="n">
        <v>5</v>
      </c>
      <c r="I201" t="n">
        <v>5</v>
      </c>
      <c r="J201" t="n">
        <v>8</v>
      </c>
      <c r="K201" t="n">
        <v>40</v>
      </c>
      <c r="L201" t="n">
        <v>40</v>
      </c>
      <c r="M201" t="n">
        <v>40</v>
      </c>
      <c r="N201" t="n">
        <v>40</v>
      </c>
      <c r="O201" t="n">
        <v>40</v>
      </c>
      <c r="P201" t="n">
        <v>8</v>
      </c>
      <c r="Q201" t="inlineStr">
        <is>
          <t>DETERMINANTE</t>
        </is>
      </c>
      <c r="R201" s="9" t="n">
        <v>0.08</v>
      </c>
      <c r="S201" s="10" t="inlineStr">
        <is>
          <t>SÍ — integrante</t>
        </is>
      </c>
      <c r="T201" s="11" t="inlineStr">
        <is>
          <t>B · INTEGRANTE</t>
        </is>
      </c>
      <c r="U201" s="11" t="inlineStr">
        <is>
          <t>DEL BANCO (se hereda)</t>
        </is>
      </c>
      <c r="V201" s="11" t="inlineStr">
        <is>
          <t>9120 · EFECTIVO INTENSIVO</t>
        </is>
      </c>
      <c r="W201" s="12" t="n"/>
      <c r="X201" s="12" t="n"/>
    </row>
    <row r="202" ht="15" customHeight="1">
      <c r="C202" t="inlineStr">
        <is>
          <t>Actividad económica / giro mercantil</t>
        </is>
      </c>
      <c r="D202" t="inlineStr">
        <is>
          <t>F12</t>
        </is>
      </c>
      <c r="E202" t="inlineStr">
        <is>
          <t>INHERENTE</t>
        </is>
      </c>
      <c r="F202" t="inlineStr">
        <is>
          <t>TALLADO DE PIEDRAS PRECIOSAS</t>
        </is>
      </c>
      <c r="G202" t="n">
        <v>300170</v>
      </c>
      <c r="H202" t="n">
        <v>5</v>
      </c>
      <c r="I202" t="n">
        <v>5</v>
      </c>
      <c r="J202" t="n">
        <v>8</v>
      </c>
      <c r="K202" t="n">
        <v>40</v>
      </c>
      <c r="L202" t="n">
        <v>40</v>
      </c>
      <c r="M202" t="n">
        <v>40</v>
      </c>
      <c r="N202" t="n">
        <v>40</v>
      </c>
      <c r="O202" t="n">
        <v>40</v>
      </c>
      <c r="P202" t="n">
        <v>8</v>
      </c>
      <c r="Q202" t="inlineStr">
        <is>
          <t>DETERMINANTE</t>
        </is>
      </c>
      <c r="R202" s="9" t="n">
        <v>0.08</v>
      </c>
      <c r="S202" s="10" t="inlineStr">
        <is>
          <t>SÍ — integrante</t>
        </is>
      </c>
      <c r="T202" s="11" t="inlineStr">
        <is>
          <t>B · INTEGRANTE</t>
        </is>
      </c>
      <c r="U202" s="11" t="inlineStr">
        <is>
          <t>DEL BANCO (se hereda)</t>
        </is>
      </c>
      <c r="V202" s="11" t="inlineStr">
        <is>
          <t>9154 · OTRAS ACTIVIDADES NO CLASIFICADAS</t>
        </is>
      </c>
      <c r="W202" s="12" t="n"/>
      <c r="X202" s="12" t="n"/>
    </row>
    <row r="203" ht="15" customHeight="1">
      <c r="C203" t="inlineStr">
        <is>
          <t>Actividad económica / giro mercantil</t>
        </is>
      </c>
      <c r="D203" t="inlineStr">
        <is>
          <t>F12</t>
        </is>
      </c>
      <c r="E203" t="inlineStr">
        <is>
          <t>INHERENTE</t>
        </is>
      </c>
      <c r="F203" t="inlineStr">
        <is>
          <t>COMPRA VENTA DE ARMAS DE FUEGO</t>
        </is>
      </c>
      <c r="G203" t="n">
        <v>300171</v>
      </c>
      <c r="H203" t="n">
        <v>5</v>
      </c>
      <c r="I203" t="n">
        <v>5</v>
      </c>
      <c r="J203" t="n">
        <v>8</v>
      </c>
      <c r="K203" t="n">
        <v>40</v>
      </c>
      <c r="L203" t="n">
        <v>40</v>
      </c>
      <c r="M203" t="n">
        <v>40</v>
      </c>
      <c r="N203" t="n">
        <v>40</v>
      </c>
      <c r="O203" t="n">
        <v>40</v>
      </c>
      <c r="P203" t="n">
        <v>8</v>
      </c>
      <c r="Q203" t="inlineStr">
        <is>
          <t>PROHIBITIVO</t>
        </is>
      </c>
      <c r="R203" s="9" t="n">
        <v>0.08</v>
      </c>
      <c r="S203" s="10" t="inlineStr">
        <is>
          <t>SÍ — integrante</t>
        </is>
      </c>
      <c r="T203" s="11" t="inlineStr">
        <is>
          <t>B · INTEGRANTE</t>
        </is>
      </c>
      <c r="U203" s="11" t="inlineStr">
        <is>
          <t>DEL BANCO (se hereda)</t>
        </is>
      </c>
      <c r="V203" s="11" t="inlineStr">
        <is>
          <t>9113 · COMERCIO GENERAL</t>
        </is>
      </c>
      <c r="W203" s="12" t="n"/>
      <c r="X203" s="12" t="n"/>
    </row>
    <row r="204" ht="15" customHeight="1">
      <c r="C204" t="inlineStr">
        <is>
          <t>Actividad económica / giro mercantil</t>
        </is>
      </c>
      <c r="D204" t="inlineStr">
        <is>
          <t>F12</t>
        </is>
      </c>
      <c r="E204" t="inlineStr">
        <is>
          <t>INHERENTE</t>
        </is>
      </c>
      <c r="F204" t="inlineStr">
        <is>
          <t>QUEHACERES DEL HOGAR</t>
        </is>
      </c>
      <c r="G204" t="n">
        <v>300172</v>
      </c>
      <c r="H204" t="n">
        <v>2</v>
      </c>
      <c r="I204" t="n">
        <v>2</v>
      </c>
      <c r="J204" t="n">
        <v>8</v>
      </c>
      <c r="K204" t="n">
        <v>16</v>
      </c>
      <c r="L204" t="n">
        <v>16</v>
      </c>
      <c r="M204" t="n">
        <v>16</v>
      </c>
      <c r="N204" t="n">
        <v>16</v>
      </c>
      <c r="O204" t="n">
        <v>40</v>
      </c>
      <c r="P204" t="n">
        <v>8</v>
      </c>
      <c r="R204" s="9" t="n">
        <v>0.08</v>
      </c>
      <c r="S204" s="10" t="inlineStr">
        <is>
          <t>SÍ — integrante</t>
        </is>
      </c>
      <c r="T204" s="11" t="inlineStr">
        <is>
          <t>B · INTEGRANTE</t>
        </is>
      </c>
      <c r="U204" s="11" t="inlineStr">
        <is>
          <t>DEL BANCO (se hereda)</t>
        </is>
      </c>
      <c r="V204" s="11" t="inlineStr">
        <is>
          <t>9111 · SIN ACTIVIDAD DE RIESGO / ASALARIADO</t>
        </is>
      </c>
      <c r="W204" s="12" t="n"/>
      <c r="X204" s="12" t="n"/>
    </row>
    <row r="205" ht="15" customHeight="1">
      <c r="C205" t="inlineStr">
        <is>
          <t>Actividad económica / giro mercantil</t>
        </is>
      </c>
      <c r="D205" t="inlineStr">
        <is>
          <t>F12</t>
        </is>
      </c>
      <c r="E205" t="inlineStr">
        <is>
          <t>INHERENTE</t>
        </is>
      </c>
      <c r="F205" t="inlineStr">
        <is>
          <t>PLANTACION Y REFORESTACION</t>
        </is>
      </c>
      <c r="G205" t="n">
        <v>311019</v>
      </c>
      <c r="H205" t="n">
        <v>1</v>
      </c>
      <c r="I205" t="n">
        <v>1</v>
      </c>
      <c r="J205" t="n">
        <v>8</v>
      </c>
      <c r="K205" t="n">
        <v>8</v>
      </c>
      <c r="L205" t="n">
        <v>8</v>
      </c>
      <c r="M205" t="n">
        <v>8</v>
      </c>
      <c r="N205" t="n">
        <v>8</v>
      </c>
      <c r="O205" t="n">
        <v>40</v>
      </c>
      <c r="P205" t="n">
        <v>8</v>
      </c>
      <c r="R205" s="9" t="n">
        <v>0.08</v>
      </c>
      <c r="S205" s="10" t="inlineStr">
        <is>
          <t>SÍ — integrante</t>
        </is>
      </c>
      <c r="T205" s="11" t="inlineStr">
        <is>
          <t>B · INTEGRANTE</t>
        </is>
      </c>
      <c r="U205" s="11" t="inlineStr">
        <is>
          <t>DEL BANCO (se hereda)</t>
        </is>
      </c>
      <c r="V205" s="11" t="inlineStr">
        <is>
          <t>9152 · INDUSTRIA Y MANUFACTURA</t>
        </is>
      </c>
      <c r="W205" s="12" t="n"/>
      <c r="X205" s="12" t="n"/>
    </row>
    <row r="206" ht="15" customHeight="1">
      <c r="C206" t="inlineStr">
        <is>
          <t>Actividad económica / giro mercantil</t>
        </is>
      </c>
      <c r="D206" t="inlineStr">
        <is>
          <t>F12</t>
        </is>
      </c>
      <c r="E206" t="inlineStr">
        <is>
          <t>INHERENTE</t>
        </is>
      </c>
      <c r="F206" t="inlineStr">
        <is>
          <t>EXTRACCION DE TRONCOS PARA ASERRADEROS Y PARA PULPA INCLUSO LA MADERA TOSCAMENTE ASERRADA</t>
        </is>
      </c>
      <c r="G206" t="n">
        <v>312017</v>
      </c>
      <c r="H206" t="n">
        <v>2</v>
      </c>
      <c r="I206" t="n">
        <v>2</v>
      </c>
      <c r="J206" t="n">
        <v>8</v>
      </c>
      <c r="K206" t="n">
        <v>16</v>
      </c>
      <c r="L206" t="n">
        <v>16</v>
      </c>
      <c r="M206" t="n">
        <v>16</v>
      </c>
      <c r="N206" t="n">
        <v>16</v>
      </c>
      <c r="O206" t="n">
        <v>40</v>
      </c>
      <c r="P206" t="n">
        <v>8</v>
      </c>
      <c r="R206" s="9" t="n">
        <v>0.08</v>
      </c>
      <c r="S206" s="10" t="inlineStr">
        <is>
          <t>SÍ — integrante</t>
        </is>
      </c>
      <c r="T206" s="11" t="inlineStr">
        <is>
          <t>B · INTEGRANTE</t>
        </is>
      </c>
      <c r="U206" s="11" t="inlineStr">
        <is>
          <t>DEL BANCO (se hereda)</t>
        </is>
      </c>
      <c r="V206" s="11" t="inlineStr">
        <is>
          <t>9151 · SECTOR PRIMARIO (agropecuario, pesca, forestal, minería)</t>
        </is>
      </c>
      <c r="W206" s="12" t="n"/>
      <c r="X206" s="12" t="n"/>
    </row>
    <row r="207" ht="15" customHeight="1">
      <c r="C207" t="inlineStr">
        <is>
          <t>Actividad económica / giro mercantil</t>
        </is>
      </c>
      <c r="D207" t="inlineStr">
        <is>
          <t>F12</t>
        </is>
      </c>
      <c r="E207" t="inlineStr">
        <is>
          <t>INHERENTE</t>
        </is>
      </c>
      <c r="F207" t="inlineStr">
        <is>
          <t>EXTRACCION DE CARBON VEGETAL</t>
        </is>
      </c>
      <c r="G207" t="n">
        <v>313015</v>
      </c>
      <c r="H207" t="n">
        <v>1</v>
      </c>
      <c r="I207" t="n">
        <v>1</v>
      </c>
      <c r="J207" t="n">
        <v>8</v>
      </c>
      <c r="K207" t="n">
        <v>8</v>
      </c>
      <c r="L207" t="n">
        <v>8</v>
      </c>
      <c r="M207" t="n">
        <v>8</v>
      </c>
      <c r="N207" t="n">
        <v>8</v>
      </c>
      <c r="O207" t="n">
        <v>40</v>
      </c>
      <c r="P207" t="n">
        <v>8</v>
      </c>
      <c r="R207" s="9" t="n">
        <v>0.08</v>
      </c>
      <c r="S207" s="10" t="inlineStr">
        <is>
          <t>SÍ — integrante</t>
        </is>
      </c>
      <c r="T207" s="11" t="inlineStr">
        <is>
          <t>B · INTEGRANTE</t>
        </is>
      </c>
      <c r="U207" s="11" t="inlineStr">
        <is>
          <t>DEL BANCO (se hereda)</t>
        </is>
      </c>
      <c r="V207" s="11" t="inlineStr">
        <is>
          <t>9151 · SECTOR PRIMARIO (agropecuario, pesca, forestal, minería)</t>
        </is>
      </c>
      <c r="W207" s="12" t="n"/>
      <c r="X207" s="12" t="n"/>
    </row>
    <row r="208" ht="15" customHeight="1">
      <c r="C208" t="inlineStr">
        <is>
          <t>Actividad económica / giro mercantil</t>
        </is>
      </c>
      <c r="D208" t="inlineStr">
        <is>
          <t>F12</t>
        </is>
      </c>
      <c r="E208" t="inlineStr">
        <is>
          <t>INHERENTE</t>
        </is>
      </c>
      <c r="F208" t="inlineStr">
        <is>
          <t>EXTRACCION DE CHICLE</t>
        </is>
      </c>
      <c r="G208" t="n">
        <v>321018</v>
      </c>
      <c r="H208" t="n">
        <v>1</v>
      </c>
      <c r="I208" t="n">
        <v>1</v>
      </c>
      <c r="J208" t="n">
        <v>8</v>
      </c>
      <c r="K208" t="n">
        <v>8</v>
      </c>
      <c r="L208" t="n">
        <v>8</v>
      </c>
      <c r="M208" t="n">
        <v>8</v>
      </c>
      <c r="N208" t="n">
        <v>8</v>
      </c>
      <c r="O208" t="n">
        <v>40</v>
      </c>
      <c r="P208" t="n">
        <v>8</v>
      </c>
      <c r="R208" s="9" t="n">
        <v>0.08</v>
      </c>
      <c r="S208" s="10" t="inlineStr">
        <is>
          <t>SÍ — integrante</t>
        </is>
      </c>
      <c r="T208" s="11" t="inlineStr">
        <is>
          <t>B · INTEGRANTE</t>
        </is>
      </c>
      <c r="U208" s="11" t="inlineStr">
        <is>
          <t>DEL BANCO (se hereda)</t>
        </is>
      </c>
      <c r="V208" s="11" t="inlineStr">
        <is>
          <t>9151 · SECTOR PRIMARIO (agropecuario, pesca, forestal, minería)</t>
        </is>
      </c>
      <c r="W208" s="12" t="n"/>
      <c r="X208" s="12" t="n"/>
    </row>
    <row r="209" ht="15" customHeight="1">
      <c r="C209" t="inlineStr">
        <is>
          <t>Actividad económica / giro mercantil</t>
        </is>
      </c>
      <c r="D209" t="inlineStr">
        <is>
          <t>F12</t>
        </is>
      </c>
      <c r="E209" t="inlineStr">
        <is>
          <t>INHERENTE</t>
        </is>
      </c>
      <c r="F209" t="inlineStr">
        <is>
          <t>EXPLOTACION DE CANDELILLA</t>
        </is>
      </c>
      <c r="G209" t="n">
        <v>322016</v>
      </c>
      <c r="H209" t="n">
        <v>1</v>
      </c>
      <c r="I209" t="n">
        <v>1</v>
      </c>
      <c r="J209" t="n">
        <v>8</v>
      </c>
      <c r="K209" t="n">
        <v>8</v>
      </c>
      <c r="L209" t="n">
        <v>8</v>
      </c>
      <c r="M209" t="n">
        <v>8</v>
      </c>
      <c r="N209" t="n">
        <v>8</v>
      </c>
      <c r="O209" t="n">
        <v>40</v>
      </c>
      <c r="P209" t="n">
        <v>8</v>
      </c>
      <c r="R209" s="9" t="n">
        <v>0.08</v>
      </c>
      <c r="S209" s="10" t="inlineStr">
        <is>
          <t>SÍ — integrante</t>
        </is>
      </c>
      <c r="T209" s="11" t="inlineStr">
        <is>
          <t>B · INTEGRANTE</t>
        </is>
      </c>
      <c r="U209" s="11" t="inlineStr">
        <is>
          <t>DEL BANCO (se hereda)</t>
        </is>
      </c>
      <c r="V209" s="11" t="inlineStr">
        <is>
          <t>9151 · SECTOR PRIMARIO (agropecuario, pesca, forestal, minería)</t>
        </is>
      </c>
      <c r="W209" s="12" t="n"/>
      <c r="X209" s="12" t="n"/>
    </row>
    <row r="210" ht="15" customHeight="1">
      <c r="C210" t="inlineStr">
        <is>
          <t>Actividad económica / giro mercantil</t>
        </is>
      </c>
      <c r="D210" t="inlineStr">
        <is>
          <t>F12</t>
        </is>
      </c>
      <c r="E210" t="inlineStr">
        <is>
          <t>INHERENTE</t>
        </is>
      </c>
      <c r="F210" t="inlineStr">
        <is>
          <t>EXPLOTACION DE HULE</t>
        </is>
      </c>
      <c r="G210" t="n">
        <v>322024</v>
      </c>
      <c r="H210" t="n">
        <v>1</v>
      </c>
      <c r="I210" t="n">
        <v>1</v>
      </c>
      <c r="J210" t="n">
        <v>8</v>
      </c>
      <c r="K210" t="n">
        <v>8</v>
      </c>
      <c r="L210" t="n">
        <v>8</v>
      </c>
      <c r="M210" t="n">
        <v>8</v>
      </c>
      <c r="N210" t="n">
        <v>8</v>
      </c>
      <c r="O210" t="n">
        <v>40</v>
      </c>
      <c r="P210" t="n">
        <v>8</v>
      </c>
      <c r="R210" s="9" t="n">
        <v>0.08</v>
      </c>
      <c r="S210" s="10" t="inlineStr">
        <is>
          <t>SÍ — integrante</t>
        </is>
      </c>
      <c r="T210" s="11" t="inlineStr">
        <is>
          <t>B · INTEGRANTE</t>
        </is>
      </c>
      <c r="U210" s="11" t="inlineStr">
        <is>
          <t>DEL BANCO (se hereda)</t>
        </is>
      </c>
      <c r="V210" s="11" t="inlineStr">
        <is>
          <t>9151 · SECTOR PRIMARIO (agropecuario, pesca, forestal, minería)</t>
        </is>
      </c>
      <c r="W210" s="12" t="n"/>
      <c r="X210" s="12" t="n"/>
    </row>
    <row r="211" ht="15" customHeight="1">
      <c r="C211" t="inlineStr">
        <is>
          <t>Actividad económica / giro mercantil</t>
        </is>
      </c>
      <c r="D211" t="inlineStr">
        <is>
          <t>F12</t>
        </is>
      </c>
      <c r="E211" t="inlineStr">
        <is>
          <t>INHERENTE</t>
        </is>
      </c>
      <c r="F211" t="inlineStr">
        <is>
          <t>EXTRACCION DE COLOFONIA</t>
        </is>
      </c>
      <c r="G211" t="n">
        <v>322032</v>
      </c>
      <c r="H211" t="n">
        <v>1</v>
      </c>
      <c r="I211" t="n">
        <v>1</v>
      </c>
      <c r="J211" t="n">
        <v>8</v>
      </c>
      <c r="K211" t="n">
        <v>8</v>
      </c>
      <c r="L211" t="n">
        <v>8</v>
      </c>
      <c r="M211" t="n">
        <v>8</v>
      </c>
      <c r="N211" t="n">
        <v>8</v>
      </c>
      <c r="O211" t="n">
        <v>40</v>
      </c>
      <c r="P211" t="n">
        <v>8</v>
      </c>
      <c r="R211" s="9" t="n">
        <v>0.08</v>
      </c>
      <c r="S211" s="10" t="inlineStr">
        <is>
          <t>SÍ — integrante</t>
        </is>
      </c>
      <c r="T211" s="11" t="inlineStr">
        <is>
          <t>B · INTEGRANTE</t>
        </is>
      </c>
      <c r="U211" s="11" t="inlineStr">
        <is>
          <t>DEL BANCO (se hereda)</t>
        </is>
      </c>
      <c r="V211" s="11" t="inlineStr">
        <is>
          <t>9151 · SECTOR PRIMARIO (agropecuario, pesca, forestal, minería)</t>
        </is>
      </c>
      <c r="W211" s="12" t="n"/>
      <c r="X211" s="12" t="n"/>
    </row>
    <row r="212" ht="15" customHeight="1">
      <c r="C212" t="inlineStr">
        <is>
          <t>Actividad económica / giro mercantil</t>
        </is>
      </c>
      <c r="D212" t="inlineStr">
        <is>
          <t>F12</t>
        </is>
      </c>
      <c r="E212" t="inlineStr">
        <is>
          <t>INHERENTE</t>
        </is>
      </c>
      <c r="F212" t="inlineStr">
        <is>
          <t>EXTRACCION DE OTRAS RESINAS</t>
        </is>
      </c>
      <c r="G212" t="n">
        <v>322040</v>
      </c>
      <c r="H212" t="n">
        <v>1</v>
      </c>
      <c r="I212" t="n">
        <v>1</v>
      </c>
      <c r="J212" t="n">
        <v>8</v>
      </c>
      <c r="K212" t="n">
        <v>8</v>
      </c>
      <c r="L212" t="n">
        <v>8</v>
      </c>
      <c r="M212" t="n">
        <v>8</v>
      </c>
      <c r="N212" t="n">
        <v>8</v>
      </c>
      <c r="O212" t="n">
        <v>40</v>
      </c>
      <c r="P212" t="n">
        <v>8</v>
      </c>
      <c r="R212" s="9" t="n">
        <v>0.08</v>
      </c>
      <c r="S212" s="10" t="inlineStr">
        <is>
          <t>SÍ — integrante</t>
        </is>
      </c>
      <c r="T212" s="11" t="inlineStr">
        <is>
          <t>B · INTEGRANTE</t>
        </is>
      </c>
      <c r="U212" s="11" t="inlineStr">
        <is>
          <t>DEL BANCO (se hereda)</t>
        </is>
      </c>
      <c r="V212" s="11" t="inlineStr">
        <is>
          <t>9151 · SECTOR PRIMARIO (agropecuario, pesca, forestal, minería)</t>
        </is>
      </c>
      <c r="W212" s="12" t="n"/>
      <c r="X212" s="12" t="n"/>
    </row>
    <row r="213" ht="15" customHeight="1">
      <c r="C213" t="inlineStr">
        <is>
          <t>Actividad económica / giro mercantil</t>
        </is>
      </c>
      <c r="D213" t="inlineStr">
        <is>
          <t>F12</t>
        </is>
      </c>
      <c r="E213" t="inlineStr">
        <is>
          <t>INHERENTE</t>
        </is>
      </c>
      <c r="F213" t="inlineStr">
        <is>
          <t>EXPLOTACION DE RAICES</t>
        </is>
      </c>
      <c r="G213" t="n">
        <v>323014</v>
      </c>
      <c r="H213" t="n">
        <v>1</v>
      </c>
      <c r="I213" t="n">
        <v>1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40</v>
      </c>
      <c r="P213" t="n">
        <v>8</v>
      </c>
      <c r="R213" s="9" t="n">
        <v>0.08</v>
      </c>
      <c r="S213" s="10" t="inlineStr">
        <is>
          <t>SÍ — integrante</t>
        </is>
      </c>
      <c r="T213" s="11" t="inlineStr">
        <is>
          <t>B · INTEGRANTE</t>
        </is>
      </c>
      <c r="U213" s="11" t="inlineStr">
        <is>
          <t>DEL BANCO (se hereda)</t>
        </is>
      </c>
      <c r="V213" s="11" t="inlineStr">
        <is>
          <t>9151 · SECTOR PRIMARIO (agropecuario, pesca, forestal, minería)</t>
        </is>
      </c>
      <c r="W213" s="12" t="n"/>
      <c r="X213" s="12" t="n"/>
    </row>
    <row r="214" ht="15" customHeight="1">
      <c r="C214" t="inlineStr">
        <is>
          <t>Actividad económica / giro mercantil</t>
        </is>
      </c>
      <c r="D214" t="inlineStr">
        <is>
          <t>F12</t>
        </is>
      </c>
      <c r="E214" t="inlineStr">
        <is>
          <t>INHERENTE</t>
        </is>
      </c>
      <c r="F214" t="inlineStr">
        <is>
          <t>EXTRACCION DE ALQUITRAN VEGETAL</t>
        </is>
      </c>
      <c r="G214" t="n">
        <v>323022</v>
      </c>
      <c r="H214" t="n">
        <v>1</v>
      </c>
      <c r="I214" t="n">
        <v>1</v>
      </c>
      <c r="J214" t="n">
        <v>8</v>
      </c>
      <c r="K214" t="n">
        <v>8</v>
      </c>
      <c r="L214" t="n">
        <v>8</v>
      </c>
      <c r="M214" t="n">
        <v>8</v>
      </c>
      <c r="N214" t="n">
        <v>8</v>
      </c>
      <c r="O214" t="n">
        <v>40</v>
      </c>
      <c r="P214" t="n">
        <v>8</v>
      </c>
      <c r="R214" s="9" t="n">
        <v>0.08</v>
      </c>
      <c r="S214" s="10" t="inlineStr">
        <is>
          <t>SÍ — integrante</t>
        </is>
      </c>
      <c r="T214" s="11" t="inlineStr">
        <is>
          <t>B · INTEGRANTE</t>
        </is>
      </c>
      <c r="U214" s="11" t="inlineStr">
        <is>
          <t>DEL BANCO (se hereda)</t>
        </is>
      </c>
      <c r="V214" s="11" t="inlineStr">
        <is>
          <t>9151 · SECTOR PRIMARIO (agropecuario, pesca, forestal, minería)</t>
        </is>
      </c>
      <c r="W214" s="12" t="n"/>
      <c r="X214" s="12" t="n"/>
    </row>
    <row r="215" ht="15" customHeight="1">
      <c r="C215" t="inlineStr">
        <is>
          <t>Actividad económica / giro mercantil</t>
        </is>
      </c>
      <c r="D215" t="inlineStr">
        <is>
          <t>F12</t>
        </is>
      </c>
      <c r="E215" t="inlineStr">
        <is>
          <t>INHERENTE</t>
        </is>
      </c>
      <c r="F215" t="inlineStr">
        <is>
          <t>EXTRACCION DE TREMENTINA</t>
        </is>
      </c>
      <c r="G215" t="n">
        <v>323030</v>
      </c>
      <c r="H215" t="n">
        <v>1</v>
      </c>
      <c r="I215" t="n">
        <v>1</v>
      </c>
      <c r="J215" t="n">
        <v>8</v>
      </c>
      <c r="K215" t="n">
        <v>8</v>
      </c>
      <c r="L215" t="n">
        <v>8</v>
      </c>
      <c r="M215" t="n">
        <v>8</v>
      </c>
      <c r="N215" t="n">
        <v>8</v>
      </c>
      <c r="O215" t="n">
        <v>40</v>
      </c>
      <c r="P215" t="n">
        <v>8</v>
      </c>
      <c r="R215" s="9" t="n">
        <v>0.08</v>
      </c>
      <c r="S215" s="10" t="inlineStr">
        <is>
          <t>SÍ — integrante</t>
        </is>
      </c>
      <c r="T215" s="11" t="inlineStr">
        <is>
          <t>B · INTEGRANTE</t>
        </is>
      </c>
      <c r="U215" s="11" t="inlineStr">
        <is>
          <t>DEL BANCO (se hereda)</t>
        </is>
      </c>
      <c r="V215" s="11" t="inlineStr">
        <is>
          <t>9151 · SECTOR PRIMARIO (agropecuario, pesca, forestal, minería)</t>
        </is>
      </c>
      <c r="W215" s="12" t="n"/>
      <c r="X215" s="12" t="n"/>
    </row>
    <row r="216" ht="15" customHeight="1">
      <c r="C216" t="inlineStr">
        <is>
          <t>Actividad económica / giro mercantil</t>
        </is>
      </c>
      <c r="D216" t="inlineStr">
        <is>
          <t>F12</t>
        </is>
      </c>
      <c r="E216" t="inlineStr">
        <is>
          <t>INHERENTE</t>
        </is>
      </c>
      <c r="F216" t="inlineStr">
        <is>
          <t>CULTIVO Y EXPLOTACION DE PALMA Y LECHUGUILLA</t>
        </is>
      </c>
      <c r="G216" t="n">
        <v>329012</v>
      </c>
      <c r="H216" t="n">
        <v>2</v>
      </c>
      <c r="I216" t="n">
        <v>2</v>
      </c>
      <c r="J216" t="n">
        <v>8</v>
      </c>
      <c r="K216" t="n">
        <v>16</v>
      </c>
      <c r="L216" t="n">
        <v>16</v>
      </c>
      <c r="M216" t="n">
        <v>16</v>
      </c>
      <c r="N216" t="n">
        <v>16</v>
      </c>
      <c r="O216" t="n">
        <v>40</v>
      </c>
      <c r="P216" t="n">
        <v>8</v>
      </c>
      <c r="R216" s="9" t="n">
        <v>0.08</v>
      </c>
      <c r="S216" s="10" t="inlineStr">
        <is>
          <t>SÍ — integrante</t>
        </is>
      </c>
      <c r="T216" s="11" t="inlineStr">
        <is>
          <t>B · INTEGRANTE</t>
        </is>
      </c>
      <c r="U216" s="11" t="inlineStr">
        <is>
          <t>DEL BANCO (se hereda)</t>
        </is>
      </c>
      <c r="V216" s="11" t="inlineStr">
        <is>
          <t>9151 · SECTOR PRIMARIO (agropecuario, pesca, forestal, minería)</t>
        </is>
      </c>
      <c r="W216" s="12" t="n"/>
      <c r="X216" s="12" t="n"/>
    </row>
    <row r="217" ht="15" customHeight="1">
      <c r="C217" t="inlineStr">
        <is>
          <t>Actividad económica / giro mercantil</t>
        </is>
      </c>
      <c r="D217" t="inlineStr">
        <is>
          <t>F12</t>
        </is>
      </c>
      <c r="E217" t="inlineStr">
        <is>
          <t>INHERENTE</t>
        </is>
      </c>
      <c r="F217" t="inlineStr">
        <is>
          <t>EXPLOTACION DE BARBASCO ARBORESCENTES Y ARBUSTOS</t>
        </is>
      </c>
      <c r="G217" t="n">
        <v>329020</v>
      </c>
      <c r="H217" t="n">
        <v>1</v>
      </c>
      <c r="I217" t="n">
        <v>1</v>
      </c>
      <c r="J217" t="n">
        <v>8</v>
      </c>
      <c r="K217" t="n">
        <v>8</v>
      </c>
      <c r="L217" t="n">
        <v>8</v>
      </c>
      <c r="M217" t="n">
        <v>8</v>
      </c>
      <c r="N217" t="n">
        <v>8</v>
      </c>
      <c r="O217" t="n">
        <v>40</v>
      </c>
      <c r="P217" t="n">
        <v>8</v>
      </c>
      <c r="R217" s="9" t="n">
        <v>0.08</v>
      </c>
      <c r="S217" s="10" t="inlineStr">
        <is>
          <t>SÍ — integrante</t>
        </is>
      </c>
      <c r="T217" s="11" t="inlineStr">
        <is>
          <t>B · INTEGRANTE</t>
        </is>
      </c>
      <c r="U217" s="11" t="inlineStr">
        <is>
          <t>DEL BANCO (se hereda)</t>
        </is>
      </c>
      <c r="V217" s="11" t="inlineStr">
        <is>
          <t>9151 · SECTOR PRIMARIO (agropecuario, pesca, forestal, minería)</t>
        </is>
      </c>
      <c r="W217" s="12" t="n"/>
      <c r="X217" s="12" t="n"/>
    </row>
    <row r="218" ht="15" customHeight="1">
      <c r="C218" t="inlineStr">
        <is>
          <t>Actividad económica / giro mercantil</t>
        </is>
      </c>
      <c r="D218" t="inlineStr">
        <is>
          <t>F12</t>
        </is>
      </c>
      <c r="E218" t="inlineStr">
        <is>
          <t>INHERENTE</t>
        </is>
      </c>
      <c r="F218" t="inlineStr">
        <is>
          <t>USUARIOS MENORES SILVICULTURA, PESCA Y PRESERVACION DE ANIMALES SALVAJES</t>
        </is>
      </c>
      <c r="G218" t="n">
        <v>329905</v>
      </c>
      <c r="H218" t="n">
        <v>1</v>
      </c>
      <c r="I218" t="n">
        <v>1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40</v>
      </c>
      <c r="P218" t="n">
        <v>8</v>
      </c>
      <c r="R218" s="9" t="n">
        <v>0.08</v>
      </c>
      <c r="S218" s="10" t="inlineStr">
        <is>
          <t>SÍ — integrante</t>
        </is>
      </c>
      <c r="T218" s="11" t="inlineStr">
        <is>
          <t>B · INTEGRANTE</t>
        </is>
      </c>
      <c r="U218" s="11" t="inlineStr">
        <is>
          <t>DEL BANCO (se hereda)</t>
        </is>
      </c>
      <c r="V218" s="11" t="inlineStr">
        <is>
          <t>9151 · SECTOR PRIMARIO (agropecuario, pesca, forestal, minería)</t>
        </is>
      </c>
      <c r="W218" s="12" t="n"/>
      <c r="X218" s="12" t="n"/>
    </row>
    <row r="219" ht="15" customHeight="1">
      <c r="C219" t="inlineStr">
        <is>
          <t>Actividad económica / giro mercantil</t>
        </is>
      </c>
      <c r="D219" t="inlineStr">
        <is>
          <t>F12</t>
        </is>
      </c>
      <c r="E219" t="inlineStr">
        <is>
          <t>INHERENTE</t>
        </is>
      </c>
      <c r="F219" t="inlineStr">
        <is>
          <t>CARTERA SILVICOLA DE ESTADOS ANALITICOS</t>
        </is>
      </c>
      <c r="G219" t="n">
        <v>329913</v>
      </c>
      <c r="H219" t="n">
        <v>2</v>
      </c>
      <c r="I219" t="n">
        <v>2</v>
      </c>
      <c r="J219" t="n">
        <v>8</v>
      </c>
      <c r="K219" t="n">
        <v>16</v>
      </c>
      <c r="L219" t="n">
        <v>16</v>
      </c>
      <c r="M219" t="n">
        <v>16</v>
      </c>
      <c r="N219" t="n">
        <v>16</v>
      </c>
      <c r="O219" t="n">
        <v>40</v>
      </c>
      <c r="P219" t="n">
        <v>8</v>
      </c>
      <c r="R219" s="9" t="n">
        <v>0.08</v>
      </c>
      <c r="S219" s="10" t="inlineStr">
        <is>
          <t>SÍ — integrante</t>
        </is>
      </c>
      <c r="T219" s="11" t="inlineStr">
        <is>
          <t>B · INTEGRANTE</t>
        </is>
      </c>
      <c r="U219" s="11" t="inlineStr">
        <is>
          <t>DEL BANCO (se hereda)</t>
        </is>
      </c>
      <c r="V219" s="11" t="inlineStr">
        <is>
          <t>9154 · OTRAS ACTIVIDADES NO CLASIFICADAS</t>
        </is>
      </c>
      <c r="W219" s="12" t="n"/>
      <c r="X219" s="12" t="n"/>
    </row>
    <row r="220" ht="15" customHeight="1">
      <c r="C220" t="inlineStr">
        <is>
          <t>Actividad económica / giro mercantil</t>
        </is>
      </c>
      <c r="D220" t="inlineStr">
        <is>
          <t>F12</t>
        </is>
      </c>
      <c r="E220" t="inlineStr">
        <is>
          <t>INHERENTE</t>
        </is>
      </c>
      <c r="F220" t="inlineStr">
        <is>
          <t>SERVICIOS DE CORTADO ESTIMACION DEL VOLUMEN DE MADERA PROTECCION DE BOSQUES Y OTROS SERVICIOS RELATIVOS A LA EXPLOTACION FORESTAL</t>
        </is>
      </c>
      <c r="G220" t="n">
        <v>391011</v>
      </c>
      <c r="H220" t="n">
        <v>1</v>
      </c>
      <c r="I220" t="n">
        <v>1</v>
      </c>
      <c r="J220" t="n">
        <v>8</v>
      </c>
      <c r="K220" t="n">
        <v>8</v>
      </c>
      <c r="L220" t="n">
        <v>8</v>
      </c>
      <c r="M220" t="n">
        <v>8</v>
      </c>
      <c r="N220" t="n">
        <v>8</v>
      </c>
      <c r="O220" t="n">
        <v>40</v>
      </c>
      <c r="P220" t="n">
        <v>8</v>
      </c>
      <c r="R220" s="9" t="n">
        <v>0.08</v>
      </c>
      <c r="S220" s="10" t="inlineStr">
        <is>
          <t>SÍ — integrante</t>
        </is>
      </c>
      <c r="T220" s="11" t="inlineStr">
        <is>
          <t>B · INTEGRANTE</t>
        </is>
      </c>
      <c r="U220" s="11" t="inlineStr">
        <is>
          <t>DEL BANCO (se hereda)</t>
        </is>
      </c>
      <c r="V220" s="11" t="inlineStr">
        <is>
          <t>9151 · SECTOR PRIMARIO (agropecuario, pesca, forestal, minería)</t>
        </is>
      </c>
      <c r="W220" s="12" t="n"/>
      <c r="X220" s="12" t="n"/>
    </row>
    <row r="221" ht="15" customHeight="1">
      <c r="C221" t="inlineStr">
        <is>
          <t>Actividad económica / giro mercantil</t>
        </is>
      </c>
      <c r="D221" t="inlineStr">
        <is>
          <t>F12</t>
        </is>
      </c>
      <c r="E221" t="inlineStr">
        <is>
          <t>INHERENTE</t>
        </is>
      </c>
      <c r="F221" t="inlineStr">
        <is>
          <t>PESCA</t>
        </is>
      </c>
      <c r="G221" t="n">
        <v>400002</v>
      </c>
      <c r="H221" t="n">
        <v>2</v>
      </c>
      <c r="I221" t="n">
        <v>2</v>
      </c>
      <c r="J221" t="n">
        <v>8</v>
      </c>
      <c r="K221" t="n">
        <v>16</v>
      </c>
      <c r="L221" t="n">
        <v>16</v>
      </c>
      <c r="M221" t="n">
        <v>16</v>
      </c>
      <c r="N221" t="n">
        <v>16</v>
      </c>
      <c r="O221" t="n">
        <v>40</v>
      </c>
      <c r="P221" t="n">
        <v>8</v>
      </c>
      <c r="R221" s="9" t="n">
        <v>0.08</v>
      </c>
      <c r="S221" s="10" t="inlineStr">
        <is>
          <t>SÍ — integrante</t>
        </is>
      </c>
      <c r="T221" s="11" t="inlineStr">
        <is>
          <t>B · INTEGRANTE</t>
        </is>
      </c>
      <c r="U221" s="11" t="inlineStr">
        <is>
          <t>DEL BANCO (se hereda)</t>
        </is>
      </c>
      <c r="V221" s="11" t="inlineStr">
        <is>
          <t>9151 · SECTOR PRIMARIO (agropecuario, pesca, forestal, minería)</t>
        </is>
      </c>
      <c r="W221" s="12" t="n"/>
      <c r="X221" s="12" t="n"/>
    </row>
    <row r="222" ht="15" customHeight="1">
      <c r="C222" t="inlineStr">
        <is>
          <t>Actividad económica / giro mercantil</t>
        </is>
      </c>
      <c r="D222" t="inlineStr">
        <is>
          <t>F12</t>
        </is>
      </c>
      <c r="E222" t="inlineStr">
        <is>
          <t>INHERENTE</t>
        </is>
      </c>
      <c r="F222" t="inlineStr">
        <is>
          <t>Restaurantes y hoteles</t>
        </is>
      </c>
      <c r="G222" t="n">
        <v>400163</v>
      </c>
      <c r="H222" t="n">
        <v>4</v>
      </c>
      <c r="I222" t="n">
        <v>4</v>
      </c>
      <c r="J222" t="n">
        <v>8</v>
      </c>
      <c r="K222" t="n">
        <v>32</v>
      </c>
      <c r="L222" t="n">
        <v>32</v>
      </c>
      <c r="M222" t="n">
        <v>32</v>
      </c>
      <c r="N222" t="n">
        <v>32</v>
      </c>
      <c r="O222" t="n">
        <v>40</v>
      </c>
      <c r="P222" t="n">
        <v>8</v>
      </c>
      <c r="R222" s="9" t="n">
        <v>0.08</v>
      </c>
      <c r="S222" s="10" t="inlineStr">
        <is>
          <t>SÍ — integrante</t>
        </is>
      </c>
      <c r="T222" s="11" t="inlineStr">
        <is>
          <t>B · INTEGRANTE</t>
        </is>
      </c>
      <c r="U222" s="11" t="inlineStr">
        <is>
          <t>DEL BANCO (se hereda)</t>
        </is>
      </c>
      <c r="V222" s="11" t="inlineStr">
        <is>
          <t>9120 · EFECTIVO INTENSIVO</t>
        </is>
      </c>
      <c r="W222" s="12" t="n"/>
      <c r="X222" s="12" t="n"/>
    </row>
    <row r="223" ht="15" customHeight="1">
      <c r="C223" t="inlineStr">
        <is>
          <t>Actividad económica / giro mercantil</t>
        </is>
      </c>
      <c r="D223" t="inlineStr">
        <is>
          <t>F12</t>
        </is>
      </c>
      <c r="E223" t="inlineStr">
        <is>
          <t>INHERENTE</t>
        </is>
      </c>
      <c r="F223" t="inlineStr">
        <is>
          <t>64. Transporte y almacenaje</t>
        </is>
      </c>
      <c r="G223" t="n">
        <v>400164</v>
      </c>
      <c r="H223" t="n">
        <v>3</v>
      </c>
      <c r="I223" t="n">
        <v>3</v>
      </c>
      <c r="J223" t="n">
        <v>8</v>
      </c>
      <c r="K223" t="n">
        <v>24</v>
      </c>
      <c r="L223" t="n">
        <v>24</v>
      </c>
      <c r="M223" t="n">
        <v>24</v>
      </c>
      <c r="N223" t="n">
        <v>24</v>
      </c>
      <c r="O223" t="n">
        <v>40</v>
      </c>
      <c r="P223" t="n">
        <v>8</v>
      </c>
      <c r="R223" s="9" t="n">
        <v>0.08</v>
      </c>
      <c r="S223" s="10" t="inlineStr">
        <is>
          <t>SÍ — integrante</t>
        </is>
      </c>
      <c r="T223" s="11" t="inlineStr">
        <is>
          <t>B · INTEGRANTE</t>
        </is>
      </c>
      <c r="U223" s="11" t="inlineStr">
        <is>
          <t>DEL BANCO (se hereda)</t>
        </is>
      </c>
      <c r="V223" s="11" t="inlineStr">
        <is>
          <t>9154 · OTRAS ACTIVIDADES NO CLASIFICADAS</t>
        </is>
      </c>
      <c r="W223" s="12" t="n"/>
      <c r="X223" s="12" t="n"/>
    </row>
    <row r="224" ht="15" customHeight="1">
      <c r="C224" t="inlineStr">
        <is>
          <t>Actividad económica / giro mercantil</t>
        </is>
      </c>
      <c r="D224" t="inlineStr">
        <is>
          <t>F12</t>
        </is>
      </c>
      <c r="E224" t="inlineStr">
        <is>
          <t>INHERENTE</t>
        </is>
      </c>
      <c r="F224" t="inlineStr">
        <is>
          <t>65. Comunicaciones</t>
        </is>
      </c>
      <c r="G224" t="n">
        <v>400165</v>
      </c>
      <c r="H224" t="n">
        <v>2</v>
      </c>
      <c r="I224" t="n">
        <v>2</v>
      </c>
      <c r="J224" t="n">
        <v>8</v>
      </c>
      <c r="K224" t="n">
        <v>16</v>
      </c>
      <c r="L224" t="n">
        <v>16</v>
      </c>
      <c r="M224" t="n">
        <v>16</v>
      </c>
      <c r="N224" t="n">
        <v>16</v>
      </c>
      <c r="O224" t="n">
        <v>40</v>
      </c>
      <c r="P224" t="n">
        <v>8</v>
      </c>
      <c r="R224" s="9" t="n">
        <v>0.08</v>
      </c>
      <c r="S224" s="10" t="inlineStr">
        <is>
          <t>SÍ — integrante</t>
        </is>
      </c>
      <c r="T224" s="11" t="inlineStr">
        <is>
          <t>B · INTEGRANTE</t>
        </is>
      </c>
      <c r="U224" s="11" t="inlineStr">
        <is>
          <t>DEL BANCO (se hereda)</t>
        </is>
      </c>
      <c r="V224" s="11" t="inlineStr">
        <is>
          <t>9154 · OTRAS ACTIVIDADES NO CLASIFICADAS</t>
        </is>
      </c>
      <c r="W224" s="12" t="n"/>
      <c r="X224" s="12" t="n"/>
    </row>
    <row r="225" ht="15" customHeight="1">
      <c r="C225" t="inlineStr">
        <is>
          <t>Actividad económica / giro mercantil</t>
        </is>
      </c>
      <c r="D225" t="inlineStr">
        <is>
          <t>F12</t>
        </is>
      </c>
      <c r="E225" t="inlineStr">
        <is>
          <t>INHERENTE</t>
        </is>
      </c>
      <c r="F225" t="inlineStr">
        <is>
          <t>66. Servicios financieros</t>
        </is>
      </c>
      <c r="G225" t="n">
        <v>400166</v>
      </c>
      <c r="H225" t="n">
        <v>2</v>
      </c>
      <c r="I225" t="n">
        <v>2</v>
      </c>
      <c r="J225" t="n">
        <v>8</v>
      </c>
      <c r="K225" t="n">
        <v>16</v>
      </c>
      <c r="L225" t="n">
        <v>16</v>
      </c>
      <c r="M225" t="n">
        <v>16</v>
      </c>
      <c r="N225" t="n">
        <v>16</v>
      </c>
      <c r="O225" t="n">
        <v>40</v>
      </c>
      <c r="P225" t="n">
        <v>8</v>
      </c>
      <c r="R225" s="9" t="n">
        <v>0.08</v>
      </c>
      <c r="S225" s="10" t="inlineStr">
        <is>
          <t>SÍ — integrante</t>
        </is>
      </c>
      <c r="T225" s="11" t="inlineStr">
        <is>
          <t>B · INTEGRANTE</t>
        </is>
      </c>
      <c r="U225" s="11" t="inlineStr">
        <is>
          <t>DEL BANCO (se hereda)</t>
        </is>
      </c>
      <c r="V225" s="11" t="inlineStr">
        <is>
          <t>9154 · OTRAS ACTIVIDADES NO CLASIFICADAS</t>
        </is>
      </c>
      <c r="W225" s="12" t="n"/>
      <c r="X225" s="12" t="n"/>
    </row>
    <row r="226" ht="15" customHeight="1">
      <c r="C226" t="inlineStr">
        <is>
          <t>Actividad económica / giro mercantil</t>
        </is>
      </c>
      <c r="D226" t="inlineStr">
        <is>
          <t>F12</t>
        </is>
      </c>
      <c r="E226" t="inlineStr">
        <is>
          <t>INHERENTE</t>
        </is>
      </c>
      <c r="F226" t="inlineStr">
        <is>
          <t>67. Actividades inmobiliarias y de</t>
        </is>
      </c>
      <c r="G226" t="n">
        <v>400167</v>
      </c>
      <c r="H226" t="n">
        <v>5</v>
      </c>
      <c r="I226" t="n">
        <v>5</v>
      </c>
      <c r="J226" t="n">
        <v>8</v>
      </c>
      <c r="K226" t="n">
        <v>40</v>
      </c>
      <c r="L226" t="n">
        <v>40</v>
      </c>
      <c r="M226" t="n">
        <v>40</v>
      </c>
      <c r="N226" t="n">
        <v>40</v>
      </c>
      <c r="O226" t="n">
        <v>40</v>
      </c>
      <c r="P226" t="n">
        <v>8</v>
      </c>
      <c r="Q226" t="inlineStr">
        <is>
          <t>DETERMINANTE</t>
        </is>
      </c>
      <c r="R226" s="9" t="n">
        <v>0.08</v>
      </c>
      <c r="S226" s="10" t="inlineStr">
        <is>
          <t>SÍ — integrante</t>
        </is>
      </c>
      <c r="T226" s="11" t="inlineStr">
        <is>
          <t>B · INTEGRANTE</t>
        </is>
      </c>
      <c r="U226" s="11" t="inlineStr">
        <is>
          <t>DEL BANCO (se hereda)</t>
        </is>
      </c>
      <c r="V226" s="11" t="inlineStr">
        <is>
          <t>9117 · INMOBILIARIO / CONSTRUCCIÓN</t>
        </is>
      </c>
      <c r="W226" s="12" t="n"/>
      <c r="X226" s="12" t="n"/>
    </row>
    <row r="227" ht="15" customHeight="1">
      <c r="C227" t="inlineStr">
        <is>
          <t>Actividad económica / giro mercantil</t>
        </is>
      </c>
      <c r="D227" t="inlineStr">
        <is>
          <t>F12</t>
        </is>
      </c>
      <c r="E227" t="inlineStr">
        <is>
          <t>INHERENTE</t>
        </is>
      </c>
      <c r="F227" t="inlineStr">
        <is>
          <t>68. Servicos profesionales</t>
        </is>
      </c>
      <c r="G227" t="n">
        <v>400168</v>
      </c>
      <c r="H227" t="n">
        <v>2</v>
      </c>
      <c r="I227" t="n">
        <v>2</v>
      </c>
      <c r="J227" t="n">
        <v>8</v>
      </c>
      <c r="K227" t="n">
        <v>16</v>
      </c>
      <c r="L227" t="n">
        <v>16</v>
      </c>
      <c r="M227" t="n">
        <v>16</v>
      </c>
      <c r="N227" t="n">
        <v>16</v>
      </c>
      <c r="O227" t="n">
        <v>40</v>
      </c>
      <c r="P227" t="n">
        <v>8</v>
      </c>
      <c r="R227" s="9" t="n">
        <v>0.08</v>
      </c>
      <c r="S227" s="10" t="inlineStr">
        <is>
          <t>SÍ — integrante</t>
        </is>
      </c>
      <c r="T227" s="11" t="inlineStr">
        <is>
          <t>B · INTEGRANTE</t>
        </is>
      </c>
      <c r="U227" s="11" t="inlineStr">
        <is>
          <t>DEL BANCO (se hereda)</t>
        </is>
      </c>
      <c r="V227" s="11" t="inlineStr">
        <is>
          <t>9154 · OTRAS ACTIVIDADES NO CLASIFICADAS</t>
        </is>
      </c>
      <c r="W227" s="12" t="n"/>
      <c r="X227" s="12" t="n"/>
    </row>
    <row r="228" ht="15" customHeight="1">
      <c r="C228" t="inlineStr">
        <is>
          <t>Actividad económica / giro mercantil</t>
        </is>
      </c>
      <c r="D228" t="inlineStr">
        <is>
          <t>F12</t>
        </is>
      </c>
      <c r="E228" t="inlineStr">
        <is>
          <t>INHERENTE</t>
        </is>
      </c>
      <c r="F228" t="inlineStr">
        <is>
          <t>69. Servicios de educaci#n</t>
        </is>
      </c>
      <c r="G228" t="n">
        <v>400169</v>
      </c>
      <c r="H228" t="n">
        <v>2</v>
      </c>
      <c r="I228" t="n">
        <v>2</v>
      </c>
      <c r="J228" t="n">
        <v>8</v>
      </c>
      <c r="K228" t="n">
        <v>16</v>
      </c>
      <c r="L228" t="n">
        <v>16</v>
      </c>
      <c r="M228" t="n">
        <v>16</v>
      </c>
      <c r="N228" t="n">
        <v>16</v>
      </c>
      <c r="O228" t="n">
        <v>40</v>
      </c>
      <c r="P228" t="n">
        <v>8</v>
      </c>
      <c r="R228" s="9" t="n">
        <v>0.08</v>
      </c>
      <c r="S228" s="10" t="inlineStr">
        <is>
          <t>SÍ — integrante</t>
        </is>
      </c>
      <c r="T228" s="11" t="inlineStr">
        <is>
          <t>B · INTEGRANTE</t>
        </is>
      </c>
      <c r="U228" s="11" t="inlineStr">
        <is>
          <t>DEL BANCO (se hereda)</t>
        </is>
      </c>
      <c r="V228" s="11" t="inlineStr">
        <is>
          <t>9154 · OTRAS ACTIVIDADES NO CLASIFICADAS</t>
        </is>
      </c>
      <c r="W228" s="12" t="n"/>
      <c r="X228" s="12" t="n"/>
    </row>
    <row r="229" ht="15" customHeight="1">
      <c r="C229" t="inlineStr">
        <is>
          <t>Actividad económica / giro mercantil</t>
        </is>
      </c>
      <c r="D229" t="inlineStr">
        <is>
          <t>F12</t>
        </is>
      </c>
      <c r="E229" t="inlineStr">
        <is>
          <t>INHERENTE</t>
        </is>
      </c>
      <c r="F229" t="inlineStr">
        <is>
          <t>Servicios médicos</t>
        </is>
      </c>
      <c r="G229" t="n">
        <v>400170</v>
      </c>
      <c r="H229" t="n">
        <v>2</v>
      </c>
      <c r="I229" t="n">
        <v>2</v>
      </c>
      <c r="J229" t="n">
        <v>8</v>
      </c>
      <c r="K229" t="n">
        <v>16</v>
      </c>
      <c r="L229" t="n">
        <v>16</v>
      </c>
      <c r="M229" t="n">
        <v>16</v>
      </c>
      <c r="N229" t="n">
        <v>16</v>
      </c>
      <c r="O229" t="n">
        <v>40</v>
      </c>
      <c r="P229" t="n">
        <v>8</v>
      </c>
      <c r="R229" s="9" t="n">
        <v>0.08</v>
      </c>
      <c r="S229" s="10" t="inlineStr">
        <is>
          <t>SÍ — integrante</t>
        </is>
      </c>
      <c r="T229" s="11" t="inlineStr">
        <is>
          <t>B · INTEGRANTE</t>
        </is>
      </c>
      <c r="U229" s="11" t="inlineStr">
        <is>
          <t>DEL BANCO (se hereda)</t>
        </is>
      </c>
      <c r="V229" s="11" t="inlineStr">
        <is>
          <t>9112 · SERVICIOS PROFESIONALES</t>
        </is>
      </c>
      <c r="W229" s="12" t="n"/>
      <c r="X229" s="12" t="n"/>
    </row>
    <row r="230" ht="15" customHeight="1">
      <c r="C230" t="inlineStr">
        <is>
          <t>Actividad económica / giro mercantil</t>
        </is>
      </c>
      <c r="D230" t="inlineStr">
        <is>
          <t>F12</t>
        </is>
      </c>
      <c r="E230" t="inlineStr">
        <is>
          <t>INHERENTE</t>
        </is>
      </c>
      <c r="F230" t="inlineStr">
        <is>
          <t>Servicios de esparcimiento</t>
        </is>
      </c>
      <c r="G230" t="n">
        <v>400171</v>
      </c>
      <c r="H230" t="n">
        <v>4</v>
      </c>
      <c r="I230" t="n">
        <v>4</v>
      </c>
      <c r="J230" t="n">
        <v>8</v>
      </c>
      <c r="K230" t="n">
        <v>32</v>
      </c>
      <c r="L230" t="n">
        <v>32</v>
      </c>
      <c r="M230" t="n">
        <v>32</v>
      </c>
      <c r="N230" t="n">
        <v>32</v>
      </c>
      <c r="O230" t="n">
        <v>40</v>
      </c>
      <c r="P230" t="n">
        <v>8</v>
      </c>
      <c r="R230" s="9" t="n">
        <v>0.08</v>
      </c>
      <c r="S230" s="10" t="inlineStr">
        <is>
          <t>SÍ — integrante</t>
        </is>
      </c>
      <c r="T230" s="11" t="inlineStr">
        <is>
          <t>B · INTEGRANTE</t>
        </is>
      </c>
      <c r="U230" s="11" t="inlineStr">
        <is>
          <t>DEL BANCO (se hereda)</t>
        </is>
      </c>
      <c r="V230" s="11" t="inlineStr">
        <is>
          <t>9154 · OTRAS ACTIVIDADES NO CLASIFICADAS</t>
        </is>
      </c>
      <c r="W230" s="12" t="n"/>
      <c r="X230" s="12" t="n"/>
    </row>
    <row r="231" ht="15" customHeight="1">
      <c r="C231" t="inlineStr">
        <is>
          <t>Actividad económica / giro mercantil</t>
        </is>
      </c>
      <c r="D231" t="inlineStr">
        <is>
          <t>F12</t>
        </is>
      </c>
      <c r="E231" t="inlineStr">
        <is>
          <t>INHERENTE</t>
        </is>
      </c>
      <c r="F231" t="inlineStr">
        <is>
          <t>72. Otros servicios</t>
        </is>
      </c>
      <c r="G231" t="n">
        <v>400172</v>
      </c>
      <c r="H231" t="n">
        <v>5</v>
      </c>
      <c r="I231" t="n">
        <v>5</v>
      </c>
      <c r="J231" t="n">
        <v>8</v>
      </c>
      <c r="K231" t="n">
        <v>40</v>
      </c>
      <c r="L231" t="n">
        <v>40</v>
      </c>
      <c r="M231" t="n">
        <v>40</v>
      </c>
      <c r="N231" t="n">
        <v>40</v>
      </c>
      <c r="O231" t="n">
        <v>40</v>
      </c>
      <c r="P231" t="n">
        <v>8</v>
      </c>
      <c r="Q231" t="inlineStr">
        <is>
          <t>DETERMINANTE</t>
        </is>
      </c>
      <c r="R231" s="9" t="n">
        <v>0.08</v>
      </c>
      <c r="S231" s="10" t="inlineStr">
        <is>
          <t>SÍ — integrante</t>
        </is>
      </c>
      <c r="T231" s="11" t="inlineStr">
        <is>
          <t>B · INTEGRANTE</t>
        </is>
      </c>
      <c r="U231" s="11" t="inlineStr">
        <is>
          <t>DEL BANCO (se hereda)</t>
        </is>
      </c>
      <c r="V231" s="11" t="inlineStr">
        <is>
          <t>9154 · OTRAS ACTIVIDADES NO CLASIFICADAS</t>
        </is>
      </c>
      <c r="W231" s="12" t="n"/>
      <c r="X231" s="12" t="n"/>
    </row>
    <row r="232" ht="15" customHeight="1">
      <c r="C232" t="inlineStr">
        <is>
          <t>Actividad económica / giro mercantil</t>
        </is>
      </c>
      <c r="D232" t="inlineStr">
        <is>
          <t>F12</t>
        </is>
      </c>
      <c r="E232" t="inlineStr">
        <is>
          <t>INHERENTE</t>
        </is>
      </c>
      <c r="F232" t="inlineStr">
        <is>
          <t>Aviacion</t>
        </is>
      </c>
      <c r="G232" t="n">
        <v>400173</v>
      </c>
      <c r="H232" t="n">
        <v>4</v>
      </c>
      <c r="I232" t="n">
        <v>4</v>
      </c>
      <c r="J232" t="n">
        <v>8</v>
      </c>
      <c r="K232" t="n">
        <v>32</v>
      </c>
      <c r="L232" t="n">
        <v>32</v>
      </c>
      <c r="M232" t="n">
        <v>32</v>
      </c>
      <c r="N232" t="n">
        <v>32</v>
      </c>
      <c r="O232" t="n">
        <v>40</v>
      </c>
      <c r="P232" t="n">
        <v>8</v>
      </c>
      <c r="R232" s="9" t="n">
        <v>0.08</v>
      </c>
      <c r="S232" s="10" t="inlineStr">
        <is>
          <t>SÍ — integrante</t>
        </is>
      </c>
      <c r="T232" s="11" t="inlineStr">
        <is>
          <t>B · INTEGRANTE</t>
        </is>
      </c>
      <c r="U232" s="11" t="inlineStr">
        <is>
          <t>DEL BANCO (se hereda)</t>
        </is>
      </c>
      <c r="V232" s="11" t="inlineStr">
        <is>
          <t>9154 · OTRAS ACTIVIDADES NO CLASIFICADAS</t>
        </is>
      </c>
      <c r="W232" s="12" t="n"/>
      <c r="X232" s="12" t="n"/>
    </row>
    <row r="233" ht="15" customHeight="1">
      <c r="C233" t="inlineStr">
        <is>
          <t>Actividad económica / giro mercantil</t>
        </is>
      </c>
      <c r="D233" t="inlineStr">
        <is>
          <t>F12</t>
        </is>
      </c>
      <c r="E233" t="inlineStr">
        <is>
          <t>INHERENTE</t>
        </is>
      </c>
      <c r="F233" t="inlineStr">
        <is>
          <t>INSTITUCIONES DE ASISTENCIA PRIVADA</t>
        </is>
      </c>
      <c r="G233" t="n">
        <v>400174</v>
      </c>
      <c r="H233" t="n">
        <v>5</v>
      </c>
      <c r="I233" t="n">
        <v>5</v>
      </c>
      <c r="J233" t="n">
        <v>8</v>
      </c>
      <c r="K233" t="n">
        <v>40</v>
      </c>
      <c r="L233" t="n">
        <v>40</v>
      </c>
      <c r="M233" t="n">
        <v>40</v>
      </c>
      <c r="N233" t="n">
        <v>40</v>
      </c>
      <c r="O233" t="n">
        <v>40</v>
      </c>
      <c r="P233" t="n">
        <v>8</v>
      </c>
      <c r="Q233" t="inlineStr">
        <is>
          <t>DETERMINANTE</t>
        </is>
      </c>
      <c r="R233" s="9" t="n">
        <v>0.08</v>
      </c>
      <c r="S233" s="10" t="inlineStr">
        <is>
          <t>SÍ — integrante</t>
        </is>
      </c>
      <c r="T233" s="11" t="inlineStr">
        <is>
          <t>B · INTEGRANTE</t>
        </is>
      </c>
      <c r="U233" s="11" t="inlineStr">
        <is>
          <t>DEL BANCO (se hereda)</t>
        </is>
      </c>
      <c r="V233" s="11" t="inlineStr">
        <is>
          <t>9154 · OTRAS ACTIVIDADES NO CLASIFICADAS</t>
        </is>
      </c>
      <c r="W233" s="12" t="n"/>
      <c r="X233" s="12" t="n"/>
    </row>
    <row r="234" ht="15" customHeight="1">
      <c r="C234" t="inlineStr">
        <is>
          <t>Actividad económica / giro mercantil</t>
        </is>
      </c>
      <c r="D234" t="inlineStr">
        <is>
          <t>F12</t>
        </is>
      </c>
      <c r="E234" t="inlineStr">
        <is>
          <t>INHERENTE</t>
        </is>
      </c>
      <c r="F234" t="inlineStr">
        <is>
          <t>ORGANIZACIONES RELIGIOSAS</t>
        </is>
      </c>
      <c r="G234" t="n">
        <v>400175</v>
      </c>
      <c r="H234" t="n">
        <v>5</v>
      </c>
      <c r="I234" t="n">
        <v>5</v>
      </c>
      <c r="J234" t="n">
        <v>8</v>
      </c>
      <c r="K234" t="n">
        <v>40</v>
      </c>
      <c r="L234" t="n">
        <v>40</v>
      </c>
      <c r="M234" t="n">
        <v>40</v>
      </c>
      <c r="N234" t="n">
        <v>40</v>
      </c>
      <c r="O234" t="n">
        <v>40</v>
      </c>
      <c r="P234" t="n">
        <v>8</v>
      </c>
      <c r="Q234" t="inlineStr">
        <is>
          <t>DETERMINANTE</t>
        </is>
      </c>
      <c r="R234" s="9" t="n">
        <v>0.08</v>
      </c>
      <c r="S234" s="10" t="inlineStr">
        <is>
          <t>SÍ — integrante</t>
        </is>
      </c>
      <c r="T234" s="11" t="inlineStr">
        <is>
          <t>B · INTEGRANTE</t>
        </is>
      </c>
      <c r="U234" s="11" t="inlineStr">
        <is>
          <t>DEL BANCO (se hereda)</t>
        </is>
      </c>
      <c r="V234" s="11" t="inlineStr">
        <is>
          <t>9154 · OTRAS ACTIVIDADES NO CLASIFICADAS</t>
        </is>
      </c>
      <c r="W234" s="12" t="n"/>
      <c r="X234" s="12" t="n"/>
    </row>
    <row r="235" ht="15" customHeight="1">
      <c r="C235" t="inlineStr">
        <is>
          <t>Actividad económica / giro mercantil</t>
        </is>
      </c>
      <c r="D235" t="inlineStr">
        <is>
          <t>F12</t>
        </is>
      </c>
      <c r="E235" t="inlineStr">
        <is>
          <t>INHERENTE</t>
        </is>
      </c>
      <c r="F235" t="inlineStr">
        <is>
          <t>Panteones y funerarias.</t>
        </is>
      </c>
      <c r="G235" t="n">
        <v>400176</v>
      </c>
      <c r="H235" t="n">
        <v>4</v>
      </c>
      <c r="I235" t="n">
        <v>4</v>
      </c>
      <c r="J235" t="n">
        <v>8</v>
      </c>
      <c r="K235" t="n">
        <v>32</v>
      </c>
      <c r="L235" t="n">
        <v>32</v>
      </c>
      <c r="M235" t="n">
        <v>32</v>
      </c>
      <c r="N235" t="n">
        <v>32</v>
      </c>
      <c r="O235" t="n">
        <v>40</v>
      </c>
      <c r="P235" t="n">
        <v>8</v>
      </c>
      <c r="R235" s="9" t="n">
        <v>0.08</v>
      </c>
      <c r="S235" s="10" t="inlineStr">
        <is>
          <t>SÍ — integrante</t>
        </is>
      </c>
      <c r="T235" s="11" t="inlineStr">
        <is>
          <t>B · INTEGRANTE</t>
        </is>
      </c>
      <c r="U235" s="11" t="inlineStr">
        <is>
          <t>DEL BANCO (se hereda)</t>
        </is>
      </c>
      <c r="V235" s="11" t="inlineStr">
        <is>
          <t>9154 · OTRAS ACTIVIDADES NO CLASIFICADAS</t>
        </is>
      </c>
      <c r="W235" s="12" t="n"/>
      <c r="X235" s="12" t="n"/>
    </row>
    <row r="236" ht="15" customHeight="1">
      <c r="C236" t="inlineStr">
        <is>
          <t>Actividad económica / giro mercantil</t>
        </is>
      </c>
      <c r="D236" t="inlineStr">
        <is>
          <t>F12</t>
        </is>
      </c>
      <c r="E236" t="inlineStr">
        <is>
          <t>INHERENTE</t>
        </is>
      </c>
      <c r="F236" t="inlineStr">
        <is>
          <t>AGENCIA DE INHUMACIONES</t>
        </is>
      </c>
      <c r="G236" t="n">
        <v>400177</v>
      </c>
      <c r="H236" t="n">
        <v>4</v>
      </c>
      <c r="I236" t="n">
        <v>4</v>
      </c>
      <c r="J236" t="n">
        <v>8</v>
      </c>
      <c r="K236" t="n">
        <v>32</v>
      </c>
      <c r="L236" t="n">
        <v>32</v>
      </c>
      <c r="M236" t="n">
        <v>32</v>
      </c>
      <c r="N236" t="n">
        <v>32</v>
      </c>
      <c r="O236" t="n">
        <v>40</v>
      </c>
      <c r="P236" t="n">
        <v>8</v>
      </c>
      <c r="R236" s="9" t="n">
        <v>0.08</v>
      </c>
      <c r="S236" s="10" t="inlineStr">
        <is>
          <t>SÍ — integrante</t>
        </is>
      </c>
      <c r="T236" s="11" t="inlineStr">
        <is>
          <t>B · INTEGRANTE</t>
        </is>
      </c>
      <c r="U236" s="11" t="inlineStr">
        <is>
          <t>DEL BANCO (se hereda)</t>
        </is>
      </c>
      <c r="V236" s="11" t="inlineStr">
        <is>
          <t>9154 · OTRAS ACTIVIDADES NO CLASIFICADAS</t>
        </is>
      </c>
      <c r="W236" s="12" t="n"/>
      <c r="X236" s="12" t="n"/>
    </row>
    <row r="237" ht="15" customHeight="1">
      <c r="C237" t="inlineStr">
        <is>
          <t>Actividad económica / giro mercantil</t>
        </is>
      </c>
      <c r="D237" t="inlineStr">
        <is>
          <t>F12</t>
        </is>
      </c>
      <c r="E237" t="inlineStr">
        <is>
          <t>INHERENTE</t>
        </is>
      </c>
      <c r="F237" t="inlineStr">
        <is>
          <t>Transportación marítima y/o embarcaciones</t>
        </is>
      </c>
      <c r="G237" t="n">
        <v>400178</v>
      </c>
      <c r="H237" t="n">
        <v>4</v>
      </c>
      <c r="I237" t="n">
        <v>4</v>
      </c>
      <c r="J237" t="n">
        <v>8</v>
      </c>
      <c r="K237" t="n">
        <v>32</v>
      </c>
      <c r="L237" t="n">
        <v>32</v>
      </c>
      <c r="M237" t="n">
        <v>32</v>
      </c>
      <c r="N237" t="n">
        <v>32</v>
      </c>
      <c r="O237" t="n">
        <v>40</v>
      </c>
      <c r="P237" t="n">
        <v>8</v>
      </c>
      <c r="R237" s="9" t="n">
        <v>0.08</v>
      </c>
      <c r="S237" s="10" t="inlineStr">
        <is>
          <t>SÍ — integrante</t>
        </is>
      </c>
      <c r="T237" s="11" t="inlineStr">
        <is>
          <t>B · INTEGRANTE</t>
        </is>
      </c>
      <c r="U237" s="11" t="inlineStr">
        <is>
          <t>DEL BANCO (se hereda)</t>
        </is>
      </c>
      <c r="V237" s="11" t="inlineStr">
        <is>
          <t>9154 · OTRAS ACTIVIDADES NO CLASIFICADAS</t>
        </is>
      </c>
      <c r="W237" s="12" t="n"/>
      <c r="X237" s="12" t="n"/>
    </row>
    <row r="238" ht="15" customHeight="1">
      <c r="C238" t="inlineStr">
        <is>
          <t>Actividad económica / giro mercantil</t>
        </is>
      </c>
      <c r="D238" t="inlineStr">
        <is>
          <t>F12</t>
        </is>
      </c>
      <c r="E238" t="inlineStr">
        <is>
          <t>INHERENTE</t>
        </is>
      </c>
      <c r="F238" t="inlineStr">
        <is>
          <t>CENTROS CAMBIARIOS</t>
        </is>
      </c>
      <c r="G238" t="n">
        <v>400179</v>
      </c>
      <c r="H238" t="n">
        <v>5</v>
      </c>
      <c r="I238" t="n">
        <v>5</v>
      </c>
      <c r="J238" t="n">
        <v>8</v>
      </c>
      <c r="K238" t="n">
        <v>40</v>
      </c>
      <c r="L238" t="n">
        <v>40</v>
      </c>
      <c r="M238" t="n">
        <v>40</v>
      </c>
      <c r="N238" t="n">
        <v>40</v>
      </c>
      <c r="O238" t="n">
        <v>40</v>
      </c>
      <c r="P238" t="n">
        <v>8</v>
      </c>
      <c r="Q238" t="inlineStr">
        <is>
          <t>DETERMINANTE</t>
        </is>
      </c>
      <c r="R238" s="9" t="n">
        <v>0.08</v>
      </c>
      <c r="S238" s="10" t="inlineStr">
        <is>
          <t>SÍ — integrante</t>
        </is>
      </c>
      <c r="T238" s="11" t="inlineStr">
        <is>
          <t>B · INTEGRANTE</t>
        </is>
      </c>
      <c r="U238" s="11" t="inlineStr">
        <is>
          <t>DEL BANCO (se hereda)</t>
        </is>
      </c>
      <c r="V238" s="11" t="inlineStr">
        <is>
          <t>9154 · OTRAS ACTIVIDADES NO CLASIFICADAS</t>
        </is>
      </c>
      <c r="W238" s="12" t="n"/>
      <c r="X238" s="12" t="n"/>
    </row>
    <row r="239" ht="15" customHeight="1">
      <c r="C239" t="inlineStr">
        <is>
          <t>Actividad económica / giro mercantil</t>
        </is>
      </c>
      <c r="D239" t="inlineStr">
        <is>
          <t>F12</t>
        </is>
      </c>
      <c r="E239" t="inlineStr">
        <is>
          <t>INHERENTE</t>
        </is>
      </c>
      <c r="F239" t="inlineStr">
        <is>
          <t>CASA DE CAMBIO</t>
        </is>
      </c>
      <c r="G239" t="n">
        <v>400180</v>
      </c>
      <c r="H239" t="n">
        <v>5</v>
      </c>
      <c r="I239" t="n">
        <v>5</v>
      </c>
      <c r="J239" t="n">
        <v>8</v>
      </c>
      <c r="K239" t="n">
        <v>40</v>
      </c>
      <c r="L239" t="n">
        <v>40</v>
      </c>
      <c r="M239" t="n">
        <v>40</v>
      </c>
      <c r="N239" t="n">
        <v>40</v>
      </c>
      <c r="O239" t="n">
        <v>40</v>
      </c>
      <c r="P239" t="n">
        <v>8</v>
      </c>
      <c r="Q239" t="inlineStr">
        <is>
          <t>DETERMINANTE</t>
        </is>
      </c>
      <c r="R239" s="9" t="n">
        <v>0.08</v>
      </c>
      <c r="S239" s="10" t="inlineStr">
        <is>
          <t>SÍ — integrante</t>
        </is>
      </c>
      <c r="T239" s="11" t="inlineStr">
        <is>
          <t>B · INTEGRANTE</t>
        </is>
      </c>
      <c r="U239" s="11" t="inlineStr">
        <is>
          <t>DEL BANCO (se hereda)</t>
        </is>
      </c>
      <c r="V239" s="11" t="inlineStr">
        <is>
          <t>9118 · ENTIDAD AUXILIAR DEL CRÉDITO</t>
        </is>
      </c>
      <c r="W239" s="12" t="n"/>
      <c r="X239" s="12" t="n"/>
    </row>
    <row r="240" ht="15" customHeight="1">
      <c r="C240" t="inlineStr">
        <is>
          <t>Actividad económica / giro mercantil</t>
        </is>
      </c>
      <c r="D240" t="inlineStr">
        <is>
          <t>F12</t>
        </is>
      </c>
      <c r="E240" t="inlineStr">
        <is>
          <t>INHERENTE</t>
        </is>
      </c>
      <c r="F240" t="inlineStr">
        <is>
          <t>CENTRO NOCTURNO</t>
        </is>
      </c>
      <c r="G240" t="n">
        <v>400181</v>
      </c>
      <c r="H240" t="n">
        <v>5</v>
      </c>
      <c r="I240" t="n">
        <v>5</v>
      </c>
      <c r="J240" t="n">
        <v>8</v>
      </c>
      <c r="K240" t="n">
        <v>40</v>
      </c>
      <c r="L240" t="n">
        <v>40</v>
      </c>
      <c r="M240" t="n">
        <v>40</v>
      </c>
      <c r="N240" t="n">
        <v>40</v>
      </c>
      <c r="O240" t="n">
        <v>40</v>
      </c>
      <c r="P240" t="n">
        <v>8</v>
      </c>
      <c r="Q240" t="inlineStr">
        <is>
          <t>DETERMINANTE</t>
        </is>
      </c>
      <c r="R240" s="9" t="n">
        <v>0.08</v>
      </c>
      <c r="S240" s="10" t="inlineStr">
        <is>
          <t>SÍ — integrante</t>
        </is>
      </c>
      <c r="T240" s="11" t="inlineStr">
        <is>
          <t>B · INTEGRANTE</t>
        </is>
      </c>
      <c r="U240" s="11" t="inlineStr">
        <is>
          <t>DEL BANCO (se hereda)</t>
        </is>
      </c>
      <c r="V240" s="11" t="inlineStr">
        <is>
          <t>9120 · EFECTIVO INTENSIVO</t>
        </is>
      </c>
      <c r="W240" s="12" t="n"/>
      <c r="X240" s="12" t="n"/>
    </row>
    <row r="241" ht="15" customHeight="1">
      <c r="C241" t="inlineStr">
        <is>
          <t>Actividad económica / giro mercantil</t>
        </is>
      </c>
      <c r="D241" t="inlineStr">
        <is>
          <t>F12</t>
        </is>
      </c>
      <c r="E241" t="inlineStr">
        <is>
          <t>INHERENTE</t>
        </is>
      </c>
      <c r="F241" t="inlineStr">
        <is>
          <t>SALA DE CINE</t>
        </is>
      </c>
      <c r="G241" t="n">
        <v>400182</v>
      </c>
      <c r="H241" t="n">
        <v>3</v>
      </c>
      <c r="I241" t="n">
        <v>3</v>
      </c>
      <c r="J241" t="n">
        <v>8</v>
      </c>
      <c r="K241" t="n">
        <v>24</v>
      </c>
      <c r="L241" t="n">
        <v>24</v>
      </c>
      <c r="M241" t="n">
        <v>24</v>
      </c>
      <c r="N241" t="n">
        <v>24</v>
      </c>
      <c r="O241" t="n">
        <v>40</v>
      </c>
      <c r="P241" t="n">
        <v>8</v>
      </c>
      <c r="R241" s="9" t="n">
        <v>0.08</v>
      </c>
      <c r="S241" s="10" t="inlineStr">
        <is>
          <t>SÍ — integrante</t>
        </is>
      </c>
      <c r="T241" s="11" t="inlineStr">
        <is>
          <t>B · INTEGRANTE</t>
        </is>
      </c>
      <c r="U241" s="11" t="inlineStr">
        <is>
          <t>DEL BANCO (se hereda)</t>
        </is>
      </c>
      <c r="V241" s="11" t="inlineStr">
        <is>
          <t>9152 · INDUSTRIA Y MANUFACTURA</t>
        </is>
      </c>
      <c r="W241" s="12" t="n"/>
      <c r="X241" s="12" t="n"/>
    </row>
    <row r="242" ht="15" customHeight="1">
      <c r="C242" t="inlineStr">
        <is>
          <t>Actividad económica / giro mercantil</t>
        </is>
      </c>
      <c r="D242" t="inlineStr">
        <is>
          <t>F12</t>
        </is>
      </c>
      <c r="E242" t="inlineStr">
        <is>
          <t>INHERENTE</t>
        </is>
      </c>
      <c r="F242" t="inlineStr">
        <is>
          <t>TEATRO</t>
        </is>
      </c>
      <c r="G242" t="n">
        <v>400183</v>
      </c>
      <c r="H242" t="n">
        <v>3</v>
      </c>
      <c r="I242" t="n">
        <v>3</v>
      </c>
      <c r="J242" t="n">
        <v>8</v>
      </c>
      <c r="K242" t="n">
        <v>24</v>
      </c>
      <c r="L242" t="n">
        <v>24</v>
      </c>
      <c r="M242" t="n">
        <v>24</v>
      </c>
      <c r="N242" t="n">
        <v>24</v>
      </c>
      <c r="O242" t="n">
        <v>40</v>
      </c>
      <c r="P242" t="n">
        <v>8</v>
      </c>
      <c r="R242" s="9" t="n">
        <v>0.08</v>
      </c>
      <c r="S242" s="10" t="inlineStr">
        <is>
          <t>SÍ — integrante</t>
        </is>
      </c>
      <c r="T242" s="11" t="inlineStr">
        <is>
          <t>B · INTEGRANTE</t>
        </is>
      </c>
      <c r="U242" s="11" t="inlineStr">
        <is>
          <t>DEL BANCO (se hereda)</t>
        </is>
      </c>
      <c r="V242" s="11" t="inlineStr">
        <is>
          <t>9154 · OTRAS ACTIVIDADES NO CLASIFICADAS</t>
        </is>
      </c>
      <c r="W242" s="12" t="n"/>
      <c r="X242" s="12" t="n"/>
    </row>
    <row r="243" ht="15" customHeight="1">
      <c r="C243" t="inlineStr">
        <is>
          <t>Actividad económica / giro mercantil</t>
        </is>
      </c>
      <c r="D243" t="inlineStr">
        <is>
          <t>F12</t>
        </is>
      </c>
      <c r="E243" t="inlineStr">
        <is>
          <t>INHERENTE</t>
        </is>
      </c>
      <c r="F243" t="inlineStr">
        <is>
          <t>ESTADIOS Y ARENAS</t>
        </is>
      </c>
      <c r="G243" t="n">
        <v>400184</v>
      </c>
      <c r="H243" t="n">
        <v>5</v>
      </c>
      <c r="I243" t="n">
        <v>5</v>
      </c>
      <c r="J243" t="n">
        <v>8</v>
      </c>
      <c r="K243" t="n">
        <v>40</v>
      </c>
      <c r="L243" t="n">
        <v>40</v>
      </c>
      <c r="M243" t="n">
        <v>40</v>
      </c>
      <c r="N243" t="n">
        <v>40</v>
      </c>
      <c r="O243" t="n">
        <v>40</v>
      </c>
      <c r="P243" t="n">
        <v>8</v>
      </c>
      <c r="Q243" t="inlineStr">
        <is>
          <t>DETERMINANTE</t>
        </is>
      </c>
      <c r="R243" s="9" t="n">
        <v>0.08</v>
      </c>
      <c r="S243" s="10" t="inlineStr">
        <is>
          <t>SÍ — integrante</t>
        </is>
      </c>
      <c r="T243" s="11" t="inlineStr">
        <is>
          <t>B · INTEGRANTE</t>
        </is>
      </c>
      <c r="U243" s="11" t="inlineStr">
        <is>
          <t>DEL BANCO (se hereda)</t>
        </is>
      </c>
      <c r="V243" s="11" t="inlineStr">
        <is>
          <t>9154 · OTRAS ACTIVIDADES NO CLASIFICADAS</t>
        </is>
      </c>
      <c r="W243" s="12" t="n"/>
      <c r="X243" s="12" t="n"/>
    </row>
    <row r="244" ht="15" customHeight="1">
      <c r="C244" t="inlineStr">
        <is>
          <t>Actividad económica / giro mercantil</t>
        </is>
      </c>
      <c r="D244" t="inlineStr">
        <is>
          <t>F12</t>
        </is>
      </c>
      <c r="E244" t="inlineStr">
        <is>
          <t>INHERENTE</t>
        </is>
      </c>
      <c r="F244" t="inlineStr">
        <is>
          <t>AGENCIA ADUANAL</t>
        </is>
      </c>
      <c r="G244" t="n">
        <v>400185</v>
      </c>
      <c r="H244" t="n">
        <v>5</v>
      </c>
      <c r="I244" t="n">
        <v>5</v>
      </c>
      <c r="J244" t="n">
        <v>8</v>
      </c>
      <c r="K244" t="n">
        <v>40</v>
      </c>
      <c r="L244" t="n">
        <v>40</v>
      </c>
      <c r="M244" t="n">
        <v>40</v>
      </c>
      <c r="N244" t="n">
        <v>40</v>
      </c>
      <c r="O244" t="n">
        <v>40</v>
      </c>
      <c r="P244" t="n">
        <v>8</v>
      </c>
      <c r="Q244" t="inlineStr">
        <is>
          <t>DETERMINANTE</t>
        </is>
      </c>
      <c r="R244" s="9" t="n">
        <v>0.08</v>
      </c>
      <c r="S244" s="10" t="inlineStr">
        <is>
          <t>SÍ — integrante</t>
        </is>
      </c>
      <c r="T244" s="11" t="inlineStr">
        <is>
          <t>B · INTEGRANTE</t>
        </is>
      </c>
      <c r="U244" s="11" t="inlineStr">
        <is>
          <t>DEL BANCO (se hereda)</t>
        </is>
      </c>
      <c r="V244" s="11" t="inlineStr">
        <is>
          <t>9119 · COMERCIO EXTERIOR</t>
        </is>
      </c>
      <c r="W244" s="12" t="n"/>
      <c r="X244" s="12" t="n"/>
    </row>
    <row r="245" ht="15" customHeight="1">
      <c r="C245" t="inlineStr">
        <is>
          <t>Actividad económica / giro mercantil</t>
        </is>
      </c>
      <c r="D245" t="inlineStr">
        <is>
          <t>F12</t>
        </is>
      </c>
      <c r="E245" t="inlineStr">
        <is>
          <t>INHERENTE</t>
        </is>
      </c>
      <c r="F245" t="inlineStr">
        <is>
          <t>Publicación de periódicos y/o revistas y periodistas en gene</t>
        </is>
      </c>
      <c r="G245" t="n">
        <v>400186</v>
      </c>
      <c r="H245" t="n">
        <v>2</v>
      </c>
      <c r="I245" t="n">
        <v>2</v>
      </c>
      <c r="J245" t="n">
        <v>8</v>
      </c>
      <c r="K245" t="n">
        <v>16</v>
      </c>
      <c r="L245" t="n">
        <v>16</v>
      </c>
      <c r="M245" t="n">
        <v>16</v>
      </c>
      <c r="N245" t="n">
        <v>16</v>
      </c>
      <c r="O245" t="n">
        <v>40</v>
      </c>
      <c r="P245" t="n">
        <v>8</v>
      </c>
      <c r="R245" s="9" t="n">
        <v>0.08</v>
      </c>
      <c r="S245" s="10" t="inlineStr">
        <is>
          <t>SÍ — integrante</t>
        </is>
      </c>
      <c r="T245" s="11" t="inlineStr">
        <is>
          <t>B · INTEGRANTE</t>
        </is>
      </c>
      <c r="U245" s="11" t="inlineStr">
        <is>
          <t>DEL BANCO (se hereda)</t>
        </is>
      </c>
      <c r="V245" s="11" t="inlineStr">
        <is>
          <t>9154 · OTRAS ACTIVIDADES NO CLASIFICADAS</t>
        </is>
      </c>
      <c r="W245" s="12" t="n"/>
      <c r="X245" s="12" t="n"/>
    </row>
    <row r="246" ht="15" customHeight="1">
      <c r="C246" t="inlineStr">
        <is>
          <t>Actividad económica / giro mercantil</t>
        </is>
      </c>
      <c r="D246" t="inlineStr">
        <is>
          <t>F12</t>
        </is>
      </c>
      <c r="E246" t="inlineStr">
        <is>
          <t>INHERENTE</t>
        </is>
      </c>
      <c r="F246" t="inlineStr">
        <is>
          <t>CAPTURA DE ATUN BONITO BARRILETE Y SIMILARES</t>
        </is>
      </c>
      <c r="G246" t="n">
        <v>411017</v>
      </c>
      <c r="H246" t="n">
        <v>2</v>
      </c>
      <c r="I246" t="n">
        <v>2</v>
      </c>
      <c r="J246" t="n">
        <v>8</v>
      </c>
      <c r="K246" t="n">
        <v>16</v>
      </c>
      <c r="L246" t="n">
        <v>16</v>
      </c>
      <c r="M246" t="n">
        <v>16</v>
      </c>
      <c r="N246" t="n">
        <v>16</v>
      </c>
      <c r="O246" t="n">
        <v>40</v>
      </c>
      <c r="P246" t="n">
        <v>8</v>
      </c>
      <c r="R246" s="9" t="n">
        <v>0.08</v>
      </c>
      <c r="S246" s="10" t="inlineStr">
        <is>
          <t>SÍ — integrante</t>
        </is>
      </c>
      <c r="T246" s="11" t="inlineStr">
        <is>
          <t>B · INTEGRANTE</t>
        </is>
      </c>
      <c r="U246" s="11" t="inlineStr">
        <is>
          <t>DEL BANCO (se hereda)</t>
        </is>
      </c>
      <c r="V246" s="11" t="inlineStr">
        <is>
          <t>9154 · OTRAS ACTIVIDADES NO CLASIFICADAS</t>
        </is>
      </c>
      <c r="W246" s="12" t="n"/>
      <c r="X246" s="12" t="n"/>
    </row>
    <row r="247" ht="15" customHeight="1">
      <c r="C247" t="inlineStr">
        <is>
          <t>Actividad económica / giro mercantil</t>
        </is>
      </c>
      <c r="D247" t="inlineStr">
        <is>
          <t>F12</t>
        </is>
      </c>
      <c r="E247" t="inlineStr">
        <is>
          <t>INHERENTE</t>
        </is>
      </c>
      <c r="F247" t="inlineStr">
        <is>
          <t>CAPTURA DE SARDINA Y SIMILARES</t>
        </is>
      </c>
      <c r="G247" t="n">
        <v>412015</v>
      </c>
      <c r="H247" t="n">
        <v>1</v>
      </c>
      <c r="I247" t="n">
        <v>1</v>
      </c>
      <c r="J247" t="n">
        <v>8</v>
      </c>
      <c r="K247" t="n">
        <v>8</v>
      </c>
      <c r="L247" t="n">
        <v>8</v>
      </c>
      <c r="M247" t="n">
        <v>8</v>
      </c>
      <c r="N247" t="n">
        <v>8</v>
      </c>
      <c r="O247" t="n">
        <v>40</v>
      </c>
      <c r="P247" t="n">
        <v>8</v>
      </c>
      <c r="R247" s="9" t="n">
        <v>0.08</v>
      </c>
      <c r="S247" s="10" t="inlineStr">
        <is>
          <t>SÍ — integrante</t>
        </is>
      </c>
      <c r="T247" s="11" t="inlineStr">
        <is>
          <t>B · INTEGRANTE</t>
        </is>
      </c>
      <c r="U247" s="11" t="inlineStr">
        <is>
          <t>DEL BANCO (se hereda)</t>
        </is>
      </c>
      <c r="V247" s="11" t="inlineStr">
        <is>
          <t>9154 · OTRAS ACTIVIDADES NO CLASIFICADAS</t>
        </is>
      </c>
      <c r="W247" s="12" t="n"/>
      <c r="X247" s="12" t="n"/>
    </row>
    <row r="248" ht="15" customHeight="1">
      <c r="C248" t="inlineStr">
        <is>
          <t>Actividad económica / giro mercantil</t>
        </is>
      </c>
      <c r="D248" t="inlineStr">
        <is>
          <t>F12</t>
        </is>
      </c>
      <c r="E248" t="inlineStr">
        <is>
          <t>INHERENTE</t>
        </is>
      </c>
      <c r="F248" t="inlineStr">
        <is>
          <t>CAPTURA DE TIBURON CAZON RAYA Y SIMILARES</t>
        </is>
      </c>
      <c r="G248" t="n">
        <v>413013</v>
      </c>
      <c r="H248" t="n">
        <v>2</v>
      </c>
      <c r="I248" t="n">
        <v>2</v>
      </c>
      <c r="J248" t="n">
        <v>8</v>
      </c>
      <c r="K248" t="n">
        <v>16</v>
      </c>
      <c r="L248" t="n">
        <v>16</v>
      </c>
      <c r="M248" t="n">
        <v>16</v>
      </c>
      <c r="N248" t="n">
        <v>16</v>
      </c>
      <c r="O248" t="n">
        <v>40</v>
      </c>
      <c r="P248" t="n">
        <v>8</v>
      </c>
      <c r="R248" s="9" t="n">
        <v>0.08</v>
      </c>
      <c r="S248" s="10" t="inlineStr">
        <is>
          <t>SÍ — integrante</t>
        </is>
      </c>
      <c r="T248" s="11" t="inlineStr">
        <is>
          <t>B · INTEGRANTE</t>
        </is>
      </c>
      <c r="U248" s="11" t="inlineStr">
        <is>
          <t>DEL BANCO (se hereda)</t>
        </is>
      </c>
      <c r="V248" s="11" t="inlineStr">
        <is>
          <t>9154 · OTRAS ACTIVIDADES NO CLASIFICADAS</t>
        </is>
      </c>
      <c r="W248" s="12" t="n"/>
      <c r="X248" s="12" t="n"/>
    </row>
    <row r="249" ht="15" customHeight="1">
      <c r="C249" t="inlineStr">
        <is>
          <t>Actividad económica / giro mercantil</t>
        </is>
      </c>
      <c r="D249" t="inlineStr">
        <is>
          <t>F12</t>
        </is>
      </c>
      <c r="E249" t="inlineStr">
        <is>
          <t>INHERENTE</t>
        </is>
      </c>
      <c r="F249" t="inlineStr">
        <is>
          <t>CAPTURA DE OTROS PECES EN ESTUARIOS COSTAS O ALTA MAR</t>
        </is>
      </c>
      <c r="G249" t="n">
        <v>419011</v>
      </c>
      <c r="H249" t="n">
        <v>1</v>
      </c>
      <c r="I249" t="n">
        <v>1</v>
      </c>
      <c r="J249" t="n">
        <v>8</v>
      </c>
      <c r="K249" t="n">
        <v>8</v>
      </c>
      <c r="L249" t="n">
        <v>8</v>
      </c>
      <c r="M249" t="n">
        <v>8</v>
      </c>
      <c r="N249" t="n">
        <v>8</v>
      </c>
      <c r="O249" t="n">
        <v>40</v>
      </c>
      <c r="P249" t="n">
        <v>8</v>
      </c>
      <c r="R249" s="9" t="n">
        <v>0.08</v>
      </c>
      <c r="S249" s="10" t="inlineStr">
        <is>
          <t>SÍ — integrante</t>
        </is>
      </c>
      <c r="T249" s="11" t="inlineStr">
        <is>
          <t>B · INTEGRANTE</t>
        </is>
      </c>
      <c r="U249" s="11" t="inlineStr">
        <is>
          <t>DEL BANCO (se hereda)</t>
        </is>
      </c>
      <c r="V249" s="11" t="inlineStr">
        <is>
          <t>9154 · OTRAS ACTIVIDADES NO CLASIFICADAS</t>
        </is>
      </c>
      <c r="W249" s="12" t="n"/>
      <c r="X249" s="12" t="n"/>
    </row>
    <row r="250" ht="15" customHeight="1">
      <c r="C250" t="inlineStr">
        <is>
          <t>Actividad económica / giro mercantil</t>
        </is>
      </c>
      <c r="D250" t="inlineStr">
        <is>
          <t>F12</t>
        </is>
      </c>
      <c r="E250" t="inlineStr">
        <is>
          <t>INHERENTE</t>
        </is>
      </c>
      <c r="F250" t="inlineStr">
        <is>
          <t>CARTERA PESQUERA DE ESTADOS ANALITICOS</t>
        </is>
      </c>
      <c r="G250" t="n">
        <v>419912</v>
      </c>
      <c r="H250" t="n">
        <v>2</v>
      </c>
      <c r="I250" t="n">
        <v>2</v>
      </c>
      <c r="J250" t="n">
        <v>8</v>
      </c>
      <c r="K250" t="n">
        <v>16</v>
      </c>
      <c r="L250" t="n">
        <v>16</v>
      </c>
      <c r="M250" t="n">
        <v>16</v>
      </c>
      <c r="N250" t="n">
        <v>16</v>
      </c>
      <c r="O250" t="n">
        <v>40</v>
      </c>
      <c r="P250" t="n">
        <v>8</v>
      </c>
      <c r="R250" s="9" t="n">
        <v>0.08</v>
      </c>
      <c r="S250" s="10" t="inlineStr">
        <is>
          <t>SÍ — integrante</t>
        </is>
      </c>
      <c r="T250" s="11" t="inlineStr">
        <is>
          <t>B · INTEGRANTE</t>
        </is>
      </c>
      <c r="U250" s="11" t="inlineStr">
        <is>
          <t>DEL BANCO (se hereda)</t>
        </is>
      </c>
      <c r="V250" s="11" t="inlineStr">
        <is>
          <t>9154 · OTRAS ACTIVIDADES NO CLASIFICADAS</t>
        </is>
      </c>
      <c r="W250" s="12" t="n"/>
      <c r="X250" s="12" t="n"/>
    </row>
    <row r="251" ht="15" customHeight="1">
      <c r="C251" t="inlineStr">
        <is>
          <t>Actividad económica / giro mercantil</t>
        </is>
      </c>
      <c r="D251" t="inlineStr">
        <is>
          <t>F12</t>
        </is>
      </c>
      <c r="E251" t="inlineStr">
        <is>
          <t>INHERENTE</t>
        </is>
      </c>
      <c r="F251" t="inlineStr">
        <is>
          <t>CAPTURA DE CAMARON</t>
        </is>
      </c>
      <c r="G251" t="n">
        <v>421016</v>
      </c>
      <c r="H251" t="n">
        <v>1</v>
      </c>
      <c r="I251" t="n">
        <v>1</v>
      </c>
      <c r="J251" t="n">
        <v>8</v>
      </c>
      <c r="K251" t="n">
        <v>8</v>
      </c>
      <c r="L251" t="n">
        <v>8</v>
      </c>
      <c r="M251" t="n">
        <v>8</v>
      </c>
      <c r="N251" t="n">
        <v>8</v>
      </c>
      <c r="O251" t="n">
        <v>40</v>
      </c>
      <c r="P251" t="n">
        <v>8</v>
      </c>
      <c r="R251" s="9" t="n">
        <v>0.08</v>
      </c>
      <c r="S251" s="10" t="inlineStr">
        <is>
          <t>SÍ — integrante</t>
        </is>
      </c>
      <c r="T251" s="11" t="inlineStr">
        <is>
          <t>B · INTEGRANTE</t>
        </is>
      </c>
      <c r="U251" s="11" t="inlineStr">
        <is>
          <t>DEL BANCO (se hereda)</t>
        </is>
      </c>
      <c r="V251" s="11" t="inlineStr">
        <is>
          <t>9154 · OTRAS ACTIVIDADES NO CLASIFICADAS</t>
        </is>
      </c>
      <c r="W251" s="12" t="n"/>
      <c r="X251" s="12" t="n"/>
    </row>
    <row r="252" ht="15" customHeight="1">
      <c r="C252" t="inlineStr">
        <is>
          <t>Actividad económica / giro mercantil</t>
        </is>
      </c>
      <c r="D252" t="inlineStr">
        <is>
          <t>F12</t>
        </is>
      </c>
      <c r="E252" t="inlineStr">
        <is>
          <t>INHERENTE</t>
        </is>
      </c>
      <c r="F252" t="inlineStr">
        <is>
          <t>CAPTURA DE OSTION</t>
        </is>
      </c>
      <c r="G252" t="n">
        <v>422014</v>
      </c>
      <c r="H252" t="n">
        <v>1</v>
      </c>
      <c r="I252" t="n">
        <v>1</v>
      </c>
      <c r="J252" t="n">
        <v>8</v>
      </c>
      <c r="K252" t="n">
        <v>8</v>
      </c>
      <c r="L252" t="n">
        <v>8</v>
      </c>
      <c r="M252" t="n">
        <v>8</v>
      </c>
      <c r="N252" t="n">
        <v>8</v>
      </c>
      <c r="O252" t="n">
        <v>40</v>
      </c>
      <c r="P252" t="n">
        <v>8</v>
      </c>
      <c r="R252" s="9" t="n">
        <v>0.08</v>
      </c>
      <c r="S252" s="10" t="inlineStr">
        <is>
          <t>SÍ — integrante</t>
        </is>
      </c>
      <c r="T252" s="11" t="inlineStr">
        <is>
          <t>B · INTEGRANTE</t>
        </is>
      </c>
      <c r="U252" s="11" t="inlineStr">
        <is>
          <t>DEL BANCO (se hereda)</t>
        </is>
      </c>
      <c r="V252" s="11" t="inlineStr">
        <is>
          <t>9154 · OTRAS ACTIVIDADES NO CLASIFICADAS</t>
        </is>
      </c>
      <c r="W252" s="12" t="n"/>
      <c r="X252" s="12" t="n"/>
    </row>
    <row r="253" ht="15" customHeight="1">
      <c r="C253" t="inlineStr">
        <is>
          <t>Actividad económica / giro mercantil</t>
        </is>
      </c>
      <c r="D253" t="inlineStr">
        <is>
          <t>F12</t>
        </is>
      </c>
      <c r="E253" t="inlineStr">
        <is>
          <t>INHERENTE</t>
        </is>
      </c>
      <c r="F253" t="inlineStr">
        <is>
          <t>CAPTURA DE OTROS CRUSTACEOS Y MOLUSCOS MARINOS</t>
        </is>
      </c>
      <c r="G253" t="n">
        <v>429010</v>
      </c>
      <c r="H253" t="n">
        <v>1</v>
      </c>
      <c r="I253" t="n">
        <v>1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40</v>
      </c>
      <c r="P253" t="n">
        <v>8</v>
      </c>
      <c r="R253" s="9" t="n">
        <v>0.08</v>
      </c>
      <c r="S253" s="10" t="inlineStr">
        <is>
          <t>SÍ — integrante</t>
        </is>
      </c>
      <c r="T253" s="11" t="inlineStr">
        <is>
          <t>B · INTEGRANTE</t>
        </is>
      </c>
      <c r="U253" s="11" t="inlineStr">
        <is>
          <t>DEL BANCO (se hereda)</t>
        </is>
      </c>
      <c r="V253" s="11" t="inlineStr">
        <is>
          <t>9154 · OTRAS ACTIVIDADES NO CLASIFICADAS</t>
        </is>
      </c>
      <c r="W253" s="12" t="n"/>
      <c r="X253" s="12" t="n"/>
    </row>
    <row r="254" ht="15" customHeight="1">
      <c r="C254" t="inlineStr">
        <is>
          <t>Actividad económica / giro mercantil</t>
        </is>
      </c>
      <c r="D254" t="inlineStr">
        <is>
          <t>F12</t>
        </is>
      </c>
      <c r="E254" t="inlineStr">
        <is>
          <t>INHERENTE</t>
        </is>
      </c>
      <c r="F254" t="inlineStr">
        <is>
          <t>CAPTURA DE TORTUGA Y OTROS REPTILES MARINOS</t>
        </is>
      </c>
      <c r="G254" t="n">
        <v>431015</v>
      </c>
      <c r="H254" t="n">
        <v>3</v>
      </c>
      <c r="I254" t="n">
        <v>3</v>
      </c>
      <c r="J254" t="n">
        <v>8</v>
      </c>
      <c r="K254" t="n">
        <v>24</v>
      </c>
      <c r="L254" t="n">
        <v>24</v>
      </c>
      <c r="M254" t="n">
        <v>24</v>
      </c>
      <c r="N254" t="n">
        <v>24</v>
      </c>
      <c r="O254" t="n">
        <v>40</v>
      </c>
      <c r="P254" t="n">
        <v>8</v>
      </c>
      <c r="R254" s="9" t="n">
        <v>0.08</v>
      </c>
      <c r="S254" s="10" t="inlineStr">
        <is>
          <t>SÍ — integrante</t>
        </is>
      </c>
      <c r="T254" s="11" t="inlineStr">
        <is>
          <t>B · INTEGRANTE</t>
        </is>
      </c>
      <c r="U254" s="11" t="inlineStr">
        <is>
          <t>DEL BANCO (se hereda)</t>
        </is>
      </c>
      <c r="V254" s="11" t="inlineStr">
        <is>
          <t>9154 · OTRAS ACTIVIDADES NO CLASIFICADAS</t>
        </is>
      </c>
      <c r="W254" s="12" t="n"/>
      <c r="X254" s="12" t="n"/>
    </row>
    <row r="255" ht="15" customHeight="1">
      <c r="C255" t="inlineStr">
        <is>
          <t>Actividad económica / giro mercantil</t>
        </is>
      </c>
      <c r="D255" t="inlineStr">
        <is>
          <t>F12</t>
        </is>
      </c>
      <c r="E255" t="inlineStr">
        <is>
          <t>INHERENTE</t>
        </is>
      </c>
      <c r="F255" t="inlineStr">
        <is>
          <t>CAPTURA DE MAMIFEROS ANFIBIOS Y DIVERSOS INVERTEBRADOS DE MAR</t>
        </is>
      </c>
      <c r="G255" t="n">
        <v>439019</v>
      </c>
      <c r="H255" t="n">
        <v>1</v>
      </c>
      <c r="I255" t="n">
        <v>1</v>
      </c>
      <c r="J255" t="n">
        <v>8</v>
      </c>
      <c r="K255" t="n">
        <v>8</v>
      </c>
      <c r="L255" t="n">
        <v>8</v>
      </c>
      <c r="M255" t="n">
        <v>8</v>
      </c>
      <c r="N255" t="n">
        <v>8</v>
      </c>
      <c r="O255" t="n">
        <v>40</v>
      </c>
      <c r="P255" t="n">
        <v>8</v>
      </c>
      <c r="R255" s="9" t="n">
        <v>0.08</v>
      </c>
      <c r="S255" s="10" t="inlineStr">
        <is>
          <t>SÍ — integrante</t>
        </is>
      </c>
      <c r="T255" s="11" t="inlineStr">
        <is>
          <t>B · INTEGRANTE</t>
        </is>
      </c>
      <c r="U255" s="11" t="inlineStr">
        <is>
          <t>DEL BANCO (se hereda)</t>
        </is>
      </c>
      <c r="V255" s="11" t="inlineStr">
        <is>
          <t>9154 · OTRAS ACTIVIDADES NO CLASIFICADAS</t>
        </is>
      </c>
      <c r="W255" s="12" t="n"/>
      <c r="X255" s="12" t="n"/>
    </row>
    <row r="256" ht="15" customHeight="1">
      <c r="C256" t="inlineStr">
        <is>
          <t>Actividad económica / giro mercantil</t>
        </is>
      </c>
      <c r="D256" t="inlineStr">
        <is>
          <t>F12</t>
        </is>
      </c>
      <c r="E256" t="inlineStr">
        <is>
          <t>INHERENTE</t>
        </is>
      </c>
      <c r="F256" t="inlineStr">
        <is>
          <t>RECOLECCION DE CONCHAS HUEVOS CORALES ESPONJAS Y PERLAS</t>
        </is>
      </c>
      <c r="G256" t="n">
        <v>441014</v>
      </c>
      <c r="H256" t="n">
        <v>1</v>
      </c>
      <c r="I256" t="n">
        <v>1</v>
      </c>
      <c r="J256" t="n">
        <v>8</v>
      </c>
      <c r="K256" t="n">
        <v>8</v>
      </c>
      <c r="L256" t="n">
        <v>8</v>
      </c>
      <c r="M256" t="n">
        <v>8</v>
      </c>
      <c r="N256" t="n">
        <v>8</v>
      </c>
      <c r="O256" t="n">
        <v>40</v>
      </c>
      <c r="P256" t="n">
        <v>8</v>
      </c>
      <c r="R256" s="9" t="n">
        <v>0.08</v>
      </c>
      <c r="S256" s="10" t="inlineStr">
        <is>
          <t>SÍ — integrante</t>
        </is>
      </c>
      <c r="T256" s="11" t="inlineStr">
        <is>
          <t>B · INTEGRANTE</t>
        </is>
      </c>
      <c r="U256" s="11" t="inlineStr">
        <is>
          <t>DEL BANCO (se hereda)</t>
        </is>
      </c>
      <c r="V256" s="11" t="inlineStr">
        <is>
          <t>9154 · OTRAS ACTIVIDADES NO CLASIFICADAS</t>
        </is>
      </c>
      <c r="W256" s="12" t="n"/>
      <c r="X256" s="12" t="n"/>
    </row>
    <row r="257" ht="15" customHeight="1">
      <c r="C257" t="inlineStr">
        <is>
          <t>Actividad económica / giro mercantil</t>
        </is>
      </c>
      <c r="D257" t="inlineStr">
        <is>
          <t>F12</t>
        </is>
      </c>
      <c r="E257" t="inlineStr">
        <is>
          <t>INHERENTE</t>
        </is>
      </c>
      <c r="F257" t="inlineStr">
        <is>
          <t>RECOLECCION DE ALGAS Y OTRAS PLANTAS ACUATICAS</t>
        </is>
      </c>
      <c r="G257" t="n">
        <v>442012</v>
      </c>
      <c r="H257" t="n">
        <v>1</v>
      </c>
      <c r="I257" t="n">
        <v>1</v>
      </c>
      <c r="J257" t="n">
        <v>8</v>
      </c>
      <c r="K257" t="n">
        <v>8</v>
      </c>
      <c r="L257" t="n">
        <v>8</v>
      </c>
      <c r="M257" t="n">
        <v>8</v>
      </c>
      <c r="N257" t="n">
        <v>8</v>
      </c>
      <c r="O257" t="n">
        <v>40</v>
      </c>
      <c r="P257" t="n">
        <v>8</v>
      </c>
      <c r="R257" s="9" t="n">
        <v>0.08</v>
      </c>
      <c r="S257" s="10" t="inlineStr">
        <is>
          <t>SÍ — integrante</t>
        </is>
      </c>
      <c r="T257" s="11" t="inlineStr">
        <is>
          <t>B · INTEGRANTE</t>
        </is>
      </c>
      <c r="U257" s="11" t="inlineStr">
        <is>
          <t>DEL BANCO (se hereda)</t>
        </is>
      </c>
      <c r="V257" s="11" t="inlineStr">
        <is>
          <t>9152 · INDUSTRIA Y MANUFACTURA</t>
        </is>
      </c>
      <c r="W257" s="12" t="n"/>
      <c r="X257" s="12" t="n"/>
    </row>
    <row r="258" ht="15" customHeight="1">
      <c r="C258" t="inlineStr">
        <is>
          <t>Actividad económica / giro mercantil</t>
        </is>
      </c>
      <c r="D258" t="inlineStr">
        <is>
          <t>F12</t>
        </is>
      </c>
      <c r="E258" t="inlineStr">
        <is>
          <t>INHERENTE</t>
        </is>
      </c>
      <c r="F258" t="inlineStr">
        <is>
          <t>CAPTURA DE PECES EN RIOS  LAGOS Y ESTUARIOS</t>
        </is>
      </c>
      <c r="G258" t="n">
        <v>451013</v>
      </c>
      <c r="H258" t="n">
        <v>1</v>
      </c>
      <c r="I258" t="n">
        <v>1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40</v>
      </c>
      <c r="P258" t="n">
        <v>8</v>
      </c>
      <c r="R258" s="9" t="n">
        <v>0.08</v>
      </c>
      <c r="S258" s="10" t="inlineStr">
        <is>
          <t>SÍ — integrante</t>
        </is>
      </c>
      <c r="T258" s="11" t="inlineStr">
        <is>
          <t>B · INTEGRANTE</t>
        </is>
      </c>
      <c r="U258" s="11" t="inlineStr">
        <is>
          <t>DEL BANCO (se hereda)</t>
        </is>
      </c>
      <c r="V258" s="11" t="inlineStr">
        <is>
          <t>9154 · OTRAS ACTIVIDADES NO CLASIFICADAS</t>
        </is>
      </c>
      <c r="W258" s="12" t="n"/>
      <c r="X258" s="12" t="n"/>
    </row>
    <row r="259" ht="15" customHeight="1">
      <c r="C259" t="inlineStr">
        <is>
          <t>Actividad económica / giro mercantil</t>
        </is>
      </c>
      <c r="D259" t="inlineStr">
        <is>
          <t>F12</t>
        </is>
      </c>
      <c r="E259" t="inlineStr">
        <is>
          <t>INHERENTE</t>
        </is>
      </c>
      <c r="F259" t="inlineStr">
        <is>
          <t>CAPTURA DE CRUSTACEOS MOLUSCOS REPTILES ANFIBIOS Y OTRA FAUNA DE AGUA DULCE</t>
        </is>
      </c>
      <c r="G259" t="n">
        <v>452011</v>
      </c>
      <c r="H259" t="n">
        <v>1</v>
      </c>
      <c r="I259" t="n">
        <v>1</v>
      </c>
      <c r="J259" t="n">
        <v>8</v>
      </c>
      <c r="K259" t="n">
        <v>8</v>
      </c>
      <c r="L259" t="n">
        <v>8</v>
      </c>
      <c r="M259" t="n">
        <v>8</v>
      </c>
      <c r="N259" t="n">
        <v>8</v>
      </c>
      <c r="O259" t="n">
        <v>40</v>
      </c>
      <c r="P259" t="n">
        <v>8</v>
      </c>
      <c r="R259" s="9" t="n">
        <v>0.08</v>
      </c>
      <c r="S259" s="10" t="inlineStr">
        <is>
          <t>SÍ — integrante</t>
        </is>
      </c>
      <c r="T259" s="11" t="inlineStr">
        <is>
          <t>B · INTEGRANTE</t>
        </is>
      </c>
      <c r="U259" s="11" t="inlineStr">
        <is>
          <t>DEL BANCO (se hereda)</t>
        </is>
      </c>
      <c r="V259" s="11" t="inlineStr">
        <is>
          <t>9154 · OTRAS ACTIVIDADES NO CLASIFICADAS</t>
        </is>
      </c>
      <c r="W259" s="12" t="n"/>
      <c r="X259" s="12" t="n"/>
    </row>
    <row r="260" ht="15" customHeight="1">
      <c r="C260" t="inlineStr">
        <is>
          <t>Actividad económica / giro mercantil</t>
        </is>
      </c>
      <c r="D260" t="inlineStr">
        <is>
          <t>F12</t>
        </is>
      </c>
      <c r="E260" t="inlineStr">
        <is>
          <t>INHERENTE</t>
        </is>
      </c>
      <c r="F260" t="inlineStr">
        <is>
          <t>CRIA Y EXPLOTACION DE OSTRAS</t>
        </is>
      </c>
      <c r="G260" t="n">
        <v>459017</v>
      </c>
      <c r="H260" t="n">
        <v>2</v>
      </c>
      <c r="I260" t="n">
        <v>2</v>
      </c>
      <c r="J260" t="n">
        <v>8</v>
      </c>
      <c r="K260" t="n">
        <v>16</v>
      </c>
      <c r="L260" t="n">
        <v>16</v>
      </c>
      <c r="M260" t="n">
        <v>16</v>
      </c>
      <c r="N260" t="n">
        <v>16</v>
      </c>
      <c r="O260" t="n">
        <v>40</v>
      </c>
      <c r="P260" t="n">
        <v>8</v>
      </c>
      <c r="R260" s="9" t="n">
        <v>0.08</v>
      </c>
      <c r="S260" s="10" t="inlineStr">
        <is>
          <t>SÍ — integrante</t>
        </is>
      </c>
      <c r="T260" s="11" t="inlineStr">
        <is>
          <t>B · INTEGRANTE</t>
        </is>
      </c>
      <c r="U260" s="11" t="inlineStr">
        <is>
          <t>DEL BANCO (se hereda)</t>
        </is>
      </c>
      <c r="V260" s="11" t="inlineStr">
        <is>
          <t>9151 · SECTOR PRIMARIO (agropecuario, pesca, forestal, minería)</t>
        </is>
      </c>
      <c r="W260" s="12" t="n"/>
      <c r="X260" s="12" t="n"/>
    </row>
    <row r="261" ht="15" customHeight="1">
      <c r="C261" t="inlineStr">
        <is>
          <t>Actividad económica / giro mercantil</t>
        </is>
      </c>
      <c r="D261" t="inlineStr">
        <is>
          <t>F12</t>
        </is>
      </c>
      <c r="E261" t="inlineStr">
        <is>
          <t>INHERENTE</t>
        </is>
      </c>
      <c r="F261" t="inlineStr">
        <is>
          <t>CRIA Y EXPLOTACION DE PECES  OTRAS ESPECIES ANIMALES Y PLANTAS ACUATICAS</t>
        </is>
      </c>
      <c r="G261" t="n">
        <v>459025</v>
      </c>
      <c r="H261" t="n">
        <v>2</v>
      </c>
      <c r="I261" t="n">
        <v>2</v>
      </c>
      <c r="J261" t="n">
        <v>8</v>
      </c>
      <c r="K261" t="n">
        <v>16</v>
      </c>
      <c r="L261" t="n">
        <v>16</v>
      </c>
      <c r="M261" t="n">
        <v>16</v>
      </c>
      <c r="N261" t="n">
        <v>16</v>
      </c>
      <c r="O261" t="n">
        <v>40</v>
      </c>
      <c r="P261" t="n">
        <v>8</v>
      </c>
      <c r="R261" s="9" t="n">
        <v>0.08</v>
      </c>
      <c r="S261" s="10" t="inlineStr">
        <is>
          <t>SÍ — integrante</t>
        </is>
      </c>
      <c r="T261" s="11" t="inlineStr">
        <is>
          <t>B · INTEGRANTE</t>
        </is>
      </c>
      <c r="U261" s="11" t="inlineStr">
        <is>
          <t>DEL BANCO (se hereda)</t>
        </is>
      </c>
      <c r="V261" s="11" t="inlineStr">
        <is>
          <t>9151 · SECTOR PRIMARIO (agropecuario, pesca, forestal, minería)</t>
        </is>
      </c>
      <c r="W261" s="12" t="n"/>
      <c r="X261" s="12" t="n"/>
    </row>
    <row r="262" ht="15" customHeight="1">
      <c r="C262" t="inlineStr">
        <is>
          <t>Actividad económica / giro mercantil</t>
        </is>
      </c>
      <c r="D262" t="inlineStr">
        <is>
          <t>F12</t>
        </is>
      </c>
      <c r="E262" t="inlineStr">
        <is>
          <t>INHERENTE</t>
        </is>
      </c>
      <c r="F262" t="inlineStr">
        <is>
          <t>SERVICIOS DE PESQUERIAS MARITIMAS Y DE AGUA DULCE POR CONTRATO</t>
        </is>
      </c>
      <c r="G262" t="n">
        <v>491019</v>
      </c>
      <c r="H262" t="n">
        <v>1</v>
      </c>
      <c r="I262" t="n">
        <v>1</v>
      </c>
      <c r="J262" t="n">
        <v>8</v>
      </c>
      <c r="K262" t="n">
        <v>8</v>
      </c>
      <c r="L262" t="n">
        <v>8</v>
      </c>
      <c r="M262" t="n">
        <v>8</v>
      </c>
      <c r="N262" t="n">
        <v>8</v>
      </c>
      <c r="O262" t="n">
        <v>40</v>
      </c>
      <c r="P262" t="n">
        <v>8</v>
      </c>
      <c r="R262" s="9" t="n">
        <v>0.08</v>
      </c>
      <c r="S262" s="10" t="inlineStr">
        <is>
          <t>SÍ — integrante</t>
        </is>
      </c>
      <c r="T262" s="11" t="inlineStr">
        <is>
          <t>B · INTEGRANTE</t>
        </is>
      </c>
      <c r="U262" s="11" t="inlineStr">
        <is>
          <t>DEL BANCO (se hereda)</t>
        </is>
      </c>
      <c r="V262" s="11" t="inlineStr">
        <is>
          <t>9154 · OTRAS ACTIVIDADES NO CLASIFICADAS</t>
        </is>
      </c>
      <c r="W262" s="12" t="n"/>
      <c r="X262" s="12" t="n"/>
    </row>
    <row r="263" ht="15" customHeight="1">
      <c r="C263" t="inlineStr">
        <is>
          <t>Actividad económica / giro mercantil</t>
        </is>
      </c>
      <c r="D263" t="inlineStr">
        <is>
          <t>F12</t>
        </is>
      </c>
      <c r="E263" t="inlineStr">
        <is>
          <t>INHERENTE</t>
        </is>
      </c>
      <c r="F263" t="inlineStr">
        <is>
          <t>CAZA</t>
        </is>
      </c>
      <c r="G263" t="n">
        <v>500000</v>
      </c>
      <c r="H263" t="n">
        <v>1</v>
      </c>
      <c r="I263" t="n">
        <v>1</v>
      </c>
      <c r="J263" t="n">
        <v>8</v>
      </c>
      <c r="K263" t="n">
        <v>8</v>
      </c>
      <c r="L263" t="n">
        <v>8</v>
      </c>
      <c r="M263" t="n">
        <v>8</v>
      </c>
      <c r="N263" t="n">
        <v>8</v>
      </c>
      <c r="O263" t="n">
        <v>40</v>
      </c>
      <c r="P263" t="n">
        <v>8</v>
      </c>
      <c r="R263" s="9" t="n">
        <v>0.08</v>
      </c>
      <c r="S263" s="10" t="inlineStr">
        <is>
          <t>SÍ — integrante</t>
        </is>
      </c>
      <c r="T263" s="11" t="inlineStr">
        <is>
          <t>B · INTEGRANTE</t>
        </is>
      </c>
      <c r="U263" s="11" t="inlineStr">
        <is>
          <t>DEL BANCO (se hereda)</t>
        </is>
      </c>
      <c r="V263" s="11" t="inlineStr">
        <is>
          <t>9151 · SECTOR PRIMARIO (agropecuario, pesca, forestal, minería)</t>
        </is>
      </c>
      <c r="W263" s="12" t="n"/>
      <c r="X263" s="12" t="n"/>
    </row>
    <row r="264" ht="15" customHeight="1">
      <c r="C264" t="inlineStr">
        <is>
          <t>Actividad económica / giro mercantil</t>
        </is>
      </c>
      <c r="D264" t="inlineStr">
        <is>
          <t>F12</t>
        </is>
      </c>
      <c r="E264" t="inlineStr">
        <is>
          <t>INHERENTE</t>
        </is>
      </c>
      <c r="F264" t="inlineStr">
        <is>
          <t>73. Administración publica y defens</t>
        </is>
      </c>
      <c r="G264" t="n">
        <v>500173</v>
      </c>
      <c r="H264" t="n">
        <v>2</v>
      </c>
      <c r="I264" t="n">
        <v>2</v>
      </c>
      <c r="J264" t="n">
        <v>8</v>
      </c>
      <c r="K264" t="n">
        <v>16</v>
      </c>
      <c r="L264" t="n">
        <v>16</v>
      </c>
      <c r="M264" t="n">
        <v>16</v>
      </c>
      <c r="N264" t="n">
        <v>16</v>
      </c>
      <c r="O264" t="n">
        <v>40</v>
      </c>
      <c r="P264" t="n">
        <v>8</v>
      </c>
      <c r="R264" s="9" t="n">
        <v>0.08</v>
      </c>
      <c r="S264" s="10" t="inlineStr">
        <is>
          <t>SÍ — integrante</t>
        </is>
      </c>
      <c r="T264" s="11" t="inlineStr">
        <is>
          <t>B · INTEGRANTE</t>
        </is>
      </c>
      <c r="U264" s="11" t="inlineStr">
        <is>
          <t>DEL BANCO (se hereda)</t>
        </is>
      </c>
      <c r="V264" s="11" t="inlineStr">
        <is>
          <t>9154 · OTRAS ACTIVIDADES NO CLASIFICADAS</t>
        </is>
      </c>
      <c r="W264" s="12" t="n"/>
      <c r="X264" s="12" t="n"/>
    </row>
    <row r="265" ht="15" customHeight="1">
      <c r="C265" t="inlineStr">
        <is>
          <t>Actividad económica / giro mercantil</t>
        </is>
      </c>
      <c r="D265" t="inlineStr">
        <is>
          <t>F12</t>
        </is>
      </c>
      <c r="E265" t="inlineStr">
        <is>
          <t>INHERENTE</t>
        </is>
      </c>
      <c r="F265" t="inlineStr">
        <is>
          <t>Organizaciones de caridad.</t>
        </is>
      </c>
      <c r="G265" t="n">
        <v>500174</v>
      </c>
      <c r="H265" t="n">
        <v>5</v>
      </c>
      <c r="I265" t="n">
        <v>5</v>
      </c>
      <c r="J265" t="n">
        <v>8</v>
      </c>
      <c r="K265" t="n">
        <v>40</v>
      </c>
      <c r="L265" t="n">
        <v>40</v>
      </c>
      <c r="M265" t="n">
        <v>40</v>
      </c>
      <c r="N265" t="n">
        <v>40</v>
      </c>
      <c r="O265" t="n">
        <v>40</v>
      </c>
      <c r="P265" t="n">
        <v>8</v>
      </c>
      <c r="Q265" t="inlineStr">
        <is>
          <t>DETERMINANTE</t>
        </is>
      </c>
      <c r="R265" s="9" t="n">
        <v>0.08</v>
      </c>
      <c r="S265" s="10" t="inlineStr">
        <is>
          <t>SÍ — integrante</t>
        </is>
      </c>
      <c r="T265" s="11" t="inlineStr">
        <is>
          <t>B · INTEGRANTE</t>
        </is>
      </c>
      <c r="U265" s="11" t="inlineStr">
        <is>
          <t>DEL BANCO (se hereda)</t>
        </is>
      </c>
      <c r="V265" s="11" t="inlineStr">
        <is>
          <t>9154 · OTRAS ACTIVIDADES NO CLASIFICADAS</t>
        </is>
      </c>
      <c r="W265" s="12" t="n"/>
      <c r="X265" s="12" t="n"/>
    </row>
    <row r="266" ht="15" customHeight="1">
      <c r="C266" t="inlineStr">
        <is>
          <t>Actividad económica / giro mercantil</t>
        </is>
      </c>
      <c r="D266" t="inlineStr">
        <is>
          <t>F12</t>
        </is>
      </c>
      <c r="E266" t="inlineStr">
        <is>
          <t>INHERENTE</t>
        </is>
      </c>
      <c r="F266" t="inlineStr">
        <is>
          <t>Organizaciones religiosas.</t>
        </is>
      </c>
      <c r="G266" t="n">
        <v>500175</v>
      </c>
      <c r="H266" t="n">
        <v>5</v>
      </c>
      <c r="I266" t="n">
        <v>5</v>
      </c>
      <c r="J266" t="n">
        <v>8</v>
      </c>
      <c r="K266" t="n">
        <v>40</v>
      </c>
      <c r="L266" t="n">
        <v>40</v>
      </c>
      <c r="M266" t="n">
        <v>40</v>
      </c>
      <c r="N266" t="n">
        <v>40</v>
      </c>
      <c r="O266" t="n">
        <v>40</v>
      </c>
      <c r="P266" t="n">
        <v>8</v>
      </c>
      <c r="Q266" t="inlineStr">
        <is>
          <t>DETERMINANTE</t>
        </is>
      </c>
      <c r="R266" s="9" t="n">
        <v>0.08</v>
      </c>
      <c r="S266" s="10" t="inlineStr">
        <is>
          <t>SÍ — integrante</t>
        </is>
      </c>
      <c r="T266" s="11" t="inlineStr">
        <is>
          <t>B · INTEGRANTE</t>
        </is>
      </c>
      <c r="U266" s="11" t="inlineStr">
        <is>
          <t>DEL BANCO (se hereda)</t>
        </is>
      </c>
      <c r="V266" s="11" t="inlineStr">
        <is>
          <t>9154 · OTRAS ACTIVIDADES NO CLASIFICADAS</t>
        </is>
      </c>
      <c r="W266" s="12" t="n"/>
      <c r="X266" s="12" t="n"/>
    </row>
    <row r="267" ht="15" customHeight="1">
      <c r="C267" t="inlineStr">
        <is>
          <t>Actividad económica / giro mercantil</t>
        </is>
      </c>
      <c r="D267" t="inlineStr">
        <is>
          <t>F12</t>
        </is>
      </c>
      <c r="E267" t="inlineStr">
        <is>
          <t>INHERENTE</t>
        </is>
      </c>
      <c r="F267" t="inlineStr">
        <is>
          <t>Partidos u organizaciones políticas.</t>
        </is>
      </c>
      <c r="G267" t="n">
        <v>500176</v>
      </c>
      <c r="H267" t="n">
        <v>5</v>
      </c>
      <c r="I267" t="n">
        <v>5</v>
      </c>
      <c r="J267" t="n">
        <v>8</v>
      </c>
      <c r="K267" t="n">
        <v>40</v>
      </c>
      <c r="L267" t="n">
        <v>40</v>
      </c>
      <c r="M267" t="n">
        <v>40</v>
      </c>
      <c r="N267" t="n">
        <v>40</v>
      </c>
      <c r="O267" t="n">
        <v>40</v>
      </c>
      <c r="P267" t="n">
        <v>8</v>
      </c>
      <c r="Q267" t="inlineStr">
        <is>
          <t>DETERMINANTE</t>
        </is>
      </c>
      <c r="R267" s="9" t="n">
        <v>0.08</v>
      </c>
      <c r="S267" s="10" t="inlineStr">
        <is>
          <t>SÍ — integrante</t>
        </is>
      </c>
      <c r="T267" s="11" t="inlineStr">
        <is>
          <t>B · INTEGRANTE</t>
        </is>
      </c>
      <c r="U267" s="11" t="inlineStr">
        <is>
          <t>DEL BANCO (se hereda)</t>
        </is>
      </c>
      <c r="V267" s="11" t="inlineStr">
        <is>
          <t>9154 · OTRAS ACTIVIDADES NO CLASIFICADAS</t>
        </is>
      </c>
      <c r="W267" s="12" t="n"/>
      <c r="X267" s="12" t="n"/>
    </row>
    <row r="268" ht="15" customHeight="1">
      <c r="C268" t="inlineStr">
        <is>
          <t>Actividad económica / giro mercantil</t>
        </is>
      </c>
      <c r="D268" t="inlineStr">
        <is>
          <t>F12</t>
        </is>
      </c>
      <c r="E268" t="inlineStr">
        <is>
          <t>INHERENTE</t>
        </is>
      </c>
      <c r="F268" t="inlineStr">
        <is>
          <t>Sindicatos.</t>
        </is>
      </c>
      <c r="G268" t="n">
        <v>500177</v>
      </c>
      <c r="H268" t="n">
        <v>5</v>
      </c>
      <c r="I268" t="n">
        <v>5</v>
      </c>
      <c r="J268" t="n">
        <v>8</v>
      </c>
      <c r="K268" t="n">
        <v>40</v>
      </c>
      <c r="L268" t="n">
        <v>40</v>
      </c>
      <c r="M268" t="n">
        <v>40</v>
      </c>
      <c r="N268" t="n">
        <v>40</v>
      </c>
      <c r="O268" t="n">
        <v>40</v>
      </c>
      <c r="P268" t="n">
        <v>8</v>
      </c>
      <c r="Q268" t="inlineStr">
        <is>
          <t>DETERMINANTE</t>
        </is>
      </c>
      <c r="R268" s="9" t="n">
        <v>0.08</v>
      </c>
      <c r="S268" s="10" t="inlineStr">
        <is>
          <t>SÍ — integrante</t>
        </is>
      </c>
      <c r="T268" s="11" t="inlineStr">
        <is>
          <t>B · INTEGRANTE</t>
        </is>
      </c>
      <c r="U268" s="11" t="inlineStr">
        <is>
          <t>DEL BANCO (se hereda)</t>
        </is>
      </c>
      <c r="V268" s="11" t="inlineStr">
        <is>
          <t>9153 · GOBIERNO Y SECTOR PÚBLICO</t>
        </is>
      </c>
      <c r="W268" s="12" t="n"/>
      <c r="X268" s="12" t="n"/>
    </row>
    <row r="269" ht="15" customHeight="1">
      <c r="C269" t="inlineStr">
        <is>
          <t>Actividad económica / giro mercantil</t>
        </is>
      </c>
      <c r="D269" t="inlineStr">
        <is>
          <t>F12</t>
        </is>
      </c>
      <c r="E269" t="inlineStr">
        <is>
          <t>INHERENTE</t>
        </is>
      </c>
      <c r="F269" t="inlineStr">
        <is>
          <t>ORGANIZACIONES CIVICAS</t>
        </is>
      </c>
      <c r="G269" t="n">
        <v>500178</v>
      </c>
      <c r="H269" t="n">
        <v>5</v>
      </c>
      <c r="I269" t="n">
        <v>5</v>
      </c>
      <c r="J269" t="n">
        <v>8</v>
      </c>
      <c r="K269" t="n">
        <v>40</v>
      </c>
      <c r="L269" t="n">
        <v>40</v>
      </c>
      <c r="M269" t="n">
        <v>40</v>
      </c>
      <c r="N269" t="n">
        <v>40</v>
      </c>
      <c r="O269" t="n">
        <v>40</v>
      </c>
      <c r="P269" t="n">
        <v>8</v>
      </c>
      <c r="Q269" t="inlineStr">
        <is>
          <t>DETERMINANTE</t>
        </is>
      </c>
      <c r="R269" s="9" t="n">
        <v>0.08</v>
      </c>
      <c r="S269" s="10" t="inlineStr">
        <is>
          <t>SÍ — integrante</t>
        </is>
      </c>
      <c r="T269" s="11" t="inlineStr">
        <is>
          <t>B · INTEGRANTE</t>
        </is>
      </c>
      <c r="U269" s="11" t="inlineStr">
        <is>
          <t>DEL BANCO (se hereda)</t>
        </is>
      </c>
      <c r="V269" s="11" t="inlineStr">
        <is>
          <t>9154 · OTRAS ACTIVIDADES NO CLASIFICADAS</t>
        </is>
      </c>
      <c r="W269" s="12" t="n"/>
      <c r="X269" s="12" t="n"/>
    </row>
    <row r="270" ht="15" customHeight="1">
      <c r="C270" t="inlineStr">
        <is>
          <t>Actividad económica / giro mercantil</t>
        </is>
      </c>
      <c r="D270" t="inlineStr">
        <is>
          <t>F12</t>
        </is>
      </c>
      <c r="E270" t="inlineStr">
        <is>
          <t>INHERENTE</t>
        </is>
      </c>
      <c r="F270" t="inlineStr">
        <is>
          <t>ORGANIZACIONES LABORALES Y SINDICALES</t>
        </is>
      </c>
      <c r="G270" t="n">
        <v>500179</v>
      </c>
      <c r="H270" t="n">
        <v>5</v>
      </c>
      <c r="I270" t="n">
        <v>5</v>
      </c>
      <c r="J270" t="n">
        <v>8</v>
      </c>
      <c r="K270" t="n">
        <v>40</v>
      </c>
      <c r="L270" t="n">
        <v>40</v>
      </c>
      <c r="M270" t="n">
        <v>40</v>
      </c>
      <c r="N270" t="n">
        <v>40</v>
      </c>
      <c r="O270" t="n">
        <v>40</v>
      </c>
      <c r="P270" t="n">
        <v>8</v>
      </c>
      <c r="Q270" t="inlineStr">
        <is>
          <t>PROHIBITIVO</t>
        </is>
      </c>
      <c r="R270" s="9" t="n">
        <v>0.08</v>
      </c>
      <c r="S270" s="10" t="inlineStr">
        <is>
          <t>SÍ — integrante</t>
        </is>
      </c>
      <c r="T270" s="11" t="inlineStr">
        <is>
          <t>B · INTEGRANTE</t>
        </is>
      </c>
      <c r="U270" s="11" t="inlineStr">
        <is>
          <t>DEL BANCO (se hereda)</t>
        </is>
      </c>
      <c r="V270" s="11" t="inlineStr">
        <is>
          <t>9154 · OTRAS ACTIVIDADES NO CLASIFICADAS</t>
        </is>
      </c>
      <c r="W270" s="12" t="n"/>
      <c r="X270" s="12" t="n"/>
    </row>
    <row r="271" ht="15" customHeight="1">
      <c r="C271" t="inlineStr">
        <is>
          <t>Actividad económica / giro mercantil</t>
        </is>
      </c>
      <c r="D271" t="inlineStr">
        <is>
          <t>F12</t>
        </is>
      </c>
      <c r="E271" t="inlineStr">
        <is>
          <t>INHERENTE</t>
        </is>
      </c>
      <c r="F271" t="inlineStr">
        <is>
          <t>ORGANIZACIONES POLITICAS</t>
        </is>
      </c>
      <c r="G271" t="n">
        <v>500180</v>
      </c>
      <c r="H271" t="n">
        <v>5</v>
      </c>
      <c r="I271" t="n">
        <v>5</v>
      </c>
      <c r="J271" t="n">
        <v>8</v>
      </c>
      <c r="K271" t="n">
        <v>40</v>
      </c>
      <c r="L271" t="n">
        <v>40</v>
      </c>
      <c r="M271" t="n">
        <v>40</v>
      </c>
      <c r="N271" t="n">
        <v>40</v>
      </c>
      <c r="O271" t="n">
        <v>40</v>
      </c>
      <c r="P271" t="n">
        <v>8</v>
      </c>
      <c r="Q271" t="inlineStr">
        <is>
          <t>DETERMINANTE</t>
        </is>
      </c>
      <c r="R271" s="9" t="n">
        <v>0.08</v>
      </c>
      <c r="S271" s="10" t="inlineStr">
        <is>
          <t>SÍ — integrante</t>
        </is>
      </c>
      <c r="T271" s="11" t="inlineStr">
        <is>
          <t>B · INTEGRANTE</t>
        </is>
      </c>
      <c r="U271" s="11" t="inlineStr">
        <is>
          <t>DEL BANCO (se hereda)</t>
        </is>
      </c>
      <c r="V271" s="11" t="inlineStr">
        <is>
          <t>9154 · OTRAS ACTIVIDADES NO CLASIFICADAS</t>
        </is>
      </c>
      <c r="W271" s="12" t="n"/>
      <c r="X271" s="12" t="n"/>
    </row>
    <row r="272" ht="15" customHeight="1">
      <c r="C272" t="inlineStr">
        <is>
          <t>Actividad económica / giro mercantil</t>
        </is>
      </c>
      <c r="D272" t="inlineStr">
        <is>
          <t>F12</t>
        </is>
      </c>
      <c r="E272" t="inlineStr">
        <is>
          <t>INHERENTE</t>
        </is>
      </c>
      <c r="F272" t="inlineStr">
        <is>
          <t>GOBIERNO FEDERAL</t>
        </is>
      </c>
      <c r="G272" t="n">
        <v>500181</v>
      </c>
      <c r="H272" t="n">
        <v>2</v>
      </c>
      <c r="I272" t="n">
        <v>2</v>
      </c>
      <c r="J272" t="n">
        <v>8</v>
      </c>
      <c r="K272" t="n">
        <v>16</v>
      </c>
      <c r="L272" t="n">
        <v>16</v>
      </c>
      <c r="M272" t="n">
        <v>16</v>
      </c>
      <c r="N272" t="n">
        <v>16</v>
      </c>
      <c r="O272" t="n">
        <v>40</v>
      </c>
      <c r="P272" t="n">
        <v>8</v>
      </c>
      <c r="R272" s="9" t="n">
        <v>0.08</v>
      </c>
      <c r="S272" s="10" t="inlineStr">
        <is>
          <t>SÍ — integrante</t>
        </is>
      </c>
      <c r="T272" s="11" t="inlineStr">
        <is>
          <t>B · INTEGRANTE</t>
        </is>
      </c>
      <c r="U272" s="11" t="inlineStr">
        <is>
          <t>DEL BANCO (se hereda)</t>
        </is>
      </c>
      <c r="V272" s="11" t="inlineStr">
        <is>
          <t>9153 · GOBIERNO Y SECTOR PÚBLICO</t>
        </is>
      </c>
      <c r="W272" s="12" t="n"/>
      <c r="X272" s="12" t="n"/>
    </row>
    <row r="273" ht="15" customHeight="1">
      <c r="C273" t="inlineStr">
        <is>
          <t>Actividad económica / giro mercantil</t>
        </is>
      </c>
      <c r="D273" t="inlineStr">
        <is>
          <t>F12</t>
        </is>
      </c>
      <c r="E273" t="inlineStr">
        <is>
          <t>INHERENTE</t>
        </is>
      </c>
      <c r="F273" t="inlineStr">
        <is>
          <t>GOBIERNO ESTATAL</t>
        </is>
      </c>
      <c r="G273" t="n">
        <v>500182</v>
      </c>
      <c r="H273" t="n">
        <v>2</v>
      </c>
      <c r="I273" t="n">
        <v>2</v>
      </c>
      <c r="J273" t="n">
        <v>8</v>
      </c>
      <c r="K273" t="n">
        <v>16</v>
      </c>
      <c r="L273" t="n">
        <v>16</v>
      </c>
      <c r="M273" t="n">
        <v>16</v>
      </c>
      <c r="N273" t="n">
        <v>16</v>
      </c>
      <c r="O273" t="n">
        <v>40</v>
      </c>
      <c r="P273" t="n">
        <v>8</v>
      </c>
      <c r="R273" s="9" t="n">
        <v>0.08</v>
      </c>
      <c r="S273" s="10" t="inlineStr">
        <is>
          <t>SÍ — integrante</t>
        </is>
      </c>
      <c r="T273" s="11" t="inlineStr">
        <is>
          <t>B · INTEGRANTE</t>
        </is>
      </c>
      <c r="U273" s="11" t="inlineStr">
        <is>
          <t>DEL BANCO (se hereda)</t>
        </is>
      </c>
      <c r="V273" s="11" t="inlineStr">
        <is>
          <t>9153 · GOBIERNO Y SECTOR PÚBLICO</t>
        </is>
      </c>
      <c r="W273" s="12" t="n"/>
      <c r="X273" s="12" t="n"/>
    </row>
    <row r="274" ht="15" customHeight="1">
      <c r="C274" t="inlineStr">
        <is>
          <t>Actividad económica / giro mercantil</t>
        </is>
      </c>
      <c r="D274" t="inlineStr">
        <is>
          <t>F12</t>
        </is>
      </c>
      <c r="E274" t="inlineStr">
        <is>
          <t>INHERENTE</t>
        </is>
      </c>
      <c r="F274" t="inlineStr">
        <is>
          <t>GOBIERNO MUNICIPAL</t>
        </is>
      </c>
      <c r="G274" t="n">
        <v>500183</v>
      </c>
      <c r="H274" t="n">
        <v>2</v>
      </c>
      <c r="I274" t="n">
        <v>2</v>
      </c>
      <c r="J274" t="n">
        <v>8</v>
      </c>
      <c r="K274" t="n">
        <v>16</v>
      </c>
      <c r="L274" t="n">
        <v>16</v>
      </c>
      <c r="M274" t="n">
        <v>16</v>
      </c>
      <c r="N274" t="n">
        <v>16</v>
      </c>
      <c r="O274" t="n">
        <v>40</v>
      </c>
      <c r="P274" t="n">
        <v>8</v>
      </c>
      <c r="R274" s="9" t="n">
        <v>0.08</v>
      </c>
      <c r="S274" s="10" t="inlineStr">
        <is>
          <t>SÍ — integrante</t>
        </is>
      </c>
      <c r="T274" s="11" t="inlineStr">
        <is>
          <t>B · INTEGRANTE</t>
        </is>
      </c>
      <c r="U274" s="11" t="inlineStr">
        <is>
          <t>DEL BANCO (se hereda)</t>
        </is>
      </c>
      <c r="V274" s="11" t="inlineStr">
        <is>
          <t>9153 · GOBIERNO Y SECTOR PÚBLICO</t>
        </is>
      </c>
      <c r="W274" s="12" t="n"/>
      <c r="X274" s="12" t="n"/>
    </row>
    <row r="275" ht="15" customHeight="1">
      <c r="C275" t="inlineStr">
        <is>
          <t>Actividad económica / giro mercantil</t>
        </is>
      </c>
      <c r="D275" t="inlineStr">
        <is>
          <t>F12</t>
        </is>
      </c>
      <c r="E275" t="inlineStr">
        <is>
          <t>INHERENTE</t>
        </is>
      </c>
      <c r="F275" t="inlineStr">
        <is>
          <t>CAPTURA Y PRESERVACION DE ESPECIES ANIMALES SALVAJES</t>
        </is>
      </c>
      <c r="G275" t="n">
        <v>511015</v>
      </c>
      <c r="H275" t="n">
        <v>3</v>
      </c>
      <c r="I275" t="n">
        <v>3</v>
      </c>
      <c r="J275" t="n">
        <v>8</v>
      </c>
      <c r="K275" t="n">
        <v>24</v>
      </c>
      <c r="L275" t="n">
        <v>24</v>
      </c>
      <c r="M275" t="n">
        <v>24</v>
      </c>
      <c r="N275" t="n">
        <v>24</v>
      </c>
      <c r="O275" t="n">
        <v>40</v>
      </c>
      <c r="P275" t="n">
        <v>8</v>
      </c>
      <c r="R275" s="9" t="n">
        <v>0.08</v>
      </c>
      <c r="S275" s="10" t="inlineStr">
        <is>
          <t>SÍ — integrante</t>
        </is>
      </c>
      <c r="T275" s="11" t="inlineStr">
        <is>
          <t>B · INTEGRANTE</t>
        </is>
      </c>
      <c r="U275" s="11" t="inlineStr">
        <is>
          <t>DEL BANCO (se hereda)</t>
        </is>
      </c>
      <c r="V275" s="11" t="inlineStr">
        <is>
          <t>9152 · INDUSTRIA Y MANUFACTURA</t>
        </is>
      </c>
      <c r="W275" s="12" t="n"/>
      <c r="X275" s="12" t="n"/>
    </row>
    <row r="276" ht="15" customHeight="1">
      <c r="C276" t="inlineStr">
        <is>
          <t>Actividad económica / giro mercantil</t>
        </is>
      </c>
      <c r="D276" t="inlineStr">
        <is>
          <t>F12</t>
        </is>
      </c>
      <c r="E276" t="inlineStr">
        <is>
          <t>INHERENTE</t>
        </is>
      </c>
      <c r="F276" t="inlineStr">
        <is>
          <t>EXTRACCIÓN Y BENEFICIO DE CARBÓN MINERAL Y GRAFITO</t>
        </is>
      </c>
      <c r="G276" t="n">
        <v>1100007</v>
      </c>
      <c r="H276" t="n">
        <v>2</v>
      </c>
      <c r="I276" t="n">
        <v>2</v>
      </c>
      <c r="J276" t="n">
        <v>8</v>
      </c>
      <c r="K276" t="n">
        <v>16</v>
      </c>
      <c r="L276" t="n">
        <v>16</v>
      </c>
      <c r="M276" t="n">
        <v>16</v>
      </c>
      <c r="N276" t="n">
        <v>16</v>
      </c>
      <c r="O276" t="n">
        <v>40</v>
      </c>
      <c r="P276" t="n">
        <v>8</v>
      </c>
      <c r="R276" s="9" t="n">
        <v>0.08</v>
      </c>
      <c r="S276" s="10" t="inlineStr">
        <is>
          <t>SÍ — integrante</t>
        </is>
      </c>
      <c r="T276" s="11" t="inlineStr">
        <is>
          <t>B · INTEGRANTE</t>
        </is>
      </c>
      <c r="U276" s="11" t="inlineStr">
        <is>
          <t>DEL BANCO (se hereda)</t>
        </is>
      </c>
      <c r="V276" s="11" t="inlineStr">
        <is>
          <t>9151 · SECTOR PRIMARIO (agropecuario, pesca, forestal, minería)</t>
        </is>
      </c>
      <c r="W276" s="12" t="n"/>
      <c r="X276" s="12" t="n"/>
    </row>
    <row r="277" ht="15" customHeight="1">
      <c r="C277" t="inlineStr">
        <is>
          <t>Actividad económica / giro mercantil</t>
        </is>
      </c>
      <c r="D277" t="inlineStr">
        <is>
          <t>F12</t>
        </is>
      </c>
      <c r="E277" t="inlineStr">
        <is>
          <t>INHERENTE</t>
        </is>
      </c>
      <c r="F277" t="inlineStr">
        <is>
          <t>EXTRACCION Y BENEFICIO DE CARBON MINERAL Y GRAFITO</t>
        </is>
      </c>
      <c r="G277" t="n">
        <v>1111012</v>
      </c>
      <c r="H277" t="n">
        <v>2</v>
      </c>
      <c r="I277" t="n">
        <v>2</v>
      </c>
      <c r="J277" t="n">
        <v>8</v>
      </c>
      <c r="K277" t="n">
        <v>16</v>
      </c>
      <c r="L277" t="n">
        <v>16</v>
      </c>
      <c r="M277" t="n">
        <v>16</v>
      </c>
      <c r="N277" t="n">
        <v>16</v>
      </c>
      <c r="O277" t="n">
        <v>40</v>
      </c>
      <c r="P277" t="n">
        <v>8</v>
      </c>
      <c r="R277" s="9" t="n">
        <v>0.08</v>
      </c>
      <c r="S277" s="10" t="inlineStr">
        <is>
          <t>SÍ — integrante</t>
        </is>
      </c>
      <c r="T277" s="11" t="inlineStr">
        <is>
          <t>B · INTEGRANTE</t>
        </is>
      </c>
      <c r="U277" s="11" t="inlineStr">
        <is>
          <t>DEL BANCO (se hereda)</t>
        </is>
      </c>
      <c r="V277" s="11" t="inlineStr">
        <is>
          <t>9151 · SECTOR PRIMARIO (agropecuario, pesca, forestal, minería)</t>
        </is>
      </c>
      <c r="W277" s="12" t="n"/>
      <c r="X277" s="12" t="n"/>
    </row>
    <row r="278" ht="15" customHeight="1">
      <c r="C278" t="inlineStr">
        <is>
          <t>Actividad económica / giro mercantil</t>
        </is>
      </c>
      <c r="D278" t="inlineStr">
        <is>
          <t>F12</t>
        </is>
      </c>
      <c r="E278" t="inlineStr">
        <is>
          <t>INHERENTE</t>
        </is>
      </c>
      <c r="F278" t="inlineStr">
        <is>
          <t>CULTIVO DE PIÐA</t>
        </is>
      </c>
      <c r="G278" t="n">
        <v>1119033</v>
      </c>
      <c r="H278" t="n">
        <v>2</v>
      </c>
      <c r="I278" t="n">
        <v>2</v>
      </c>
      <c r="J278" t="n">
        <v>8</v>
      </c>
      <c r="K278" t="n">
        <v>16</v>
      </c>
      <c r="L278" t="n">
        <v>16</v>
      </c>
      <c r="M278" t="n">
        <v>16</v>
      </c>
      <c r="N278" t="n">
        <v>16</v>
      </c>
      <c r="O278" t="n">
        <v>40</v>
      </c>
      <c r="P278" t="n">
        <v>8</v>
      </c>
      <c r="R278" s="9" t="n">
        <v>0.08</v>
      </c>
      <c r="S278" s="10" t="inlineStr">
        <is>
          <t>SÍ — integrante</t>
        </is>
      </c>
      <c r="T278" s="11" t="inlineStr">
        <is>
          <t>B · INTEGRANTE</t>
        </is>
      </c>
      <c r="U278" s="11" t="inlineStr">
        <is>
          <t>DEL BANCO (se hereda)</t>
        </is>
      </c>
      <c r="V278" s="11" t="inlineStr">
        <is>
          <t>9151 · SECTOR PRIMARIO (agropecuario, pesca, forestal, minería)</t>
        </is>
      </c>
      <c r="W278" s="12" t="n"/>
      <c r="X278" s="12" t="n"/>
    </row>
    <row r="279" ht="15" customHeight="1">
      <c r="C279" t="inlineStr">
        <is>
          <t>Actividad económica / giro mercantil</t>
        </is>
      </c>
      <c r="D279" t="inlineStr">
        <is>
          <t>F12</t>
        </is>
      </c>
      <c r="E279" t="inlineStr">
        <is>
          <t>INHERENTE</t>
        </is>
      </c>
      <c r="F279" t="inlineStr">
        <is>
          <t>CULTIVO DE CAÐA DE AZUCAR</t>
        </is>
      </c>
      <c r="G279" t="n">
        <v>1122010</v>
      </c>
      <c r="H279" t="n">
        <v>2</v>
      </c>
      <c r="I279" t="n">
        <v>2</v>
      </c>
      <c r="J279" t="n">
        <v>8</v>
      </c>
      <c r="K279" t="n">
        <v>16</v>
      </c>
      <c r="L279" t="n">
        <v>16</v>
      </c>
      <c r="M279" t="n">
        <v>16</v>
      </c>
      <c r="N279" t="n">
        <v>16</v>
      </c>
      <c r="O279" t="n">
        <v>40</v>
      </c>
      <c r="P279" t="n">
        <v>8</v>
      </c>
      <c r="R279" s="9" t="n">
        <v>0.08</v>
      </c>
      <c r="S279" s="10" t="inlineStr">
        <is>
          <t>SÍ — integrante</t>
        </is>
      </c>
      <c r="T279" s="11" t="inlineStr">
        <is>
          <t>B · INTEGRANTE</t>
        </is>
      </c>
      <c r="U279" s="11" t="inlineStr">
        <is>
          <t>DEL BANCO (se hereda)</t>
        </is>
      </c>
      <c r="V279" s="11" t="inlineStr">
        <is>
          <t>9151 · SECTOR PRIMARIO (agropecuario, pesca, forestal, minería)</t>
        </is>
      </c>
      <c r="W279" s="12" t="n"/>
      <c r="X279" s="12" t="n"/>
    </row>
    <row r="280" ht="15" customHeight="1">
      <c r="C280" t="inlineStr">
        <is>
          <t>Actividad económica / giro mercantil</t>
        </is>
      </c>
      <c r="D280" t="inlineStr">
        <is>
          <t>F12</t>
        </is>
      </c>
      <c r="E280" t="inlineStr">
        <is>
          <t>INHERENTE</t>
        </is>
      </c>
      <c r="F280" t="inlineStr">
        <is>
          <t>IRRIGACION DE TIERRAS</t>
        </is>
      </c>
      <c r="G280" t="n">
        <v>1191015</v>
      </c>
      <c r="H280" t="n">
        <v>2</v>
      </c>
      <c r="I280" t="n">
        <v>2</v>
      </c>
      <c r="J280" t="n">
        <v>8</v>
      </c>
      <c r="K280" t="n">
        <v>16</v>
      </c>
      <c r="L280" t="n">
        <v>16</v>
      </c>
      <c r="M280" t="n">
        <v>16</v>
      </c>
      <c r="N280" t="n">
        <v>16</v>
      </c>
      <c r="O280" t="n">
        <v>40</v>
      </c>
      <c r="P280" t="n">
        <v>8</v>
      </c>
      <c r="R280" s="9" t="n">
        <v>0.08</v>
      </c>
      <c r="S280" s="10" t="inlineStr">
        <is>
          <t>SÍ — integrante</t>
        </is>
      </c>
      <c r="T280" s="11" t="inlineStr">
        <is>
          <t>B · INTEGRANTE</t>
        </is>
      </c>
      <c r="U280" s="11" t="inlineStr">
        <is>
          <t>DEL BANCO (se hereda)</t>
        </is>
      </c>
      <c r="V280" s="11" t="inlineStr">
        <is>
          <t>9151 · SECTOR PRIMARIO (agropecuario, pesca, forestal, minería)</t>
        </is>
      </c>
      <c r="W280" s="12" t="n"/>
      <c r="X280" s="12" t="n"/>
    </row>
    <row r="281" ht="15" customHeight="1">
      <c r="C281" t="inlineStr">
        <is>
          <t>Actividad económica / giro mercantil</t>
        </is>
      </c>
      <c r="D281" t="inlineStr">
        <is>
          <t>F12</t>
        </is>
      </c>
      <c r="E281" t="inlineStr">
        <is>
          <t>INHERENTE</t>
        </is>
      </c>
      <c r="F281" t="inlineStr">
        <is>
          <t>EXTRACCIÓN DE PETRÓLEO CRUDO Y GAS NATURAL</t>
        </is>
      </c>
      <c r="G281" t="n">
        <v>1200005</v>
      </c>
      <c r="H281" t="n">
        <v>2</v>
      </c>
      <c r="I281" t="n">
        <v>2</v>
      </c>
      <c r="J281" t="n">
        <v>8</v>
      </c>
      <c r="K281" t="n">
        <v>16</v>
      </c>
      <c r="L281" t="n">
        <v>16</v>
      </c>
      <c r="M281" t="n">
        <v>16</v>
      </c>
      <c r="N281" t="n">
        <v>16</v>
      </c>
      <c r="O281" t="n">
        <v>40</v>
      </c>
      <c r="P281" t="n">
        <v>8</v>
      </c>
      <c r="R281" s="9" t="n">
        <v>0.08</v>
      </c>
      <c r="S281" s="10" t="inlineStr">
        <is>
          <t>SÍ — integrante</t>
        </is>
      </c>
      <c r="T281" s="11" t="inlineStr">
        <is>
          <t>B · INTEGRANTE</t>
        </is>
      </c>
      <c r="U281" s="11" t="inlineStr">
        <is>
          <t>DEL BANCO (se hereda)</t>
        </is>
      </c>
      <c r="V281" s="11" t="inlineStr">
        <is>
          <t>9151 · SECTOR PRIMARIO (agropecuario, pesca, forestal, minería)</t>
        </is>
      </c>
      <c r="W281" s="12" t="n"/>
      <c r="X281" s="12" t="n"/>
    </row>
    <row r="282" ht="15" customHeight="1">
      <c r="C282" t="inlineStr">
        <is>
          <t>Actividad económica / giro mercantil</t>
        </is>
      </c>
      <c r="D282" t="inlineStr">
        <is>
          <t>F12</t>
        </is>
      </c>
      <c r="E282" t="inlineStr">
        <is>
          <t>INHERENTE</t>
        </is>
      </c>
      <c r="F282" t="inlineStr">
        <is>
          <t>EXPLORACION DE PETROLEO POR COMPAÑIAS</t>
        </is>
      </c>
      <c r="G282" t="n">
        <v>1211010</v>
      </c>
      <c r="H282" t="n">
        <v>5</v>
      </c>
      <c r="I282" t="n">
        <v>5</v>
      </c>
      <c r="J282" t="n">
        <v>8</v>
      </c>
      <c r="K282" t="n">
        <v>40</v>
      </c>
      <c r="L282" t="n">
        <v>40</v>
      </c>
      <c r="M282" t="n">
        <v>40</v>
      </c>
      <c r="N282" t="n">
        <v>40</v>
      </c>
      <c r="O282" t="n">
        <v>40</v>
      </c>
      <c r="P282" t="n">
        <v>8</v>
      </c>
      <c r="R282" s="9" t="n">
        <v>0.08</v>
      </c>
      <c r="S282" s="10" t="inlineStr">
        <is>
          <t>SÍ — integrante</t>
        </is>
      </c>
      <c r="T282" s="11" t="inlineStr">
        <is>
          <t>B · INTEGRANTE</t>
        </is>
      </c>
      <c r="U282" s="11" t="inlineStr">
        <is>
          <t>DEL BANCO (se hereda)</t>
        </is>
      </c>
      <c r="V282" s="11" t="inlineStr">
        <is>
          <t>9151 · SECTOR PRIMARIO (agropecuario, pesca, forestal, minería)</t>
        </is>
      </c>
      <c r="W282" s="12" t="n"/>
      <c r="X282" s="12" t="n"/>
    </row>
    <row r="283" ht="15" customHeight="1">
      <c r="C283" t="inlineStr">
        <is>
          <t>Actividad económica / giro mercantil</t>
        </is>
      </c>
      <c r="D283" t="inlineStr">
        <is>
          <t>F12</t>
        </is>
      </c>
      <c r="E283" t="inlineStr">
        <is>
          <t>INHERENTE</t>
        </is>
      </c>
      <c r="F283" t="inlineStr">
        <is>
          <t>EXTRACCION DE PETROLEO CRUDO Y GAS NATURAL</t>
        </is>
      </c>
      <c r="G283" t="n">
        <v>1211028</v>
      </c>
      <c r="H283" t="n">
        <v>5</v>
      </c>
      <c r="I283" t="n">
        <v>5</v>
      </c>
      <c r="J283" t="n">
        <v>8</v>
      </c>
      <c r="K283" t="n">
        <v>40</v>
      </c>
      <c r="L283" t="n">
        <v>40</v>
      </c>
      <c r="M283" t="n">
        <v>40</v>
      </c>
      <c r="N283" t="n">
        <v>40</v>
      </c>
      <c r="O283" t="n">
        <v>40</v>
      </c>
      <c r="P283" t="n">
        <v>8</v>
      </c>
      <c r="R283" s="9" t="n">
        <v>0.08</v>
      </c>
      <c r="S283" s="10" t="inlineStr">
        <is>
          <t>SÍ — integrante</t>
        </is>
      </c>
      <c r="T283" s="11" t="inlineStr">
        <is>
          <t>B · INTEGRANTE</t>
        </is>
      </c>
      <c r="U283" s="11" t="inlineStr">
        <is>
          <t>DEL BANCO (se hereda)</t>
        </is>
      </c>
      <c r="V283" s="11" t="inlineStr">
        <is>
          <t>9151 · SECTOR PRIMARIO (agropecuario, pesca, forestal, minería)</t>
        </is>
      </c>
      <c r="W283" s="12" t="n"/>
      <c r="X283" s="12" t="n"/>
    </row>
    <row r="284" ht="15" customHeight="1">
      <c r="C284" t="inlineStr">
        <is>
          <t>Actividad económica / giro mercantil</t>
        </is>
      </c>
      <c r="D284" t="inlineStr">
        <is>
          <t>F12</t>
        </is>
      </c>
      <c r="E284" t="inlineStr">
        <is>
          <t>INHERENTE</t>
        </is>
      </c>
      <c r="F284" t="inlineStr">
        <is>
          <t>USUARIOS MENORES PETROLEO</t>
        </is>
      </c>
      <c r="G284" t="n">
        <v>1211903</v>
      </c>
      <c r="H284" t="n">
        <v>2</v>
      </c>
      <c r="I284" t="n">
        <v>2</v>
      </c>
      <c r="J284" t="n">
        <v>8</v>
      </c>
      <c r="K284" t="n">
        <v>16</v>
      </c>
      <c r="L284" t="n">
        <v>16</v>
      </c>
      <c r="M284" t="n">
        <v>16</v>
      </c>
      <c r="N284" t="n">
        <v>16</v>
      </c>
      <c r="O284" t="n">
        <v>40</v>
      </c>
      <c r="P284" t="n">
        <v>8</v>
      </c>
      <c r="R284" s="9" t="n">
        <v>0.08</v>
      </c>
      <c r="S284" s="10" t="inlineStr">
        <is>
          <t>SÍ — integrante</t>
        </is>
      </c>
      <c r="T284" s="11" t="inlineStr">
        <is>
          <t>B · INTEGRANTE</t>
        </is>
      </c>
      <c r="U284" s="11" t="inlineStr">
        <is>
          <t>DEL BANCO (se hereda)</t>
        </is>
      </c>
      <c r="V284" s="11" t="inlineStr">
        <is>
          <t>9151 · SECTOR PRIMARIO (agropecuario, pesca, forestal, minería)</t>
        </is>
      </c>
      <c r="W284" s="12" t="n"/>
      <c r="X284" s="12" t="n"/>
    </row>
    <row r="285" ht="15" customHeight="1">
      <c r="C285" t="inlineStr">
        <is>
          <t>Actividad económica / giro mercantil</t>
        </is>
      </c>
      <c r="D285" t="inlineStr">
        <is>
          <t>F12</t>
        </is>
      </c>
      <c r="E285" t="inlineStr">
        <is>
          <t>INHERENTE</t>
        </is>
      </c>
      <c r="F285" t="inlineStr">
        <is>
          <t>CARTERA PETROLERA DE ESTADOS ANALITICOS</t>
        </is>
      </c>
      <c r="G285" t="n">
        <v>1211911</v>
      </c>
      <c r="H285" t="n">
        <v>2</v>
      </c>
      <c r="I285" t="n">
        <v>2</v>
      </c>
      <c r="J285" t="n">
        <v>8</v>
      </c>
      <c r="K285" t="n">
        <v>16</v>
      </c>
      <c r="L285" t="n">
        <v>16</v>
      </c>
      <c r="M285" t="n">
        <v>16</v>
      </c>
      <c r="N285" t="n">
        <v>16</v>
      </c>
      <c r="O285" t="n">
        <v>40</v>
      </c>
      <c r="P285" t="n">
        <v>8</v>
      </c>
      <c r="R285" s="9" t="n">
        <v>0.08</v>
      </c>
      <c r="S285" s="10" t="inlineStr">
        <is>
          <t>SÍ — integrante</t>
        </is>
      </c>
      <c r="T285" s="11" t="inlineStr">
        <is>
          <t>B · INTEGRANTE</t>
        </is>
      </c>
      <c r="U285" s="11" t="inlineStr">
        <is>
          <t>DEL BANCO (se hereda)</t>
        </is>
      </c>
      <c r="V285" s="11" t="inlineStr">
        <is>
          <t>9154 · OTRAS ACTIVIDADES NO CLASIFICADAS</t>
        </is>
      </c>
      <c r="W285" s="12" t="n"/>
      <c r="X285" s="12" t="n"/>
    </row>
    <row r="286" ht="15" customHeight="1">
      <c r="C286" t="inlineStr">
        <is>
          <t>Actividad económica / giro mercantil</t>
        </is>
      </c>
      <c r="D286" t="inlineStr">
        <is>
          <t>F12</t>
        </is>
      </c>
      <c r="E286" t="inlineStr">
        <is>
          <t>INHERENTE</t>
        </is>
      </c>
      <c r="F286" t="inlineStr">
        <is>
          <t>PIDIREGAS PETROLEO</t>
        </is>
      </c>
      <c r="G286" t="n">
        <v>1221019</v>
      </c>
      <c r="H286" t="n">
        <v>2</v>
      </c>
      <c r="I286" t="n">
        <v>2</v>
      </c>
      <c r="J286" t="n">
        <v>8</v>
      </c>
      <c r="K286" t="n">
        <v>16</v>
      </c>
      <c r="L286" t="n">
        <v>16</v>
      </c>
      <c r="M286" t="n">
        <v>16</v>
      </c>
      <c r="N286" t="n">
        <v>16</v>
      </c>
      <c r="O286" t="n">
        <v>40</v>
      </c>
      <c r="P286" t="n">
        <v>8</v>
      </c>
      <c r="R286" s="9" t="n">
        <v>0.08</v>
      </c>
      <c r="S286" s="10" t="inlineStr">
        <is>
          <t>SÍ — integrante</t>
        </is>
      </c>
      <c r="T286" s="11" t="inlineStr">
        <is>
          <t>B · INTEGRANTE</t>
        </is>
      </c>
      <c r="U286" s="11" t="inlineStr">
        <is>
          <t>DEL BANCO (se hereda)</t>
        </is>
      </c>
      <c r="V286" s="11" t="inlineStr">
        <is>
          <t>9151 · SECTOR PRIMARIO (agropecuario, pesca, forestal, minería)</t>
        </is>
      </c>
      <c r="W286" s="12" t="n"/>
      <c r="X286" s="12" t="n"/>
    </row>
    <row r="287" ht="15" customHeight="1">
      <c r="C287" t="inlineStr">
        <is>
          <t>Actividad económica / giro mercantil</t>
        </is>
      </c>
      <c r="D287" t="inlineStr">
        <is>
          <t>F12</t>
        </is>
      </c>
      <c r="E287" t="inlineStr">
        <is>
          <t>INHERENTE</t>
        </is>
      </c>
      <c r="F287" t="inlineStr">
        <is>
          <t>EXTRACCIÓN Y BENEFICIO DE MINERALES METÁLICOS</t>
        </is>
      </c>
      <c r="G287" t="n">
        <v>1300003</v>
      </c>
      <c r="H287" t="n">
        <v>2</v>
      </c>
      <c r="I287" t="n">
        <v>2</v>
      </c>
      <c r="J287" t="n">
        <v>8</v>
      </c>
      <c r="K287" t="n">
        <v>16</v>
      </c>
      <c r="L287" t="n">
        <v>16</v>
      </c>
      <c r="M287" t="n">
        <v>16</v>
      </c>
      <c r="N287" t="n">
        <v>16</v>
      </c>
      <c r="O287" t="n">
        <v>40</v>
      </c>
      <c r="P287" t="n">
        <v>8</v>
      </c>
      <c r="R287" s="9" t="n">
        <v>0.08</v>
      </c>
      <c r="S287" s="10" t="inlineStr">
        <is>
          <t>SÍ — integrante</t>
        </is>
      </c>
      <c r="T287" s="11" t="inlineStr">
        <is>
          <t>B · INTEGRANTE</t>
        </is>
      </c>
      <c r="U287" s="11" t="inlineStr">
        <is>
          <t>DEL BANCO (se hereda)</t>
        </is>
      </c>
      <c r="V287" s="11" t="inlineStr">
        <is>
          <t>9151 · SECTOR PRIMARIO (agropecuario, pesca, forestal, minería)</t>
        </is>
      </c>
      <c r="W287" s="12" t="n"/>
      <c r="X287" s="12" t="n"/>
    </row>
    <row r="288" ht="15" customHeight="1">
      <c r="C288" t="inlineStr">
        <is>
          <t>Actividad económica / giro mercantil</t>
        </is>
      </c>
      <c r="D288" t="inlineStr">
        <is>
          <t>F12</t>
        </is>
      </c>
      <c r="E288" t="inlineStr">
        <is>
          <t>INHERENTE</t>
        </is>
      </c>
      <c r="F288" t="inlineStr">
        <is>
          <t>EXTRACCION Y BENEFICIO DE MINERAL DE HIERRO</t>
        </is>
      </c>
      <c r="G288" t="n">
        <v>1311018</v>
      </c>
      <c r="H288" t="n">
        <v>2</v>
      </c>
      <c r="I288" t="n">
        <v>2</v>
      </c>
      <c r="J288" t="n">
        <v>8</v>
      </c>
      <c r="K288" t="n">
        <v>16</v>
      </c>
      <c r="L288" t="n">
        <v>16</v>
      </c>
      <c r="M288" t="n">
        <v>16</v>
      </c>
      <c r="N288" t="n">
        <v>16</v>
      </c>
      <c r="O288" t="n">
        <v>40</v>
      </c>
      <c r="P288" t="n">
        <v>8</v>
      </c>
      <c r="R288" s="9" t="n">
        <v>0.08</v>
      </c>
      <c r="S288" s="10" t="inlineStr">
        <is>
          <t>SÍ — integrante</t>
        </is>
      </c>
      <c r="T288" s="11" t="inlineStr">
        <is>
          <t>B · INTEGRANTE</t>
        </is>
      </c>
      <c r="U288" s="11" t="inlineStr">
        <is>
          <t>DEL BANCO (se hereda)</t>
        </is>
      </c>
      <c r="V288" s="11" t="inlineStr">
        <is>
          <t>9151 · SECTOR PRIMARIO (agropecuario, pesca, forestal, minería)</t>
        </is>
      </c>
      <c r="W288" s="12" t="n"/>
      <c r="X288" s="12" t="n"/>
    </row>
    <row r="289" ht="15" customHeight="1">
      <c r="C289" t="inlineStr">
        <is>
          <t>Actividad económica / giro mercantil</t>
        </is>
      </c>
      <c r="D289" t="inlineStr">
        <is>
          <t>F12</t>
        </is>
      </c>
      <c r="E289" t="inlineStr">
        <is>
          <t>INHERENTE</t>
        </is>
      </c>
      <c r="F289" t="inlineStr">
        <is>
          <t>EXTRACCION Y BENEFICIO DE ORO PLATA Y OTROS METALES PRECIOSOS</t>
        </is>
      </c>
      <c r="G289" t="n">
        <v>1321017</v>
      </c>
      <c r="H289" t="n">
        <v>5</v>
      </c>
      <c r="I289" t="n">
        <v>5</v>
      </c>
      <c r="J289" t="n">
        <v>8</v>
      </c>
      <c r="K289" t="n">
        <v>40</v>
      </c>
      <c r="L289" t="n">
        <v>40</v>
      </c>
      <c r="M289" t="n">
        <v>40</v>
      </c>
      <c r="N289" t="n">
        <v>40</v>
      </c>
      <c r="O289" t="n">
        <v>40</v>
      </c>
      <c r="P289" t="n">
        <v>8</v>
      </c>
      <c r="Q289" t="inlineStr">
        <is>
          <t>DETERMINANTE</t>
        </is>
      </c>
      <c r="R289" s="9" t="n">
        <v>0.08</v>
      </c>
      <c r="S289" s="10" t="inlineStr">
        <is>
          <t>SÍ — integrante</t>
        </is>
      </c>
      <c r="T289" s="11" t="inlineStr">
        <is>
          <t>B · INTEGRANTE</t>
        </is>
      </c>
      <c r="U289" s="11" t="inlineStr">
        <is>
          <t>DEL BANCO (se hereda)</t>
        </is>
      </c>
      <c r="V289" s="11" t="inlineStr">
        <is>
          <t>9120 · EFECTIVO INTENSIVO</t>
        </is>
      </c>
      <c r="W289" s="12" t="n"/>
      <c r="X289" s="12" t="n"/>
    </row>
    <row r="290" ht="15" customHeight="1">
      <c r="C290" t="inlineStr">
        <is>
          <t>Actividad económica / giro mercantil</t>
        </is>
      </c>
      <c r="D290" t="inlineStr">
        <is>
          <t>F12</t>
        </is>
      </c>
      <c r="E290" t="inlineStr">
        <is>
          <t>INHERENTE</t>
        </is>
      </c>
      <c r="F290" t="inlineStr">
        <is>
          <t>EXTRACCION Y BENEFICIO DE MERCURIO Y ANTIMONIO</t>
        </is>
      </c>
      <c r="G290" t="n">
        <v>1322015</v>
      </c>
      <c r="H290" t="n">
        <v>5</v>
      </c>
      <c r="I290" t="n">
        <v>5</v>
      </c>
      <c r="J290" t="n">
        <v>8</v>
      </c>
      <c r="K290" t="n">
        <v>40</v>
      </c>
      <c r="L290" t="n">
        <v>40</v>
      </c>
      <c r="M290" t="n">
        <v>40</v>
      </c>
      <c r="N290" t="n">
        <v>40</v>
      </c>
      <c r="O290" t="n">
        <v>40</v>
      </c>
      <c r="P290" t="n">
        <v>8</v>
      </c>
      <c r="R290" s="9" t="n">
        <v>0.08</v>
      </c>
      <c r="S290" s="10" t="inlineStr">
        <is>
          <t>SÍ — integrante</t>
        </is>
      </c>
      <c r="T290" s="11" t="inlineStr">
        <is>
          <t>B · INTEGRANTE</t>
        </is>
      </c>
      <c r="U290" s="11" t="inlineStr">
        <is>
          <t>DEL BANCO (se hereda)</t>
        </is>
      </c>
      <c r="V290" s="11" t="inlineStr">
        <is>
          <t>9151 · SECTOR PRIMARIO (agropecuario, pesca, forestal, minería)</t>
        </is>
      </c>
      <c r="W290" s="12" t="n"/>
      <c r="X290" s="12" t="n"/>
    </row>
    <row r="291" ht="15" customHeight="1">
      <c r="C291" t="inlineStr">
        <is>
          <t>Actividad económica / giro mercantil</t>
        </is>
      </c>
      <c r="D291" t="inlineStr">
        <is>
          <t>F12</t>
        </is>
      </c>
      <c r="E291" t="inlineStr">
        <is>
          <t>INHERENTE</t>
        </is>
      </c>
      <c r="F291" t="inlineStr">
        <is>
          <t>EXTRACCION Y BENEFICIO DE COBRE  PLOMO  ZINC Y OTROS MINERALES NO FERROSOS</t>
        </is>
      </c>
      <c r="G291" t="n">
        <v>1329011</v>
      </c>
      <c r="H291" t="n">
        <v>2</v>
      </c>
      <c r="I291" t="n">
        <v>2</v>
      </c>
      <c r="J291" t="n">
        <v>8</v>
      </c>
      <c r="K291" t="n">
        <v>16</v>
      </c>
      <c r="L291" t="n">
        <v>16</v>
      </c>
      <c r="M291" t="n">
        <v>16</v>
      </c>
      <c r="N291" t="n">
        <v>16</v>
      </c>
      <c r="O291" t="n">
        <v>40</v>
      </c>
      <c r="P291" t="n">
        <v>8</v>
      </c>
      <c r="R291" s="9" t="n">
        <v>0.08</v>
      </c>
      <c r="S291" s="10" t="inlineStr">
        <is>
          <t>SÍ — integrante</t>
        </is>
      </c>
      <c r="T291" s="11" t="inlineStr">
        <is>
          <t>B · INTEGRANTE</t>
        </is>
      </c>
      <c r="U291" s="11" t="inlineStr">
        <is>
          <t>DEL BANCO (se hereda)</t>
        </is>
      </c>
      <c r="V291" s="11" t="inlineStr">
        <is>
          <t>9151 · SECTOR PRIMARIO (agropecuario, pesca, forestal, minería)</t>
        </is>
      </c>
      <c r="W291" s="12" t="n"/>
      <c r="X291" s="12" t="n"/>
    </row>
    <row r="292" ht="15" customHeight="1">
      <c r="C292" t="inlineStr">
        <is>
          <t>Actividad económica / giro mercantil</t>
        </is>
      </c>
      <c r="D292" t="inlineStr">
        <is>
          <t>F12</t>
        </is>
      </c>
      <c r="E292" t="inlineStr">
        <is>
          <t>INHERENTE</t>
        </is>
      </c>
      <c r="F292" t="inlineStr">
        <is>
          <t>EXPLOTACION DE BARBASCO</t>
        </is>
      </c>
      <c r="G292" t="n">
        <v>1329020</v>
      </c>
      <c r="H292" t="n">
        <v>2</v>
      </c>
      <c r="I292" t="n">
        <v>2</v>
      </c>
      <c r="J292" t="n">
        <v>8</v>
      </c>
      <c r="K292" t="n">
        <v>16</v>
      </c>
      <c r="L292" t="n">
        <v>16</v>
      </c>
      <c r="M292" t="n">
        <v>16</v>
      </c>
      <c r="N292" t="n">
        <v>16</v>
      </c>
      <c r="O292" t="n">
        <v>40</v>
      </c>
      <c r="P292" t="n">
        <v>8</v>
      </c>
      <c r="R292" s="9" t="n">
        <v>0.08</v>
      </c>
      <c r="S292" s="10" t="inlineStr">
        <is>
          <t>SÍ — integrante</t>
        </is>
      </c>
      <c r="T292" s="11" t="inlineStr">
        <is>
          <t>B · INTEGRANTE</t>
        </is>
      </c>
      <c r="U292" s="11" t="inlineStr">
        <is>
          <t>DEL BANCO (se hereda)</t>
        </is>
      </c>
      <c r="V292" s="11" t="inlineStr">
        <is>
          <t>9151 · SECTOR PRIMARIO (agropecuario, pesca, forestal, minería)</t>
        </is>
      </c>
      <c r="W292" s="12" t="n"/>
      <c r="X292" s="12" t="n"/>
    </row>
    <row r="293" ht="15" customHeight="1">
      <c r="C293" t="inlineStr">
        <is>
          <t>Actividad económica / giro mercantil</t>
        </is>
      </c>
      <c r="D293" t="inlineStr">
        <is>
          <t>F12</t>
        </is>
      </c>
      <c r="E293" t="inlineStr">
        <is>
          <t>INHERENTE</t>
        </is>
      </c>
      <c r="F293" t="inlineStr">
        <is>
          <t>USUARIOS MENORES MINERIA</t>
        </is>
      </c>
      <c r="G293" t="n">
        <v>1329904</v>
      </c>
      <c r="H293" t="n">
        <v>1</v>
      </c>
      <c r="I293" t="n">
        <v>1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40</v>
      </c>
      <c r="P293" t="n">
        <v>8</v>
      </c>
      <c r="R293" s="9" t="n">
        <v>0.08</v>
      </c>
      <c r="S293" s="10" t="inlineStr">
        <is>
          <t>SÍ — integrante</t>
        </is>
      </c>
      <c r="T293" s="11" t="inlineStr">
        <is>
          <t>B · INTEGRANTE</t>
        </is>
      </c>
      <c r="U293" s="11" t="inlineStr">
        <is>
          <t>DEL BANCO (se hereda)</t>
        </is>
      </c>
      <c r="V293" s="11" t="inlineStr">
        <is>
          <t>9151 · SECTOR PRIMARIO (agropecuario, pesca, forestal, minería)</t>
        </is>
      </c>
      <c r="W293" s="12" t="n"/>
      <c r="X293" s="12" t="n"/>
    </row>
    <row r="294" ht="15" customHeight="1">
      <c r="C294" t="inlineStr">
        <is>
          <t>Actividad económica / giro mercantil</t>
        </is>
      </c>
      <c r="D294" t="inlineStr">
        <is>
          <t>F12</t>
        </is>
      </c>
      <c r="E294" t="inlineStr">
        <is>
          <t>INHERENTE</t>
        </is>
      </c>
      <c r="F294" t="inlineStr">
        <is>
          <t>USUARIOS MENORES DE SILVICULTURA</t>
        </is>
      </c>
      <c r="G294" t="n">
        <v>1329905</v>
      </c>
      <c r="H294" t="n">
        <v>2</v>
      </c>
      <c r="I294" t="n">
        <v>2</v>
      </c>
      <c r="J294" t="n">
        <v>8</v>
      </c>
      <c r="K294" t="n">
        <v>16</v>
      </c>
      <c r="L294" t="n">
        <v>16</v>
      </c>
      <c r="M294" t="n">
        <v>16</v>
      </c>
      <c r="N294" t="n">
        <v>16</v>
      </c>
      <c r="O294" t="n">
        <v>40</v>
      </c>
      <c r="P294" t="n">
        <v>8</v>
      </c>
      <c r="R294" s="9" t="n">
        <v>0.08</v>
      </c>
      <c r="S294" s="10" t="inlineStr">
        <is>
          <t>SÍ — integrante</t>
        </is>
      </c>
      <c r="T294" s="11" t="inlineStr">
        <is>
          <t>B · INTEGRANTE</t>
        </is>
      </c>
      <c r="U294" s="11" t="inlineStr">
        <is>
          <t>DEL BANCO (se hereda)</t>
        </is>
      </c>
      <c r="V294" s="11" t="inlineStr">
        <is>
          <t>9151 · SECTOR PRIMARIO (agropecuario, pesca, forestal, minería)</t>
        </is>
      </c>
      <c r="W294" s="12" t="n"/>
      <c r="X294" s="12" t="n"/>
    </row>
    <row r="295" ht="15" customHeight="1">
      <c r="C295" t="inlineStr">
        <is>
          <t>Actividad económica / giro mercantil</t>
        </is>
      </c>
      <c r="D295" t="inlineStr">
        <is>
          <t>F12</t>
        </is>
      </c>
      <c r="E295" t="inlineStr">
        <is>
          <t>INHERENTE</t>
        </is>
      </c>
      <c r="F295" t="inlineStr">
        <is>
          <t>CARTERA MINERA DE ESTADOS ANALITICOS</t>
        </is>
      </c>
      <c r="G295" t="n">
        <v>1329912</v>
      </c>
      <c r="H295" t="n">
        <v>2</v>
      </c>
      <c r="I295" t="n">
        <v>2</v>
      </c>
      <c r="J295" t="n">
        <v>8</v>
      </c>
      <c r="K295" t="n">
        <v>16</v>
      </c>
      <c r="L295" t="n">
        <v>16</v>
      </c>
      <c r="M295" t="n">
        <v>16</v>
      </c>
      <c r="N295" t="n">
        <v>16</v>
      </c>
      <c r="O295" t="n">
        <v>40</v>
      </c>
      <c r="P295" t="n">
        <v>8</v>
      </c>
      <c r="R295" s="9" t="n">
        <v>0.08</v>
      </c>
      <c r="S295" s="10" t="inlineStr">
        <is>
          <t>SÍ — integrante</t>
        </is>
      </c>
      <c r="T295" s="11" t="inlineStr">
        <is>
          <t>B · INTEGRANTE</t>
        </is>
      </c>
      <c r="U295" s="11" t="inlineStr">
        <is>
          <t>DEL BANCO (se hereda)</t>
        </is>
      </c>
      <c r="V295" s="11" t="inlineStr">
        <is>
          <t>9154 · OTRAS ACTIVIDADES NO CLASIFICADAS</t>
        </is>
      </c>
      <c r="W295" s="12" t="n"/>
      <c r="X295" s="12" t="n"/>
    </row>
    <row r="296" ht="15" customHeight="1">
      <c r="C296" t="inlineStr">
        <is>
          <t>Actividad económica / giro mercantil</t>
        </is>
      </c>
      <c r="D296" t="inlineStr">
        <is>
          <t>F12</t>
        </is>
      </c>
      <c r="E296" t="inlineStr">
        <is>
          <t>INHERENTE</t>
        </is>
      </c>
      <c r="F296" t="inlineStr">
        <is>
          <t>EXTRACCION DE ORO, PLATA Y OTROS METALES PRECIOSOS</t>
        </is>
      </c>
      <c r="G296" t="n">
        <v>1330001</v>
      </c>
      <c r="H296" t="n">
        <v>5</v>
      </c>
      <c r="I296" t="n">
        <v>5</v>
      </c>
      <c r="J296" t="n">
        <v>8</v>
      </c>
      <c r="K296" t="n">
        <v>40</v>
      </c>
      <c r="L296" t="n">
        <v>40</v>
      </c>
      <c r="M296" t="n">
        <v>40</v>
      </c>
      <c r="N296" t="n">
        <v>40</v>
      </c>
      <c r="O296" t="n">
        <v>40</v>
      </c>
      <c r="P296" t="n">
        <v>8</v>
      </c>
      <c r="R296" s="9" t="n">
        <v>0.08</v>
      </c>
      <c r="S296" s="10" t="inlineStr">
        <is>
          <t>SÍ — integrante</t>
        </is>
      </c>
      <c r="T296" s="11" t="inlineStr">
        <is>
          <t>B · INTEGRANTE</t>
        </is>
      </c>
      <c r="U296" s="11" t="inlineStr">
        <is>
          <t>DEL BANCO (se hereda)</t>
        </is>
      </c>
      <c r="V296" s="11" t="inlineStr">
        <is>
          <t>9120 · EFECTIVO INTENSIVO</t>
        </is>
      </c>
      <c r="W296" s="12" t="n"/>
      <c r="X296" s="12" t="n"/>
    </row>
    <row r="297" ht="15" customHeight="1">
      <c r="C297" t="inlineStr">
        <is>
          <t>Actividad económica / giro mercantil</t>
        </is>
      </c>
      <c r="D297" t="inlineStr">
        <is>
          <t>F12</t>
        </is>
      </c>
      <c r="E297" t="inlineStr">
        <is>
          <t>INHERENTE</t>
        </is>
      </c>
      <c r="F297" t="inlineStr">
        <is>
          <t>EXTRACCIÓN DE MINERALES NO METÁLICOS, EXCEPTO SAL</t>
        </is>
      </c>
      <c r="G297" t="n">
        <v>1400001</v>
      </c>
      <c r="H297" t="n">
        <v>1</v>
      </c>
      <c r="I297" t="n">
        <v>1</v>
      </c>
      <c r="J297" t="n">
        <v>8</v>
      </c>
      <c r="K297" t="n">
        <v>8</v>
      </c>
      <c r="L297" t="n">
        <v>8</v>
      </c>
      <c r="M297" t="n">
        <v>8</v>
      </c>
      <c r="N297" t="n">
        <v>8</v>
      </c>
      <c r="O297" t="n">
        <v>40</v>
      </c>
      <c r="P297" t="n">
        <v>8</v>
      </c>
      <c r="R297" s="9" t="n">
        <v>0.08</v>
      </c>
      <c r="S297" s="10" t="inlineStr">
        <is>
          <t>SÍ — integrante</t>
        </is>
      </c>
      <c r="T297" s="11" t="inlineStr">
        <is>
          <t>B · INTEGRANTE</t>
        </is>
      </c>
      <c r="U297" s="11" t="inlineStr">
        <is>
          <t>DEL BANCO (se hereda)</t>
        </is>
      </c>
      <c r="V297" s="11" t="inlineStr">
        <is>
          <t>9151 · SECTOR PRIMARIO (agropecuario, pesca, forestal, minería)</t>
        </is>
      </c>
      <c r="W297" s="12" t="n"/>
      <c r="X297" s="12" t="n"/>
    </row>
    <row r="298" ht="15" customHeight="1">
      <c r="C298" t="inlineStr">
        <is>
          <t>Actividad económica / giro mercantil</t>
        </is>
      </c>
      <c r="D298" t="inlineStr">
        <is>
          <t>F12</t>
        </is>
      </c>
      <c r="E298" t="inlineStr">
        <is>
          <t>INHERENTE</t>
        </is>
      </c>
      <c r="F298" t="inlineStr">
        <is>
          <t>EXTRACCION Y BENEFICIO DE PIEDRA</t>
        </is>
      </c>
      <c r="G298" t="n">
        <v>1411016</v>
      </c>
      <c r="H298" t="n">
        <v>2</v>
      </c>
      <c r="I298" t="n">
        <v>2</v>
      </c>
      <c r="J298" t="n">
        <v>8</v>
      </c>
      <c r="K298" t="n">
        <v>16</v>
      </c>
      <c r="L298" t="n">
        <v>16</v>
      </c>
      <c r="M298" t="n">
        <v>16</v>
      </c>
      <c r="N298" t="n">
        <v>16</v>
      </c>
      <c r="O298" t="n">
        <v>40</v>
      </c>
      <c r="P298" t="n">
        <v>8</v>
      </c>
      <c r="R298" s="9" t="n">
        <v>0.08</v>
      </c>
      <c r="S298" s="10" t="inlineStr">
        <is>
          <t>SÍ — integrante</t>
        </is>
      </c>
      <c r="T298" s="11" t="inlineStr">
        <is>
          <t>B · INTEGRANTE</t>
        </is>
      </c>
      <c r="U298" s="11" t="inlineStr">
        <is>
          <t>DEL BANCO (se hereda)</t>
        </is>
      </c>
      <c r="V298" s="11" t="inlineStr">
        <is>
          <t>9151 · SECTOR PRIMARIO (agropecuario, pesca, forestal, minería)</t>
        </is>
      </c>
      <c r="W298" s="12" t="n"/>
      <c r="X298" s="12" t="n"/>
    </row>
    <row r="299" ht="15" customHeight="1">
      <c r="C299" t="inlineStr">
        <is>
          <t>Actividad económica / giro mercantil</t>
        </is>
      </c>
      <c r="D299" t="inlineStr">
        <is>
          <t>F12</t>
        </is>
      </c>
      <c r="E299" t="inlineStr">
        <is>
          <t>INHERENTE</t>
        </is>
      </c>
      <c r="F299" t="inlineStr">
        <is>
          <t>EXTRACCION DE YESO</t>
        </is>
      </c>
      <c r="G299" t="n">
        <v>1412014</v>
      </c>
      <c r="H299" t="n">
        <v>1</v>
      </c>
      <c r="I299" t="n">
        <v>1</v>
      </c>
      <c r="J299" t="n">
        <v>8</v>
      </c>
      <c r="K299" t="n">
        <v>8</v>
      </c>
      <c r="L299" t="n">
        <v>8</v>
      </c>
      <c r="M299" t="n">
        <v>8</v>
      </c>
      <c r="N299" t="n">
        <v>8</v>
      </c>
      <c r="O299" t="n">
        <v>40</v>
      </c>
      <c r="P299" t="n">
        <v>8</v>
      </c>
      <c r="R299" s="9" t="n">
        <v>0.08</v>
      </c>
      <c r="S299" s="10" t="inlineStr">
        <is>
          <t>SÍ — integrante</t>
        </is>
      </c>
      <c r="T299" s="11" t="inlineStr">
        <is>
          <t>B · INTEGRANTE</t>
        </is>
      </c>
      <c r="U299" s="11" t="inlineStr">
        <is>
          <t>DEL BANCO (se hereda)</t>
        </is>
      </c>
      <c r="V299" s="11" t="inlineStr">
        <is>
          <t>9151 · SECTOR PRIMARIO (agropecuario, pesca, forestal, minería)</t>
        </is>
      </c>
      <c r="W299" s="12" t="n"/>
      <c r="X299" s="12" t="n"/>
    </row>
    <row r="300" ht="15" customHeight="1">
      <c r="C300" t="inlineStr">
        <is>
          <t>Actividad económica / giro mercantil</t>
        </is>
      </c>
      <c r="D300" t="inlineStr">
        <is>
          <t>F12</t>
        </is>
      </c>
      <c r="E300" t="inlineStr">
        <is>
          <t>INHERENTE</t>
        </is>
      </c>
      <c r="F300" t="inlineStr">
        <is>
          <t>EXTRACCION Y BENEFICIO DE ARENA Y GRAVA</t>
        </is>
      </c>
      <c r="G300" t="n">
        <v>1413012</v>
      </c>
      <c r="H300" t="n">
        <v>2</v>
      </c>
      <c r="I300" t="n">
        <v>2</v>
      </c>
      <c r="J300" t="n">
        <v>8</v>
      </c>
      <c r="K300" t="n">
        <v>16</v>
      </c>
      <c r="L300" t="n">
        <v>16</v>
      </c>
      <c r="M300" t="n">
        <v>16</v>
      </c>
      <c r="N300" t="n">
        <v>16</v>
      </c>
      <c r="O300" t="n">
        <v>40</v>
      </c>
      <c r="P300" t="n">
        <v>8</v>
      </c>
      <c r="R300" s="9" t="n">
        <v>0.08</v>
      </c>
      <c r="S300" s="10" t="inlineStr">
        <is>
          <t>SÍ — integrante</t>
        </is>
      </c>
      <c r="T300" s="11" t="inlineStr">
        <is>
          <t>B · INTEGRANTE</t>
        </is>
      </c>
      <c r="U300" s="11" t="inlineStr">
        <is>
          <t>DEL BANCO (se hereda)</t>
        </is>
      </c>
      <c r="V300" s="11" t="inlineStr">
        <is>
          <t>9151 · SECTOR PRIMARIO (agropecuario, pesca, forestal, minería)</t>
        </is>
      </c>
      <c r="W300" s="12" t="n"/>
      <c r="X300" s="12" t="n"/>
    </row>
    <row r="301" ht="15" customHeight="1">
      <c r="C301" t="inlineStr">
        <is>
          <t>Actividad económica / giro mercantil</t>
        </is>
      </c>
      <c r="D301" t="inlineStr">
        <is>
          <t>F12</t>
        </is>
      </c>
      <c r="E301" t="inlineStr">
        <is>
          <t>INHERENTE</t>
        </is>
      </c>
      <c r="F301" t="inlineStr">
        <is>
          <t>EXTRACCION Y BENEFICIO DE OTROS MATERIALES PARA CONSTRUCCION</t>
        </is>
      </c>
      <c r="G301" t="n">
        <v>1419010</v>
      </c>
      <c r="H301" t="n">
        <v>2</v>
      </c>
      <c r="I301" t="n">
        <v>2</v>
      </c>
      <c r="J301" t="n">
        <v>8</v>
      </c>
      <c r="K301" t="n">
        <v>16</v>
      </c>
      <c r="L301" t="n">
        <v>16</v>
      </c>
      <c r="M301" t="n">
        <v>16</v>
      </c>
      <c r="N301" t="n">
        <v>16</v>
      </c>
      <c r="O301" t="n">
        <v>40</v>
      </c>
      <c r="P301" t="n">
        <v>8</v>
      </c>
      <c r="R301" s="9" t="n">
        <v>0.08</v>
      </c>
      <c r="S301" s="10" t="inlineStr">
        <is>
          <t>SÍ — integrante</t>
        </is>
      </c>
      <c r="T301" s="11" t="inlineStr">
        <is>
          <t>B · INTEGRANTE</t>
        </is>
      </c>
      <c r="U301" s="11" t="inlineStr">
        <is>
          <t>DEL BANCO (se hereda)</t>
        </is>
      </c>
      <c r="V301" s="11" t="inlineStr">
        <is>
          <t>9117 · INMOBILIARIO / CONSTRUCCIÓN</t>
        </is>
      </c>
      <c r="W301" s="12" t="n"/>
      <c r="X301" s="12" t="n"/>
    </row>
    <row r="302" ht="15" customHeight="1">
      <c r="C302" t="inlineStr">
        <is>
          <t>Actividad económica / giro mercantil</t>
        </is>
      </c>
      <c r="D302" t="inlineStr">
        <is>
          <t>F12</t>
        </is>
      </c>
      <c r="E302" t="inlineStr">
        <is>
          <t>INHERENTE</t>
        </is>
      </c>
      <c r="F302" t="inlineStr">
        <is>
          <t>CAPTURA DE OTROS PECES EN ESTUARIOS</t>
        </is>
      </c>
      <c r="G302" t="n">
        <v>1419011</v>
      </c>
      <c r="H302" t="n">
        <v>2</v>
      </c>
      <c r="I302" t="n">
        <v>2</v>
      </c>
      <c r="J302" t="n">
        <v>8</v>
      </c>
      <c r="K302" t="n">
        <v>16</v>
      </c>
      <c r="L302" t="n">
        <v>16</v>
      </c>
      <c r="M302" t="n">
        <v>16</v>
      </c>
      <c r="N302" t="n">
        <v>16</v>
      </c>
      <c r="O302" t="n">
        <v>40</v>
      </c>
      <c r="P302" t="n">
        <v>8</v>
      </c>
      <c r="R302" s="9" t="n">
        <v>0.08</v>
      </c>
      <c r="S302" s="10" t="inlineStr">
        <is>
          <t>SÍ — integrante</t>
        </is>
      </c>
      <c r="T302" s="11" t="inlineStr">
        <is>
          <t>B · INTEGRANTE</t>
        </is>
      </c>
      <c r="U302" s="11" t="inlineStr">
        <is>
          <t>DEL BANCO (se hereda)</t>
        </is>
      </c>
      <c r="V302" s="11" t="inlineStr">
        <is>
          <t>9154 · OTRAS ACTIVIDADES NO CLASIFICADAS</t>
        </is>
      </c>
      <c r="W302" s="12" t="n"/>
      <c r="X302" s="12" t="n"/>
    </row>
    <row r="303" ht="15" customHeight="1">
      <c r="C303" t="inlineStr">
        <is>
          <t>Actividad económica / giro mercantil</t>
        </is>
      </c>
      <c r="D303" t="inlineStr">
        <is>
          <t>F12</t>
        </is>
      </c>
      <c r="E303" t="inlineStr">
        <is>
          <t>INHERENTE</t>
        </is>
      </c>
      <c r="F303" t="inlineStr">
        <is>
          <t>EXTRACCION Y BENEFICIO DE ARCILLAS REFRACTARIAS</t>
        </is>
      </c>
      <c r="G303" t="n">
        <v>1421015</v>
      </c>
      <c r="H303" t="n">
        <v>2</v>
      </c>
      <c r="I303" t="n">
        <v>2</v>
      </c>
      <c r="J303" t="n">
        <v>8</v>
      </c>
      <c r="K303" t="n">
        <v>16</v>
      </c>
      <c r="L303" t="n">
        <v>16</v>
      </c>
      <c r="M303" t="n">
        <v>16</v>
      </c>
      <c r="N303" t="n">
        <v>16</v>
      </c>
      <c r="O303" t="n">
        <v>40</v>
      </c>
      <c r="P303" t="n">
        <v>8</v>
      </c>
      <c r="R303" s="9" t="n">
        <v>0.08</v>
      </c>
      <c r="S303" s="10" t="inlineStr">
        <is>
          <t>SÍ — integrante</t>
        </is>
      </c>
      <c r="T303" s="11" t="inlineStr">
        <is>
          <t>B · INTEGRANTE</t>
        </is>
      </c>
      <c r="U303" s="11" t="inlineStr">
        <is>
          <t>DEL BANCO (se hereda)</t>
        </is>
      </c>
      <c r="V303" s="11" t="inlineStr">
        <is>
          <t>9151 · SECTOR PRIMARIO (agropecuario, pesca, forestal, minería)</t>
        </is>
      </c>
      <c r="W303" s="12" t="n"/>
      <c r="X303" s="12" t="n"/>
    </row>
    <row r="304" ht="15" customHeight="1">
      <c r="C304" t="inlineStr">
        <is>
          <t>Actividad económica / giro mercantil</t>
        </is>
      </c>
      <c r="D304" t="inlineStr">
        <is>
          <t>F12</t>
        </is>
      </c>
      <c r="E304" t="inlineStr">
        <is>
          <t>INHERENTE</t>
        </is>
      </c>
      <c r="F304" t="inlineStr">
        <is>
          <t>EXTRACCION Y BENEFICIO DE BARITA Y ROCA FOSFORICA</t>
        </is>
      </c>
      <c r="G304" t="n">
        <v>1431014</v>
      </c>
      <c r="H304" t="n">
        <v>2</v>
      </c>
      <c r="I304" t="n">
        <v>2</v>
      </c>
      <c r="J304" t="n">
        <v>8</v>
      </c>
      <c r="K304" t="n">
        <v>16</v>
      </c>
      <c r="L304" t="n">
        <v>16</v>
      </c>
      <c r="M304" t="n">
        <v>16</v>
      </c>
      <c r="N304" t="n">
        <v>16</v>
      </c>
      <c r="O304" t="n">
        <v>40</v>
      </c>
      <c r="P304" t="n">
        <v>8</v>
      </c>
      <c r="R304" s="9" t="n">
        <v>0.08</v>
      </c>
      <c r="S304" s="10" t="inlineStr">
        <is>
          <t>SÍ — integrante</t>
        </is>
      </c>
      <c r="T304" s="11" t="inlineStr">
        <is>
          <t>B · INTEGRANTE</t>
        </is>
      </c>
      <c r="U304" s="11" t="inlineStr">
        <is>
          <t>DEL BANCO (se hereda)</t>
        </is>
      </c>
      <c r="V304" s="11" t="inlineStr">
        <is>
          <t>9151 · SECTOR PRIMARIO (agropecuario, pesca, forestal, minería)</t>
        </is>
      </c>
      <c r="W304" s="12" t="n"/>
      <c r="X304" s="12" t="n"/>
    </row>
    <row r="305" ht="15" customHeight="1">
      <c r="C305" t="inlineStr">
        <is>
          <t>Actividad económica / giro mercantil</t>
        </is>
      </c>
      <c r="D305" t="inlineStr">
        <is>
          <t>F12</t>
        </is>
      </c>
      <c r="E305" t="inlineStr">
        <is>
          <t>INHERENTE</t>
        </is>
      </c>
      <c r="F305" t="inlineStr">
        <is>
          <t>EXTRACCION Y BENEFICIO DE FLUORITA</t>
        </is>
      </c>
      <c r="G305" t="n">
        <v>1432012</v>
      </c>
      <c r="H305" t="n">
        <v>2</v>
      </c>
      <c r="I305" t="n">
        <v>2</v>
      </c>
      <c r="J305" t="n">
        <v>8</v>
      </c>
      <c r="K305" t="n">
        <v>16</v>
      </c>
      <c r="L305" t="n">
        <v>16</v>
      </c>
      <c r="M305" t="n">
        <v>16</v>
      </c>
      <c r="N305" t="n">
        <v>16</v>
      </c>
      <c r="O305" t="n">
        <v>40</v>
      </c>
      <c r="P305" t="n">
        <v>8</v>
      </c>
      <c r="R305" s="9" t="n">
        <v>0.08</v>
      </c>
      <c r="S305" s="10" t="inlineStr">
        <is>
          <t>SÍ — integrante</t>
        </is>
      </c>
      <c r="T305" s="11" t="inlineStr">
        <is>
          <t>B · INTEGRANTE</t>
        </is>
      </c>
      <c r="U305" s="11" t="inlineStr">
        <is>
          <t>DEL BANCO (se hereda)</t>
        </is>
      </c>
      <c r="V305" s="11" t="inlineStr">
        <is>
          <t>9151 · SECTOR PRIMARIO (agropecuario, pesca, forestal, minería)</t>
        </is>
      </c>
      <c r="W305" s="12" t="n"/>
      <c r="X305" s="12" t="n"/>
    </row>
    <row r="306" ht="15" customHeight="1">
      <c r="C306" t="inlineStr">
        <is>
          <t>Actividad económica / giro mercantil</t>
        </is>
      </c>
      <c r="D306" t="inlineStr">
        <is>
          <t>F12</t>
        </is>
      </c>
      <c r="E306" t="inlineStr">
        <is>
          <t>INHERENTE</t>
        </is>
      </c>
      <c r="F306" t="inlineStr">
        <is>
          <t>EXTRACCION Y BENEFICIO DE SILICE</t>
        </is>
      </c>
      <c r="G306" t="n">
        <v>1433010</v>
      </c>
      <c r="H306" t="n">
        <v>2</v>
      </c>
      <c r="I306" t="n">
        <v>2</v>
      </c>
      <c r="J306" t="n">
        <v>8</v>
      </c>
      <c r="K306" t="n">
        <v>16</v>
      </c>
      <c r="L306" t="n">
        <v>16</v>
      </c>
      <c r="M306" t="n">
        <v>16</v>
      </c>
      <c r="N306" t="n">
        <v>16</v>
      </c>
      <c r="O306" t="n">
        <v>40</v>
      </c>
      <c r="P306" t="n">
        <v>8</v>
      </c>
      <c r="R306" s="9" t="n">
        <v>0.08</v>
      </c>
      <c r="S306" s="10" t="inlineStr">
        <is>
          <t>SÍ — integrante</t>
        </is>
      </c>
      <c r="T306" s="11" t="inlineStr">
        <is>
          <t>B · INTEGRANTE</t>
        </is>
      </c>
      <c r="U306" s="11" t="inlineStr">
        <is>
          <t>DEL BANCO (se hereda)</t>
        </is>
      </c>
      <c r="V306" s="11" t="inlineStr">
        <is>
          <t>9151 · SECTOR PRIMARIO (agropecuario, pesca, forestal, minería)</t>
        </is>
      </c>
      <c r="W306" s="12" t="n"/>
      <c r="X306" s="12" t="n"/>
    </row>
    <row r="307" ht="15" customHeight="1">
      <c r="C307" t="inlineStr">
        <is>
          <t>Actividad económica / giro mercantil</t>
        </is>
      </c>
      <c r="D307" t="inlineStr">
        <is>
          <t>F12</t>
        </is>
      </c>
      <c r="E307" t="inlineStr">
        <is>
          <t>INHERENTE</t>
        </is>
      </c>
      <c r="F307" t="inlineStr">
        <is>
          <t>EXTRACCION Y BENEFICIO DE OTROS MINERALES NO METALICOS EXCEPTO SAL</t>
        </is>
      </c>
      <c r="G307" t="n">
        <v>1439018</v>
      </c>
      <c r="H307" t="n">
        <v>2</v>
      </c>
      <c r="I307" t="n">
        <v>2</v>
      </c>
      <c r="J307" t="n">
        <v>8</v>
      </c>
      <c r="K307" t="n">
        <v>16</v>
      </c>
      <c r="L307" t="n">
        <v>16</v>
      </c>
      <c r="M307" t="n">
        <v>16</v>
      </c>
      <c r="N307" t="n">
        <v>16</v>
      </c>
      <c r="O307" t="n">
        <v>40</v>
      </c>
      <c r="P307" t="n">
        <v>8</v>
      </c>
      <c r="R307" s="9" t="n">
        <v>0.08</v>
      </c>
      <c r="S307" s="10" t="inlineStr">
        <is>
          <t>SÍ — integrante</t>
        </is>
      </c>
      <c r="T307" s="11" t="inlineStr">
        <is>
          <t>B · INTEGRANTE</t>
        </is>
      </c>
      <c r="U307" s="11" t="inlineStr">
        <is>
          <t>DEL BANCO (se hereda)</t>
        </is>
      </c>
      <c r="V307" s="11" t="inlineStr">
        <is>
          <t>9151 · SECTOR PRIMARIO (agropecuario, pesca, forestal, minería)</t>
        </is>
      </c>
      <c r="W307" s="12" t="n"/>
      <c r="X307" s="12" t="n"/>
    </row>
    <row r="308" ht="15" customHeight="1">
      <c r="C308" t="inlineStr">
        <is>
          <t>Actividad económica / giro mercantil</t>
        </is>
      </c>
      <c r="D308" t="inlineStr">
        <is>
          <t>F12</t>
        </is>
      </c>
      <c r="E308" t="inlineStr">
        <is>
          <t>INHERENTE</t>
        </is>
      </c>
      <c r="F308" t="inlineStr">
        <is>
          <t>CAPTURA DE PECES EN RIOS</t>
        </is>
      </c>
      <c r="G308" t="n">
        <v>1451013</v>
      </c>
      <c r="H308" t="n">
        <v>2</v>
      </c>
      <c r="I308" t="n">
        <v>2</v>
      </c>
      <c r="J308" t="n">
        <v>8</v>
      </c>
      <c r="K308" t="n">
        <v>16</v>
      </c>
      <c r="L308" t="n">
        <v>16</v>
      </c>
      <c r="M308" t="n">
        <v>16</v>
      </c>
      <c r="N308" t="n">
        <v>16</v>
      </c>
      <c r="O308" t="n">
        <v>40</v>
      </c>
      <c r="P308" t="n">
        <v>8</v>
      </c>
      <c r="R308" s="9" t="n">
        <v>0.08</v>
      </c>
      <c r="S308" s="10" t="inlineStr">
        <is>
          <t>SÍ — integrante</t>
        </is>
      </c>
      <c r="T308" s="11" t="inlineStr">
        <is>
          <t>B · INTEGRANTE</t>
        </is>
      </c>
      <c r="U308" s="11" t="inlineStr">
        <is>
          <t>DEL BANCO (se hereda)</t>
        </is>
      </c>
      <c r="V308" s="11" t="inlineStr">
        <is>
          <t>9154 · OTRAS ACTIVIDADES NO CLASIFICADAS</t>
        </is>
      </c>
      <c r="W308" s="12" t="n"/>
      <c r="X308" s="12" t="n"/>
    </row>
    <row r="309" ht="15" customHeight="1">
      <c r="C309" t="inlineStr">
        <is>
          <t>Actividad económica / giro mercantil</t>
        </is>
      </c>
      <c r="D309" t="inlineStr">
        <is>
          <t>F12</t>
        </is>
      </c>
      <c r="E309" t="inlineStr">
        <is>
          <t>INHERENTE</t>
        </is>
      </c>
      <c r="F309" t="inlineStr">
        <is>
          <t>CRIA Y EXPLOTACION DE PECES</t>
        </is>
      </c>
      <c r="G309" t="n">
        <v>1459025</v>
      </c>
      <c r="H309" t="n">
        <v>2</v>
      </c>
      <c r="I309" t="n">
        <v>2</v>
      </c>
      <c r="J309" t="n">
        <v>8</v>
      </c>
      <c r="K309" t="n">
        <v>16</v>
      </c>
      <c r="L309" t="n">
        <v>16</v>
      </c>
      <c r="M309" t="n">
        <v>16</v>
      </c>
      <c r="N309" t="n">
        <v>16</v>
      </c>
      <c r="O309" t="n">
        <v>40</v>
      </c>
      <c r="P309" t="n">
        <v>8</v>
      </c>
      <c r="R309" s="9" t="n">
        <v>0.08</v>
      </c>
      <c r="S309" s="10" t="inlineStr">
        <is>
          <t>SÍ — integrante</t>
        </is>
      </c>
      <c r="T309" s="11" t="inlineStr">
        <is>
          <t>B · INTEGRANTE</t>
        </is>
      </c>
      <c r="U309" s="11" t="inlineStr">
        <is>
          <t>DEL BANCO (se hereda)</t>
        </is>
      </c>
      <c r="V309" s="11" t="inlineStr">
        <is>
          <t>9151 · SECTOR PRIMARIO (agropecuario, pesca, forestal, minería)</t>
        </is>
      </c>
      <c r="W309" s="12" t="n"/>
      <c r="X309" s="12" t="n"/>
    </row>
    <row r="310" ht="15" customHeight="1">
      <c r="C310" t="inlineStr">
        <is>
          <t>Actividad económica / giro mercantil</t>
        </is>
      </c>
      <c r="D310" t="inlineStr">
        <is>
          <t>F12</t>
        </is>
      </c>
      <c r="E310" t="inlineStr">
        <is>
          <t>INHERENTE</t>
        </is>
      </c>
      <c r="F310" t="inlineStr">
        <is>
          <t>EXPLOTACIÓN DE SAL</t>
        </is>
      </c>
      <c r="G310" t="n">
        <v>1500009</v>
      </c>
      <c r="H310" t="n">
        <v>1</v>
      </c>
      <c r="I310" t="n">
        <v>1</v>
      </c>
      <c r="J310" t="n">
        <v>8</v>
      </c>
      <c r="K310" t="n">
        <v>8</v>
      </c>
      <c r="L310" t="n">
        <v>8</v>
      </c>
      <c r="M310" t="n">
        <v>8</v>
      </c>
      <c r="N310" t="n">
        <v>8</v>
      </c>
      <c r="O310" t="n">
        <v>40</v>
      </c>
      <c r="P310" t="n">
        <v>8</v>
      </c>
      <c r="R310" s="9" t="n">
        <v>0.08</v>
      </c>
      <c r="S310" s="10" t="inlineStr">
        <is>
          <t>SÍ — integrante</t>
        </is>
      </c>
      <c r="T310" s="11" t="inlineStr">
        <is>
          <t>B · INTEGRANTE</t>
        </is>
      </c>
      <c r="U310" s="11" t="inlineStr">
        <is>
          <t>DEL BANCO (se hereda)</t>
        </is>
      </c>
      <c r="V310" s="11" t="inlineStr">
        <is>
          <t>9151 · SECTOR PRIMARIO (agropecuario, pesca, forestal, minería)</t>
        </is>
      </c>
      <c r="W310" s="12" t="n"/>
      <c r="X310" s="12" t="n"/>
    </row>
    <row r="311" ht="15" customHeight="1">
      <c r="C311" t="inlineStr">
        <is>
          <t>Actividad económica / giro mercantil</t>
        </is>
      </c>
      <c r="D311" t="inlineStr">
        <is>
          <t>F12</t>
        </is>
      </c>
      <c r="E311" t="inlineStr">
        <is>
          <t>INHERENTE</t>
        </is>
      </c>
      <c r="F311" t="inlineStr">
        <is>
          <t>EXPLOTACION DE SAL MARINA Y DE YACIMIENTOS</t>
        </is>
      </c>
      <c r="G311" t="n">
        <v>1511014</v>
      </c>
      <c r="H311" t="n">
        <v>1</v>
      </c>
      <c r="I311" t="n">
        <v>1</v>
      </c>
      <c r="J311" t="n">
        <v>8</v>
      </c>
      <c r="K311" t="n">
        <v>8</v>
      </c>
      <c r="L311" t="n">
        <v>8</v>
      </c>
      <c r="M311" t="n">
        <v>8</v>
      </c>
      <c r="N311" t="n">
        <v>8</v>
      </c>
      <c r="O311" t="n">
        <v>40</v>
      </c>
      <c r="P311" t="n">
        <v>8</v>
      </c>
      <c r="R311" s="9" t="n">
        <v>0.08</v>
      </c>
      <c r="S311" s="10" t="inlineStr">
        <is>
          <t>SÍ — integrante</t>
        </is>
      </c>
      <c r="T311" s="11" t="inlineStr">
        <is>
          <t>B · INTEGRANTE</t>
        </is>
      </c>
      <c r="U311" s="11" t="inlineStr">
        <is>
          <t>DEL BANCO (se hereda)</t>
        </is>
      </c>
      <c r="V311" s="11" t="inlineStr">
        <is>
          <t>9151 · SECTOR PRIMARIO (agropecuario, pesca, forestal, minería)</t>
        </is>
      </c>
      <c r="W311" s="12" t="n"/>
      <c r="X311" s="12" t="n"/>
    </row>
    <row r="312" ht="15" customHeight="1">
      <c r="C312" t="inlineStr">
        <is>
          <t>Actividad económica / giro mercantil</t>
        </is>
      </c>
      <c r="D312" t="inlineStr">
        <is>
          <t>F12</t>
        </is>
      </c>
      <c r="E312" t="inlineStr">
        <is>
          <t>INHERENTE</t>
        </is>
      </c>
      <c r="F312" t="inlineStr">
        <is>
          <t>FABRICACIÓN DE ALIMENTOS</t>
        </is>
      </c>
      <c r="G312" t="n">
        <v>2000008</v>
      </c>
      <c r="H312" t="n">
        <v>1</v>
      </c>
      <c r="I312" t="n">
        <v>1</v>
      </c>
      <c r="J312" t="n">
        <v>8</v>
      </c>
      <c r="K312" t="n">
        <v>8</v>
      </c>
      <c r="L312" t="n">
        <v>8</v>
      </c>
      <c r="M312" t="n">
        <v>8</v>
      </c>
      <c r="N312" t="n">
        <v>8</v>
      </c>
      <c r="O312" t="n">
        <v>40</v>
      </c>
      <c r="P312" t="n">
        <v>8</v>
      </c>
      <c r="R312" s="9" t="n">
        <v>0.08</v>
      </c>
      <c r="S312" s="10" t="inlineStr">
        <is>
          <t>SÍ — integrante</t>
        </is>
      </c>
      <c r="T312" s="11" t="inlineStr">
        <is>
          <t>B · INTEGRANTE</t>
        </is>
      </c>
      <c r="U312" s="11" t="inlineStr">
        <is>
          <t>DEL BANCO (se hereda)</t>
        </is>
      </c>
      <c r="V312" s="11" t="inlineStr">
        <is>
          <t>9152 · INDUSTRIA Y MANUFACTURA</t>
        </is>
      </c>
      <c r="W312" s="12" t="n"/>
      <c r="X312" s="12" t="n"/>
    </row>
    <row r="313" ht="15" customHeight="1">
      <c r="C313" t="inlineStr">
        <is>
          <t>Actividad económica / giro mercantil</t>
        </is>
      </c>
      <c r="D313" t="inlineStr">
        <is>
          <t>F12</t>
        </is>
      </c>
      <c r="E313" t="inlineStr">
        <is>
          <t>INHERENTE</t>
        </is>
      </c>
      <c r="F313" t="inlineStr">
        <is>
          <t>DESHIDRATACION DE FRUTAS</t>
        </is>
      </c>
      <c r="G313" t="n">
        <v>2011013</v>
      </c>
      <c r="H313" t="n">
        <v>1</v>
      </c>
      <c r="I313" t="n">
        <v>1</v>
      </c>
      <c r="J313" t="n">
        <v>8</v>
      </c>
      <c r="K313" t="n">
        <v>8</v>
      </c>
      <c r="L313" t="n">
        <v>8</v>
      </c>
      <c r="M313" t="n">
        <v>8</v>
      </c>
      <c r="N313" t="n">
        <v>8</v>
      </c>
      <c r="O313" t="n">
        <v>40</v>
      </c>
      <c r="P313" t="n">
        <v>8</v>
      </c>
      <c r="R313" s="9" t="n">
        <v>0.08</v>
      </c>
      <c r="S313" s="10" t="inlineStr">
        <is>
          <t>SÍ — integrante</t>
        </is>
      </c>
      <c r="T313" s="11" t="inlineStr">
        <is>
          <t>B · INTEGRANTE</t>
        </is>
      </c>
      <c r="U313" s="11" t="inlineStr">
        <is>
          <t>DEL BANCO (se hereda)</t>
        </is>
      </c>
      <c r="V313" s="11" t="inlineStr">
        <is>
          <t>9151 · SECTOR PRIMARIO (agropecuario, pesca, forestal, minería)</t>
        </is>
      </c>
      <c r="W313" s="12" t="n"/>
      <c r="X313" s="12" t="n"/>
    </row>
    <row r="314" ht="15" customHeight="1">
      <c r="C314" t="inlineStr">
        <is>
          <t>Actividad económica / giro mercantil</t>
        </is>
      </c>
      <c r="D314" t="inlineStr">
        <is>
          <t>F12</t>
        </is>
      </c>
      <c r="E314" t="inlineStr">
        <is>
          <t>INHERENTE</t>
        </is>
      </c>
      <c r="F314" t="inlineStr">
        <is>
          <t>EMPACADORA DE CONSERVAS ALIMENTICIAS</t>
        </is>
      </c>
      <c r="G314" t="n">
        <v>2012011</v>
      </c>
      <c r="H314" t="n">
        <v>1</v>
      </c>
      <c r="I314" t="n">
        <v>1</v>
      </c>
      <c r="J314" t="n">
        <v>8</v>
      </c>
      <c r="K314" t="n">
        <v>8</v>
      </c>
      <c r="L314" t="n">
        <v>8</v>
      </c>
      <c r="M314" t="n">
        <v>8</v>
      </c>
      <c r="N314" t="n">
        <v>8</v>
      </c>
      <c r="O314" t="n">
        <v>40</v>
      </c>
      <c r="P314" t="n">
        <v>8</v>
      </c>
      <c r="R314" s="9" t="n">
        <v>0.08</v>
      </c>
      <c r="S314" s="10" t="inlineStr">
        <is>
          <t>SÍ — integrante</t>
        </is>
      </c>
      <c r="T314" s="11" t="inlineStr">
        <is>
          <t>B · INTEGRANTE</t>
        </is>
      </c>
      <c r="U314" s="11" t="inlineStr">
        <is>
          <t>DEL BANCO (se hereda)</t>
        </is>
      </c>
      <c r="V314" s="11" t="inlineStr">
        <is>
          <t>9152 · INDUSTRIA Y MANUFACTURA</t>
        </is>
      </c>
      <c r="W314" s="12" t="n"/>
      <c r="X314" s="12" t="n"/>
    </row>
    <row r="315" ht="15" customHeight="1">
      <c r="C315" t="inlineStr">
        <is>
          <t>Actividad económica / giro mercantil</t>
        </is>
      </c>
      <c r="D315" t="inlineStr">
        <is>
          <t>F12</t>
        </is>
      </c>
      <c r="E315" t="inlineStr">
        <is>
          <t>INHERENTE</t>
        </is>
      </c>
      <c r="F315" t="inlineStr">
        <is>
          <t>EMPACADORA DE FRUTAS Y LEGUMBRES</t>
        </is>
      </c>
      <c r="G315" t="n">
        <v>2012029</v>
      </c>
      <c r="H315" t="n">
        <v>1</v>
      </c>
      <c r="I315" t="n">
        <v>1</v>
      </c>
      <c r="J315" t="n">
        <v>8</v>
      </c>
      <c r="K315" t="n">
        <v>8</v>
      </c>
      <c r="L315" t="n">
        <v>8</v>
      </c>
      <c r="M315" t="n">
        <v>8</v>
      </c>
      <c r="N315" t="n">
        <v>8</v>
      </c>
      <c r="O315" t="n">
        <v>40</v>
      </c>
      <c r="P315" t="n">
        <v>8</v>
      </c>
      <c r="R315" s="9" t="n">
        <v>0.08</v>
      </c>
      <c r="S315" s="10" t="inlineStr">
        <is>
          <t>SÍ — integrante</t>
        </is>
      </c>
      <c r="T315" s="11" t="inlineStr">
        <is>
          <t>B · INTEGRANTE</t>
        </is>
      </c>
      <c r="U315" s="11" t="inlineStr">
        <is>
          <t>DEL BANCO (se hereda)</t>
        </is>
      </c>
      <c r="V315" s="11" t="inlineStr">
        <is>
          <t>9151 · SECTOR PRIMARIO (agropecuario, pesca, forestal, minería)</t>
        </is>
      </c>
      <c r="W315" s="12" t="n"/>
      <c r="X315" s="12" t="n"/>
    </row>
    <row r="316" ht="15" customHeight="1">
      <c r="C316" t="inlineStr">
        <is>
          <t>Actividad económica / giro mercantil</t>
        </is>
      </c>
      <c r="D316" t="inlineStr">
        <is>
          <t>F12</t>
        </is>
      </c>
      <c r="E316" t="inlineStr">
        <is>
          <t>INHERENTE</t>
        </is>
      </c>
      <c r="F316" t="inlineStr">
        <is>
          <t>FABRICACION DE CONCENTRADOS DE FRUTAS</t>
        </is>
      </c>
      <c r="G316" t="n">
        <v>2012037</v>
      </c>
      <c r="H316" t="n">
        <v>1</v>
      </c>
      <c r="I316" t="n">
        <v>1</v>
      </c>
      <c r="J316" t="n">
        <v>8</v>
      </c>
      <c r="K316" t="n">
        <v>8</v>
      </c>
      <c r="L316" t="n">
        <v>8</v>
      </c>
      <c r="M316" t="n">
        <v>8</v>
      </c>
      <c r="N316" t="n">
        <v>8</v>
      </c>
      <c r="O316" t="n">
        <v>40</v>
      </c>
      <c r="P316" t="n">
        <v>8</v>
      </c>
      <c r="R316" s="9" t="n">
        <v>0.08</v>
      </c>
      <c r="S316" s="10" t="inlineStr">
        <is>
          <t>SÍ — integrante</t>
        </is>
      </c>
      <c r="T316" s="11" t="inlineStr">
        <is>
          <t>B · INTEGRANTE</t>
        </is>
      </c>
      <c r="U316" s="11" t="inlineStr">
        <is>
          <t>DEL BANCO (se hereda)</t>
        </is>
      </c>
      <c r="V316" s="11" t="inlineStr">
        <is>
          <t>9151 · SECTOR PRIMARIO (agropecuario, pesca, forestal, minería)</t>
        </is>
      </c>
      <c r="W316" s="12" t="n"/>
      <c r="X316" s="12" t="n"/>
    </row>
    <row r="317" ht="15" customHeight="1">
      <c r="C317" t="inlineStr">
        <is>
          <t>Actividad económica / giro mercantil</t>
        </is>
      </c>
      <c r="D317" t="inlineStr">
        <is>
          <t>F12</t>
        </is>
      </c>
      <c r="E317" t="inlineStr">
        <is>
          <t>INHERENTE</t>
        </is>
      </c>
      <c r="F317" t="inlineStr">
        <is>
          <t>FABRICACION DE ENCURTIDOS</t>
        </is>
      </c>
      <c r="G317" t="n">
        <v>2012045</v>
      </c>
      <c r="H317" t="n">
        <v>1</v>
      </c>
      <c r="I317" t="n">
        <v>1</v>
      </c>
      <c r="J317" t="n">
        <v>8</v>
      </c>
      <c r="K317" t="n">
        <v>8</v>
      </c>
      <c r="L317" t="n">
        <v>8</v>
      </c>
      <c r="M317" t="n">
        <v>8</v>
      </c>
      <c r="N317" t="n">
        <v>8</v>
      </c>
      <c r="O317" t="n">
        <v>40</v>
      </c>
      <c r="P317" t="n">
        <v>8</v>
      </c>
      <c r="R317" s="9" t="n">
        <v>0.08</v>
      </c>
      <c r="S317" s="10" t="inlineStr">
        <is>
          <t>SÍ — integrante</t>
        </is>
      </c>
      <c r="T317" s="11" t="inlineStr">
        <is>
          <t>B · INTEGRANTE</t>
        </is>
      </c>
      <c r="U317" s="11" t="inlineStr">
        <is>
          <t>DEL BANCO (se hereda)</t>
        </is>
      </c>
      <c r="V317" s="11" t="inlineStr">
        <is>
          <t>9152 · INDUSTRIA Y MANUFACTURA</t>
        </is>
      </c>
      <c r="W317" s="12" t="n"/>
      <c r="X317" s="12" t="n"/>
    </row>
    <row r="318" ht="15" customHeight="1">
      <c r="C318" t="inlineStr">
        <is>
          <t>Actividad económica / giro mercantil</t>
        </is>
      </c>
      <c r="D318" t="inlineStr">
        <is>
          <t>F12</t>
        </is>
      </c>
      <c r="E318" t="inlineStr">
        <is>
          <t>INHERENTE</t>
        </is>
      </c>
      <c r="F318" t="inlineStr">
        <is>
          <t>FABRICACION DE ATES</t>
        </is>
      </c>
      <c r="G318" t="n">
        <v>2013019</v>
      </c>
      <c r="H318" t="n">
        <v>1</v>
      </c>
      <c r="I318" t="n">
        <v>1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40</v>
      </c>
      <c r="P318" t="n">
        <v>8</v>
      </c>
      <c r="R318" s="9" t="n">
        <v>0.08</v>
      </c>
      <c r="S318" s="10" t="inlineStr">
        <is>
          <t>SÍ — integrante</t>
        </is>
      </c>
      <c r="T318" s="11" t="inlineStr">
        <is>
          <t>B · INTEGRANTE</t>
        </is>
      </c>
      <c r="U318" s="11" t="inlineStr">
        <is>
          <t>DEL BANCO (se hereda)</t>
        </is>
      </c>
      <c r="V318" s="11" t="inlineStr">
        <is>
          <t>9152 · INDUSTRIA Y MANUFACTURA</t>
        </is>
      </c>
      <c r="W318" s="12" t="n"/>
      <c r="X318" s="12" t="n"/>
    </row>
    <row r="319" ht="15" customHeight="1">
      <c r="C319" t="inlineStr">
        <is>
          <t>Actividad económica / giro mercantil</t>
        </is>
      </c>
      <c r="D319" t="inlineStr">
        <is>
          <t>F12</t>
        </is>
      </c>
      <c r="E319" t="inlineStr">
        <is>
          <t>INHERENTE</t>
        </is>
      </c>
      <c r="F319" t="inlineStr">
        <is>
          <t>FABRICACION DE QUESO Y MIEL DE TUNA</t>
        </is>
      </c>
      <c r="G319" t="n">
        <v>2013027</v>
      </c>
      <c r="H319" t="n">
        <v>1</v>
      </c>
      <c r="I319" t="n">
        <v>1</v>
      </c>
      <c r="J319" t="n">
        <v>8</v>
      </c>
      <c r="K319" t="n">
        <v>8</v>
      </c>
      <c r="L319" t="n">
        <v>8</v>
      </c>
      <c r="M319" t="n">
        <v>8</v>
      </c>
      <c r="N319" t="n">
        <v>8</v>
      </c>
      <c r="O319" t="n">
        <v>40</v>
      </c>
      <c r="P319" t="n">
        <v>8</v>
      </c>
      <c r="R319" s="9" t="n">
        <v>0.08</v>
      </c>
      <c r="S319" s="10" t="inlineStr">
        <is>
          <t>SÍ — integrante</t>
        </is>
      </c>
      <c r="T319" s="11" t="inlineStr">
        <is>
          <t>B · INTEGRANTE</t>
        </is>
      </c>
      <c r="U319" s="11" t="inlineStr">
        <is>
          <t>DEL BANCO (se hereda)</t>
        </is>
      </c>
      <c r="V319" s="11" t="inlineStr">
        <is>
          <t>9152 · INDUSTRIA Y MANUFACTURA</t>
        </is>
      </c>
      <c r="W319" s="12" t="n"/>
      <c r="X319" s="12" t="n"/>
    </row>
    <row r="320" ht="15" customHeight="1">
      <c r="C320" t="inlineStr">
        <is>
          <t>Actividad económica / giro mercantil</t>
        </is>
      </c>
      <c r="D320" t="inlineStr">
        <is>
          <t>F12</t>
        </is>
      </c>
      <c r="E320" t="inlineStr">
        <is>
          <t>INHERENTE</t>
        </is>
      </c>
      <c r="F320" t="inlineStr">
        <is>
          <t>FABRICACION DE SALSAS</t>
        </is>
      </c>
      <c r="G320" t="n">
        <v>2014017</v>
      </c>
      <c r="H320" t="n">
        <v>1</v>
      </c>
      <c r="I320" t="n">
        <v>1</v>
      </c>
      <c r="J320" t="n">
        <v>8</v>
      </c>
      <c r="K320" t="n">
        <v>8</v>
      </c>
      <c r="L320" t="n">
        <v>8</v>
      </c>
      <c r="M320" t="n">
        <v>8</v>
      </c>
      <c r="N320" t="n">
        <v>8</v>
      </c>
      <c r="O320" t="n">
        <v>40</v>
      </c>
      <c r="P320" t="n">
        <v>8</v>
      </c>
      <c r="R320" s="9" t="n">
        <v>0.08</v>
      </c>
      <c r="S320" s="10" t="inlineStr">
        <is>
          <t>SÍ — integrante</t>
        </is>
      </c>
      <c r="T320" s="11" t="inlineStr">
        <is>
          <t>B · INTEGRANTE</t>
        </is>
      </c>
      <c r="U320" s="11" t="inlineStr">
        <is>
          <t>DEL BANCO (se hereda)</t>
        </is>
      </c>
      <c r="V320" s="11" t="inlineStr">
        <is>
          <t>9152 · INDUSTRIA Y MANUFACTURA</t>
        </is>
      </c>
      <c r="W320" s="12" t="n"/>
      <c r="X320" s="12" t="n"/>
    </row>
    <row r="321" ht="15" customHeight="1">
      <c r="C321" t="inlineStr">
        <is>
          <t>Actividad económica / giro mercantil</t>
        </is>
      </c>
      <c r="D321" t="inlineStr">
        <is>
          <t>F12</t>
        </is>
      </c>
      <c r="E321" t="inlineStr">
        <is>
          <t>INHERENTE</t>
        </is>
      </c>
      <c r="F321" t="inlineStr">
        <is>
          <t>MOLINO DE TRIGO</t>
        </is>
      </c>
      <c r="G321" t="n">
        <v>2021012</v>
      </c>
      <c r="H321" t="n">
        <v>1</v>
      </c>
      <c r="I321" t="n">
        <v>1</v>
      </c>
      <c r="J321" t="n">
        <v>8</v>
      </c>
      <c r="K321" t="n">
        <v>8</v>
      </c>
      <c r="L321" t="n">
        <v>8</v>
      </c>
      <c r="M321" t="n">
        <v>8</v>
      </c>
      <c r="N321" t="n">
        <v>8</v>
      </c>
      <c r="O321" t="n">
        <v>40</v>
      </c>
      <c r="P321" t="n">
        <v>8</v>
      </c>
      <c r="R321" s="9" t="n">
        <v>0.08</v>
      </c>
      <c r="S321" s="10" t="inlineStr">
        <is>
          <t>SÍ — integrante</t>
        </is>
      </c>
      <c r="T321" s="11" t="inlineStr">
        <is>
          <t>B · INTEGRANTE</t>
        </is>
      </c>
      <c r="U321" s="11" t="inlineStr">
        <is>
          <t>DEL BANCO (se hereda)</t>
        </is>
      </c>
      <c r="V321" s="11" t="inlineStr">
        <is>
          <t>9152 · INDUSTRIA Y MANUFACTURA</t>
        </is>
      </c>
      <c r="W321" s="12" t="n"/>
      <c r="X321" s="12" t="n"/>
    </row>
    <row r="322" ht="15" customHeight="1">
      <c r="C322" t="inlineStr">
        <is>
          <t>Actividad económica / giro mercantil</t>
        </is>
      </c>
      <c r="D322" t="inlineStr">
        <is>
          <t>F12</t>
        </is>
      </c>
      <c r="E322" t="inlineStr">
        <is>
          <t>INHERENTE</t>
        </is>
      </c>
      <c r="F322" t="inlineStr">
        <is>
          <t>MOLINO DE MAIZ</t>
        </is>
      </c>
      <c r="G322" t="n">
        <v>2022010</v>
      </c>
      <c r="H322" t="n">
        <v>1</v>
      </c>
      <c r="I322" t="n">
        <v>1</v>
      </c>
      <c r="J322" t="n">
        <v>8</v>
      </c>
      <c r="K322" t="n">
        <v>8</v>
      </c>
      <c r="L322" t="n">
        <v>8</v>
      </c>
      <c r="M322" t="n">
        <v>8</v>
      </c>
      <c r="N322" t="n">
        <v>8</v>
      </c>
      <c r="O322" t="n">
        <v>40</v>
      </c>
      <c r="P322" t="n">
        <v>8</v>
      </c>
      <c r="R322" s="9" t="n">
        <v>0.08</v>
      </c>
      <c r="S322" s="10" t="inlineStr">
        <is>
          <t>SÍ — integrante</t>
        </is>
      </c>
      <c r="T322" s="11" t="inlineStr">
        <is>
          <t>B · INTEGRANTE</t>
        </is>
      </c>
      <c r="U322" s="11" t="inlineStr">
        <is>
          <t>DEL BANCO (se hereda)</t>
        </is>
      </c>
      <c r="V322" s="11" t="inlineStr">
        <is>
          <t>9152 · INDUSTRIA Y MANUFACTURA</t>
        </is>
      </c>
      <c r="W322" s="12" t="n"/>
      <c r="X322" s="12" t="n"/>
    </row>
    <row r="323" ht="15" customHeight="1">
      <c r="C323" t="inlineStr">
        <is>
          <t>Actividad económica / giro mercantil</t>
        </is>
      </c>
      <c r="D323" t="inlineStr">
        <is>
          <t>F12</t>
        </is>
      </c>
      <c r="E323" t="inlineStr">
        <is>
          <t>INHERENTE</t>
        </is>
      </c>
      <c r="F323" t="inlineStr">
        <is>
          <t>MOLINO DE NIXTAMAL</t>
        </is>
      </c>
      <c r="G323" t="n">
        <v>2023018</v>
      </c>
      <c r="H323" t="n">
        <v>1</v>
      </c>
      <c r="I323" t="n">
        <v>1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40</v>
      </c>
      <c r="P323" t="n">
        <v>8</v>
      </c>
      <c r="R323" s="9" t="n">
        <v>0.08</v>
      </c>
      <c r="S323" s="10" t="inlineStr">
        <is>
          <t>SÍ — integrante</t>
        </is>
      </c>
      <c r="T323" s="11" t="inlineStr">
        <is>
          <t>B · INTEGRANTE</t>
        </is>
      </c>
      <c r="U323" s="11" t="inlineStr">
        <is>
          <t>DEL BANCO (se hereda)</t>
        </is>
      </c>
      <c r="V323" s="11" t="inlineStr">
        <is>
          <t>9152 · INDUSTRIA Y MANUFACTURA</t>
        </is>
      </c>
      <c r="W323" s="12" t="n"/>
      <c r="X323" s="12" t="n"/>
    </row>
    <row r="324" ht="15" customHeight="1">
      <c r="C324" t="inlineStr">
        <is>
          <t>Actividad económica / giro mercantil</t>
        </is>
      </c>
      <c r="D324" t="inlineStr">
        <is>
          <t>F12</t>
        </is>
      </c>
      <c r="E324" t="inlineStr">
        <is>
          <t>INHERENTE</t>
        </is>
      </c>
      <c r="F324" t="inlineStr">
        <is>
          <t>MOLINO DE ARROZ</t>
        </is>
      </c>
      <c r="G324" t="n">
        <v>2024016</v>
      </c>
      <c r="H324" t="n">
        <v>1</v>
      </c>
      <c r="I324" t="n">
        <v>1</v>
      </c>
      <c r="J324" t="n">
        <v>8</v>
      </c>
      <c r="K324" t="n">
        <v>8</v>
      </c>
      <c r="L324" t="n">
        <v>8</v>
      </c>
      <c r="M324" t="n">
        <v>8</v>
      </c>
      <c r="N324" t="n">
        <v>8</v>
      </c>
      <c r="O324" t="n">
        <v>40</v>
      </c>
      <c r="P324" t="n">
        <v>8</v>
      </c>
      <c r="R324" s="9" t="n">
        <v>0.08</v>
      </c>
      <c r="S324" s="10" t="inlineStr">
        <is>
          <t>SÍ — integrante</t>
        </is>
      </c>
      <c r="T324" s="11" t="inlineStr">
        <is>
          <t>B · INTEGRANTE</t>
        </is>
      </c>
      <c r="U324" s="11" t="inlineStr">
        <is>
          <t>DEL BANCO (se hereda)</t>
        </is>
      </c>
      <c r="V324" s="11" t="inlineStr">
        <is>
          <t>9152 · INDUSTRIA Y MANUFACTURA</t>
        </is>
      </c>
      <c r="W324" s="12" t="n"/>
      <c r="X324" s="12" t="n"/>
    </row>
    <row r="325" ht="15" customHeight="1">
      <c r="C325" t="inlineStr">
        <is>
          <t>Actividad económica / giro mercantil</t>
        </is>
      </c>
      <c r="D325" t="inlineStr">
        <is>
          <t>F12</t>
        </is>
      </c>
      <c r="E325" t="inlineStr">
        <is>
          <t>INHERENTE</t>
        </is>
      </c>
      <c r="F325" t="inlineStr">
        <is>
          <t>BENEFICIO DE CAFE EXCEPTO MOLIENDA Y TOSTADO</t>
        </is>
      </c>
      <c r="G325" t="n">
        <v>2025014</v>
      </c>
      <c r="H325" t="n">
        <v>1</v>
      </c>
      <c r="I325" t="n">
        <v>1</v>
      </c>
      <c r="J325" t="n">
        <v>8</v>
      </c>
      <c r="K325" t="n">
        <v>8</v>
      </c>
      <c r="L325" t="n">
        <v>8</v>
      </c>
      <c r="M325" t="n">
        <v>8</v>
      </c>
      <c r="N325" t="n">
        <v>8</v>
      </c>
      <c r="O325" t="n">
        <v>40</v>
      </c>
      <c r="P325" t="n">
        <v>8</v>
      </c>
      <c r="R325" s="9" t="n">
        <v>0.08</v>
      </c>
      <c r="S325" s="10" t="inlineStr">
        <is>
          <t>SÍ — integrante</t>
        </is>
      </c>
      <c r="T325" s="11" t="inlineStr">
        <is>
          <t>B · INTEGRANTE</t>
        </is>
      </c>
      <c r="U325" s="11" t="inlineStr">
        <is>
          <t>DEL BANCO (se hereda)</t>
        </is>
      </c>
      <c r="V325" s="11" t="inlineStr">
        <is>
          <t>9151 · SECTOR PRIMARIO (agropecuario, pesca, forestal, minería)</t>
        </is>
      </c>
      <c r="W325" s="12" t="n"/>
      <c r="X325" s="12" t="n"/>
    </row>
    <row r="326" ht="15" customHeight="1">
      <c r="C326" t="inlineStr">
        <is>
          <t>Actividad económica / giro mercantil</t>
        </is>
      </c>
      <c r="D326" t="inlineStr">
        <is>
          <t>F12</t>
        </is>
      </c>
      <c r="E326" t="inlineStr">
        <is>
          <t>INHERENTE</t>
        </is>
      </c>
      <c r="F326" t="inlineStr">
        <is>
          <t>MOLINO Y TOSTADOR DE CAFE</t>
        </is>
      </c>
      <c r="G326" t="n">
        <v>2026012</v>
      </c>
      <c r="H326" t="n">
        <v>1</v>
      </c>
      <c r="I326" t="n">
        <v>1</v>
      </c>
      <c r="J326" t="n">
        <v>8</v>
      </c>
      <c r="K326" t="n">
        <v>8</v>
      </c>
      <c r="L326" t="n">
        <v>8</v>
      </c>
      <c r="M326" t="n">
        <v>8</v>
      </c>
      <c r="N326" t="n">
        <v>8</v>
      </c>
      <c r="O326" t="n">
        <v>40</v>
      </c>
      <c r="P326" t="n">
        <v>8</v>
      </c>
      <c r="R326" s="9" t="n">
        <v>0.08</v>
      </c>
      <c r="S326" s="10" t="inlineStr">
        <is>
          <t>SÍ — integrante</t>
        </is>
      </c>
      <c r="T326" s="11" t="inlineStr">
        <is>
          <t>B · INTEGRANTE</t>
        </is>
      </c>
      <c r="U326" s="11" t="inlineStr">
        <is>
          <t>DEL BANCO (se hereda)</t>
        </is>
      </c>
      <c r="V326" s="11" t="inlineStr">
        <is>
          <t>9151 · SECTOR PRIMARIO (agropecuario, pesca, forestal, minería)</t>
        </is>
      </c>
      <c r="W326" s="12" t="n"/>
      <c r="X326" s="12" t="n"/>
    </row>
    <row r="327" ht="15" customHeight="1">
      <c r="C327" t="inlineStr">
        <is>
          <t>Actividad económica / giro mercantil</t>
        </is>
      </c>
      <c r="D327" t="inlineStr">
        <is>
          <t>F12</t>
        </is>
      </c>
      <c r="E327" t="inlineStr">
        <is>
          <t>INHERENTE</t>
        </is>
      </c>
      <c r="F327" t="inlineStr">
        <is>
          <t>EMPACADORA DE TE</t>
        </is>
      </c>
      <c r="G327" t="n">
        <v>2027010</v>
      </c>
      <c r="H327" t="n">
        <v>1</v>
      </c>
      <c r="I327" t="n">
        <v>1</v>
      </c>
      <c r="J327" t="n">
        <v>8</v>
      </c>
      <c r="K327" t="n">
        <v>8</v>
      </c>
      <c r="L327" t="n">
        <v>8</v>
      </c>
      <c r="M327" t="n">
        <v>8</v>
      </c>
      <c r="N327" t="n">
        <v>8</v>
      </c>
      <c r="O327" t="n">
        <v>40</v>
      </c>
      <c r="P327" t="n">
        <v>8</v>
      </c>
      <c r="R327" s="9" t="n">
        <v>0.08</v>
      </c>
      <c r="S327" s="10" t="inlineStr">
        <is>
          <t>SÍ — integrante</t>
        </is>
      </c>
      <c r="T327" s="11" t="inlineStr">
        <is>
          <t>B · INTEGRANTE</t>
        </is>
      </c>
      <c r="U327" s="11" t="inlineStr">
        <is>
          <t>DEL BANCO (se hereda)</t>
        </is>
      </c>
      <c r="V327" s="11" t="inlineStr">
        <is>
          <t>9152 · INDUSTRIA Y MANUFACTURA</t>
        </is>
      </c>
      <c r="W327" s="12" t="n"/>
      <c r="X327" s="12" t="n"/>
    </row>
    <row r="328" ht="15" customHeight="1">
      <c r="C328" t="inlineStr">
        <is>
          <t>Actividad económica / giro mercantil</t>
        </is>
      </c>
      <c r="D328" t="inlineStr">
        <is>
          <t>F12</t>
        </is>
      </c>
      <c r="E328" t="inlineStr">
        <is>
          <t>INHERENTE</t>
        </is>
      </c>
      <c r="F328" t="inlineStr">
        <is>
          <t>BENEFICIO DE ARROZ EXCEPTO MOLIENDA</t>
        </is>
      </c>
      <c r="G328" t="n">
        <v>2028018</v>
      </c>
      <c r="H328" t="n">
        <v>1</v>
      </c>
      <c r="I328" t="n">
        <v>1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40</v>
      </c>
      <c r="P328" t="n">
        <v>8</v>
      </c>
      <c r="R328" s="9" t="n">
        <v>0.08</v>
      </c>
      <c r="S328" s="10" t="inlineStr">
        <is>
          <t>SÍ — integrante</t>
        </is>
      </c>
      <c r="T328" s="11" t="inlineStr">
        <is>
          <t>B · INTEGRANTE</t>
        </is>
      </c>
      <c r="U328" s="11" t="inlineStr">
        <is>
          <t>DEL BANCO (se hereda)</t>
        </is>
      </c>
      <c r="V328" s="11" t="inlineStr">
        <is>
          <t>9152 · INDUSTRIA Y MANUFACTURA</t>
        </is>
      </c>
      <c r="W328" s="12" t="n"/>
      <c r="X328" s="12" t="n"/>
    </row>
    <row r="329" ht="15" customHeight="1">
      <c r="C329" t="inlineStr">
        <is>
          <t>Actividad económica / giro mercantil</t>
        </is>
      </c>
      <c r="D329" t="inlineStr">
        <is>
          <t>F12</t>
        </is>
      </c>
      <c r="E329" t="inlineStr">
        <is>
          <t>INHERENTE</t>
        </is>
      </c>
      <c r="F329" t="inlineStr">
        <is>
          <t>DESCASCARADO Y TOSTADO DE CACAHUATE Y NUEZ</t>
        </is>
      </c>
      <c r="G329" t="n">
        <v>2028026</v>
      </c>
      <c r="H329" t="n">
        <v>1</v>
      </c>
      <c r="I329" t="n">
        <v>1</v>
      </c>
      <c r="J329" t="n">
        <v>8</v>
      </c>
      <c r="K329" t="n">
        <v>8</v>
      </c>
      <c r="L329" t="n">
        <v>8</v>
      </c>
      <c r="M329" t="n">
        <v>8</v>
      </c>
      <c r="N329" t="n">
        <v>8</v>
      </c>
      <c r="O329" t="n">
        <v>40</v>
      </c>
      <c r="P329" t="n">
        <v>8</v>
      </c>
      <c r="R329" s="9" t="n">
        <v>0.08</v>
      </c>
      <c r="S329" s="10" t="inlineStr">
        <is>
          <t>SÍ — integrante</t>
        </is>
      </c>
      <c r="T329" s="11" t="inlineStr">
        <is>
          <t>B · INTEGRANTE</t>
        </is>
      </c>
      <c r="U329" s="11" t="inlineStr">
        <is>
          <t>DEL BANCO (se hereda)</t>
        </is>
      </c>
      <c r="V329" s="11" t="inlineStr">
        <is>
          <t>9154 · OTRAS ACTIVIDADES NO CLASIFICADAS</t>
        </is>
      </c>
      <c r="W329" s="12" t="n"/>
      <c r="X329" s="12" t="n"/>
    </row>
    <row r="330" ht="15" customHeight="1">
      <c r="C330" t="inlineStr">
        <is>
          <t>Actividad económica / giro mercantil</t>
        </is>
      </c>
      <c r="D330" t="inlineStr">
        <is>
          <t>F12</t>
        </is>
      </c>
      <c r="E330" t="inlineStr">
        <is>
          <t>INHERENTE</t>
        </is>
      </c>
      <c r="F330" t="inlineStr">
        <is>
          <t>DESCASCARADORA Y TOSTADORA DE SEMILLA DE CALABAZA</t>
        </is>
      </c>
      <c r="G330" t="n">
        <v>2028034</v>
      </c>
      <c r="H330" t="n">
        <v>1</v>
      </c>
      <c r="I330" t="n">
        <v>1</v>
      </c>
      <c r="J330" t="n">
        <v>8</v>
      </c>
      <c r="K330" t="n">
        <v>8</v>
      </c>
      <c r="L330" t="n">
        <v>8</v>
      </c>
      <c r="M330" t="n">
        <v>8</v>
      </c>
      <c r="N330" t="n">
        <v>8</v>
      </c>
      <c r="O330" t="n">
        <v>40</v>
      </c>
      <c r="P330" t="n">
        <v>8</v>
      </c>
      <c r="R330" s="9" t="n">
        <v>0.08</v>
      </c>
      <c r="S330" s="10" t="inlineStr">
        <is>
          <t>SÍ — integrante</t>
        </is>
      </c>
      <c r="T330" s="11" t="inlineStr">
        <is>
          <t>B · INTEGRANTE</t>
        </is>
      </c>
      <c r="U330" s="11" t="inlineStr">
        <is>
          <t>DEL BANCO (se hereda)</t>
        </is>
      </c>
      <c r="V330" s="11" t="inlineStr">
        <is>
          <t>9151 · SECTOR PRIMARIO (agropecuario, pesca, forestal, minería)</t>
        </is>
      </c>
      <c r="W330" s="12" t="n"/>
      <c r="X330" s="12" t="n"/>
    </row>
    <row r="331" ht="15" customHeight="1">
      <c r="C331" t="inlineStr">
        <is>
          <t>Actividad económica / giro mercantil</t>
        </is>
      </c>
      <c r="D331" t="inlineStr">
        <is>
          <t>F12</t>
        </is>
      </c>
      <c r="E331" t="inlineStr">
        <is>
          <t>INHERENTE</t>
        </is>
      </c>
      <c r="F331" t="inlineStr">
        <is>
          <t>MOLINO PARA OTROS GRANOS EXCEPTO CEREALES</t>
        </is>
      </c>
      <c r="G331" t="n">
        <v>2028042</v>
      </c>
      <c r="H331" t="n">
        <v>1</v>
      </c>
      <c r="I331" t="n">
        <v>1</v>
      </c>
      <c r="J331" t="n">
        <v>8</v>
      </c>
      <c r="K331" t="n">
        <v>8</v>
      </c>
      <c r="L331" t="n">
        <v>8</v>
      </c>
      <c r="M331" t="n">
        <v>8</v>
      </c>
      <c r="N331" t="n">
        <v>8</v>
      </c>
      <c r="O331" t="n">
        <v>40</v>
      </c>
      <c r="P331" t="n">
        <v>8</v>
      </c>
      <c r="R331" s="9" t="n">
        <v>0.08</v>
      </c>
      <c r="S331" s="10" t="inlineStr">
        <is>
          <t>SÍ — integrante</t>
        </is>
      </c>
      <c r="T331" s="11" t="inlineStr">
        <is>
          <t>B · INTEGRANTE</t>
        </is>
      </c>
      <c r="U331" s="11" t="inlineStr">
        <is>
          <t>DEL BANCO (se hereda)</t>
        </is>
      </c>
      <c r="V331" s="11" t="inlineStr">
        <is>
          <t>9152 · INDUSTRIA Y MANUFACTURA</t>
        </is>
      </c>
      <c r="W331" s="12" t="n"/>
      <c r="X331" s="12" t="n"/>
    </row>
    <row r="332" ht="15" customHeight="1">
      <c r="C332" t="inlineStr">
        <is>
          <t>Actividad económica / giro mercantil</t>
        </is>
      </c>
      <c r="D332" t="inlineStr">
        <is>
          <t>F12</t>
        </is>
      </c>
      <c r="E332" t="inlineStr">
        <is>
          <t>INHERENTE</t>
        </is>
      </c>
      <c r="F332" t="inlineStr">
        <is>
          <t>MOLINO DE AVENA</t>
        </is>
      </c>
      <c r="G332" t="n">
        <v>2029016</v>
      </c>
      <c r="H332" t="n">
        <v>1</v>
      </c>
      <c r="I332" t="n">
        <v>1</v>
      </c>
      <c r="J332" t="n">
        <v>8</v>
      </c>
      <c r="K332" t="n">
        <v>8</v>
      </c>
      <c r="L332" t="n">
        <v>8</v>
      </c>
      <c r="M332" t="n">
        <v>8</v>
      </c>
      <c r="N332" t="n">
        <v>8</v>
      </c>
      <c r="O332" t="n">
        <v>40</v>
      </c>
      <c r="P332" t="n">
        <v>8</v>
      </c>
      <c r="R332" s="9" t="n">
        <v>0.08</v>
      </c>
      <c r="S332" s="10" t="inlineStr">
        <is>
          <t>SÍ — integrante</t>
        </is>
      </c>
      <c r="T332" s="11" t="inlineStr">
        <is>
          <t>B · INTEGRANTE</t>
        </is>
      </c>
      <c r="U332" s="11" t="inlineStr">
        <is>
          <t>DEL BANCO (se hereda)</t>
        </is>
      </c>
      <c r="V332" s="11" t="inlineStr">
        <is>
          <t>9152 · INDUSTRIA Y MANUFACTURA</t>
        </is>
      </c>
      <c r="W332" s="12" t="n"/>
      <c r="X332" s="12" t="n"/>
    </row>
    <row r="333" ht="15" customHeight="1">
      <c r="C333" t="inlineStr">
        <is>
          <t>Actividad económica / giro mercantil</t>
        </is>
      </c>
      <c r="D333" t="inlineStr">
        <is>
          <t>F12</t>
        </is>
      </c>
      <c r="E333" t="inlineStr">
        <is>
          <t>INHERENTE</t>
        </is>
      </c>
      <c r="F333" t="inlineStr">
        <is>
          <t>MOLINO DE CEBADA</t>
        </is>
      </c>
      <c r="G333" t="n">
        <v>2029024</v>
      </c>
      <c r="H333" t="n">
        <v>1</v>
      </c>
      <c r="I333" t="n">
        <v>1</v>
      </c>
      <c r="J333" t="n">
        <v>8</v>
      </c>
      <c r="K333" t="n">
        <v>8</v>
      </c>
      <c r="L333" t="n">
        <v>8</v>
      </c>
      <c r="M333" t="n">
        <v>8</v>
      </c>
      <c r="N333" t="n">
        <v>8</v>
      </c>
      <c r="O333" t="n">
        <v>40</v>
      </c>
      <c r="P333" t="n">
        <v>8</v>
      </c>
      <c r="R333" s="9" t="n">
        <v>0.08</v>
      </c>
      <c r="S333" s="10" t="inlineStr">
        <is>
          <t>SÍ — integrante</t>
        </is>
      </c>
      <c r="T333" s="11" t="inlineStr">
        <is>
          <t>B · INTEGRANTE</t>
        </is>
      </c>
      <c r="U333" s="11" t="inlineStr">
        <is>
          <t>DEL BANCO (se hereda)</t>
        </is>
      </c>
      <c r="V333" s="11" t="inlineStr">
        <is>
          <t>9152 · INDUSTRIA Y MANUFACTURA</t>
        </is>
      </c>
      <c r="W333" s="12" t="n"/>
      <c r="X333" s="12" t="n"/>
    </row>
    <row r="334" ht="15" customHeight="1">
      <c r="C334" t="inlineStr">
        <is>
          <t>Actividad económica / giro mercantil</t>
        </is>
      </c>
      <c r="D334" t="inlineStr">
        <is>
          <t>F12</t>
        </is>
      </c>
      <c r="E334" t="inlineStr">
        <is>
          <t>INHERENTE</t>
        </is>
      </c>
      <c r="F334" t="inlineStr">
        <is>
          <t>MOLINO DE OTROS CEREALES</t>
        </is>
      </c>
      <c r="G334" t="n">
        <v>2029032</v>
      </c>
      <c r="H334" t="n">
        <v>1</v>
      </c>
      <c r="I334" t="n">
        <v>1</v>
      </c>
      <c r="J334" t="n">
        <v>8</v>
      </c>
      <c r="K334" t="n">
        <v>8</v>
      </c>
      <c r="L334" t="n">
        <v>8</v>
      </c>
      <c r="M334" t="n">
        <v>8</v>
      </c>
      <c r="N334" t="n">
        <v>8</v>
      </c>
      <c r="O334" t="n">
        <v>40</v>
      </c>
      <c r="P334" t="n">
        <v>8</v>
      </c>
      <c r="R334" s="9" t="n">
        <v>0.08</v>
      </c>
      <c r="S334" s="10" t="inlineStr">
        <is>
          <t>SÍ — integrante</t>
        </is>
      </c>
      <c r="T334" s="11" t="inlineStr">
        <is>
          <t>B · INTEGRANTE</t>
        </is>
      </c>
      <c r="U334" s="11" t="inlineStr">
        <is>
          <t>DEL BANCO (se hereda)</t>
        </is>
      </c>
      <c r="V334" s="11" t="inlineStr">
        <is>
          <t>9152 · INDUSTRIA Y MANUFACTURA</t>
        </is>
      </c>
      <c r="W334" s="12" t="n"/>
      <c r="X334" s="12" t="n"/>
    </row>
    <row r="335" ht="15" customHeight="1">
      <c r="C335" t="inlineStr">
        <is>
          <t>Actividad económica / giro mercantil</t>
        </is>
      </c>
      <c r="D335" t="inlineStr">
        <is>
          <t>F12</t>
        </is>
      </c>
      <c r="E335" t="inlineStr">
        <is>
          <t>INHERENTE</t>
        </is>
      </c>
      <c r="F335" t="inlineStr">
        <is>
          <t>FABRICACION DE MARQUETAS Y ESTUCHADOS DE AZUCAR</t>
        </is>
      </c>
      <c r="G335" t="n">
        <v>2031011</v>
      </c>
      <c r="H335" t="n">
        <v>1</v>
      </c>
      <c r="I335" t="n">
        <v>1</v>
      </c>
      <c r="J335" t="n">
        <v>8</v>
      </c>
      <c r="K335" t="n">
        <v>8</v>
      </c>
      <c r="L335" t="n">
        <v>8</v>
      </c>
      <c r="M335" t="n">
        <v>8</v>
      </c>
      <c r="N335" t="n">
        <v>8</v>
      </c>
      <c r="O335" t="n">
        <v>40</v>
      </c>
      <c r="P335" t="n">
        <v>8</v>
      </c>
      <c r="R335" s="9" t="n">
        <v>0.08</v>
      </c>
      <c r="S335" s="10" t="inlineStr">
        <is>
          <t>SÍ — integrante</t>
        </is>
      </c>
      <c r="T335" s="11" t="inlineStr">
        <is>
          <t>B · INTEGRANTE</t>
        </is>
      </c>
      <c r="U335" s="11" t="inlineStr">
        <is>
          <t>DEL BANCO (se hereda)</t>
        </is>
      </c>
      <c r="V335" s="11" t="inlineStr">
        <is>
          <t>9152 · INDUSTRIA Y MANUFACTURA</t>
        </is>
      </c>
      <c r="W335" s="12" t="n"/>
      <c r="X335" s="12" t="n"/>
    </row>
    <row r="336" ht="15" customHeight="1">
      <c r="C336" t="inlineStr">
        <is>
          <t>Actividad económica / giro mercantil</t>
        </is>
      </c>
      <c r="D336" t="inlineStr">
        <is>
          <t>F12</t>
        </is>
      </c>
      <c r="E336" t="inlineStr">
        <is>
          <t>INHERENTE</t>
        </is>
      </c>
      <c r="F336" t="inlineStr">
        <is>
          <t>INGENIO AZUCARERO</t>
        </is>
      </c>
      <c r="G336" t="n">
        <v>2031029</v>
      </c>
      <c r="H336" t="n">
        <v>1</v>
      </c>
      <c r="I336" t="n">
        <v>1</v>
      </c>
      <c r="J336" t="n">
        <v>8</v>
      </c>
      <c r="K336" t="n">
        <v>8</v>
      </c>
      <c r="L336" t="n">
        <v>8</v>
      </c>
      <c r="M336" t="n">
        <v>8</v>
      </c>
      <c r="N336" t="n">
        <v>8</v>
      </c>
      <c r="O336" t="n">
        <v>40</v>
      </c>
      <c r="P336" t="n">
        <v>8</v>
      </c>
      <c r="R336" s="9" t="n">
        <v>0.08</v>
      </c>
      <c r="S336" s="10" t="inlineStr">
        <is>
          <t>SÍ — integrante</t>
        </is>
      </c>
      <c r="T336" s="11" t="inlineStr">
        <is>
          <t>B · INTEGRANTE</t>
        </is>
      </c>
      <c r="U336" s="11" t="inlineStr">
        <is>
          <t>DEL BANCO (se hereda)</t>
        </is>
      </c>
      <c r="V336" s="11" t="inlineStr">
        <is>
          <t>9154 · OTRAS ACTIVIDADES NO CLASIFICADAS</t>
        </is>
      </c>
      <c r="W336" s="12" t="n"/>
      <c r="X336" s="12" t="n"/>
    </row>
    <row r="337" ht="15" customHeight="1">
      <c r="C337" t="inlineStr">
        <is>
          <t>Actividad económica / giro mercantil</t>
        </is>
      </c>
      <c r="D337" t="inlineStr">
        <is>
          <t>F12</t>
        </is>
      </c>
      <c r="E337" t="inlineStr">
        <is>
          <t>INHERENTE</t>
        </is>
      </c>
      <c r="F337" t="inlineStr">
        <is>
          <t>FABRICACION DE PILONCILLO</t>
        </is>
      </c>
      <c r="G337" t="n">
        <v>2032019</v>
      </c>
      <c r="H337" t="n">
        <v>1</v>
      </c>
      <c r="I337" t="n">
        <v>1</v>
      </c>
      <c r="J337" t="n">
        <v>8</v>
      </c>
      <c r="K337" t="n">
        <v>8</v>
      </c>
      <c r="L337" t="n">
        <v>8</v>
      </c>
      <c r="M337" t="n">
        <v>8</v>
      </c>
      <c r="N337" t="n">
        <v>8</v>
      </c>
      <c r="O337" t="n">
        <v>40</v>
      </c>
      <c r="P337" t="n">
        <v>8</v>
      </c>
      <c r="R337" s="9" t="n">
        <v>0.08</v>
      </c>
      <c r="S337" s="10" t="inlineStr">
        <is>
          <t>SÍ — integrante</t>
        </is>
      </c>
      <c r="T337" s="11" t="inlineStr">
        <is>
          <t>B · INTEGRANTE</t>
        </is>
      </c>
      <c r="U337" s="11" t="inlineStr">
        <is>
          <t>DEL BANCO (se hereda)</t>
        </is>
      </c>
      <c r="V337" s="11" t="inlineStr">
        <is>
          <t>9152 · INDUSTRIA Y MANUFACTURA</t>
        </is>
      </c>
      <c r="W337" s="12" t="n"/>
      <c r="X337" s="12" t="n"/>
    </row>
    <row r="338" ht="15" customHeight="1">
      <c r="C338" t="inlineStr">
        <is>
          <t>Actividad económica / giro mercantil</t>
        </is>
      </c>
      <c r="D338" t="inlineStr">
        <is>
          <t>F12</t>
        </is>
      </c>
      <c r="E338" t="inlineStr">
        <is>
          <t>INHERENTE</t>
        </is>
      </c>
      <c r="F338" t="inlineStr">
        <is>
          <t>DESTILACION DE ALCOHOL ETILICO</t>
        </is>
      </c>
      <c r="G338" t="n">
        <v>2033017</v>
      </c>
      <c r="H338" t="n">
        <v>1</v>
      </c>
      <c r="I338" t="n">
        <v>1</v>
      </c>
      <c r="J338" t="n">
        <v>8</v>
      </c>
      <c r="K338" t="n">
        <v>8</v>
      </c>
      <c r="L338" t="n">
        <v>8</v>
      </c>
      <c r="M338" t="n">
        <v>8</v>
      </c>
      <c r="N338" t="n">
        <v>8</v>
      </c>
      <c r="O338" t="n">
        <v>40</v>
      </c>
      <c r="P338" t="n">
        <v>8</v>
      </c>
      <c r="R338" s="9" t="n">
        <v>0.08</v>
      </c>
      <c r="S338" s="10" t="inlineStr">
        <is>
          <t>SÍ — integrante</t>
        </is>
      </c>
      <c r="T338" s="11" t="inlineStr">
        <is>
          <t>B · INTEGRANTE</t>
        </is>
      </c>
      <c r="U338" s="11" t="inlineStr">
        <is>
          <t>DEL BANCO (se hereda)</t>
        </is>
      </c>
      <c r="V338" s="11" t="inlineStr">
        <is>
          <t>9152 · INDUSTRIA Y MANUFACTURA</t>
        </is>
      </c>
      <c r="W338" s="12" t="n"/>
      <c r="X338" s="12" t="n"/>
    </row>
    <row r="339" ht="15" customHeight="1">
      <c r="C339" t="inlineStr">
        <is>
          <t>Actividad económica / giro mercantil</t>
        </is>
      </c>
      <c r="D339" t="inlineStr">
        <is>
          <t>F12</t>
        </is>
      </c>
      <c r="E339" t="inlineStr">
        <is>
          <t>INHERENTE</t>
        </is>
      </c>
      <c r="F339" t="inlineStr">
        <is>
          <t>RASTRO</t>
        </is>
      </c>
      <c r="G339" t="n">
        <v>2041010</v>
      </c>
      <c r="H339" t="n">
        <v>1</v>
      </c>
      <c r="I339" t="n">
        <v>1</v>
      </c>
      <c r="J339" t="n">
        <v>8</v>
      </c>
      <c r="K339" t="n">
        <v>8</v>
      </c>
      <c r="L339" t="n">
        <v>8</v>
      </c>
      <c r="M339" t="n">
        <v>8</v>
      </c>
      <c r="N339" t="n">
        <v>8</v>
      </c>
      <c r="O339" t="n">
        <v>40</v>
      </c>
      <c r="P339" t="n">
        <v>8</v>
      </c>
      <c r="R339" s="9" t="n">
        <v>0.08</v>
      </c>
      <c r="S339" s="10" t="inlineStr">
        <is>
          <t>SÍ — integrante</t>
        </is>
      </c>
      <c r="T339" s="11" t="inlineStr">
        <is>
          <t>B · INTEGRANTE</t>
        </is>
      </c>
      <c r="U339" s="11" t="inlineStr">
        <is>
          <t>DEL BANCO (se hereda)</t>
        </is>
      </c>
      <c r="V339" s="11" t="inlineStr">
        <is>
          <t>9154 · OTRAS ACTIVIDADES NO CLASIFICADAS</t>
        </is>
      </c>
      <c r="W339" s="12" t="n"/>
      <c r="X339" s="12" t="n"/>
    </row>
    <row r="340" ht="15" customHeight="1">
      <c r="C340" t="inlineStr">
        <is>
          <t>Actividad económica / giro mercantil</t>
        </is>
      </c>
      <c r="D340" t="inlineStr">
        <is>
          <t>F12</t>
        </is>
      </c>
      <c r="E340" t="inlineStr">
        <is>
          <t>INHERENTE</t>
        </is>
      </c>
      <c r="F340" t="inlineStr">
        <is>
          <t>EMPACADORA DE CARNE</t>
        </is>
      </c>
      <c r="G340" t="n">
        <v>2049014</v>
      </c>
      <c r="H340" t="n">
        <v>1</v>
      </c>
      <c r="I340" t="n">
        <v>1</v>
      </c>
      <c r="J340" t="n">
        <v>8</v>
      </c>
      <c r="K340" t="n">
        <v>8</v>
      </c>
      <c r="L340" t="n">
        <v>8</v>
      </c>
      <c r="M340" t="n">
        <v>8</v>
      </c>
      <c r="N340" t="n">
        <v>8</v>
      </c>
      <c r="O340" t="n">
        <v>40</v>
      </c>
      <c r="P340" t="n">
        <v>8</v>
      </c>
      <c r="R340" s="9" t="n">
        <v>0.08</v>
      </c>
      <c r="S340" s="10" t="inlineStr">
        <is>
          <t>SÍ — integrante</t>
        </is>
      </c>
      <c r="T340" s="11" t="inlineStr">
        <is>
          <t>B · INTEGRANTE</t>
        </is>
      </c>
      <c r="U340" s="11" t="inlineStr">
        <is>
          <t>DEL BANCO (se hereda)</t>
        </is>
      </c>
      <c r="V340" s="11" t="inlineStr">
        <is>
          <t>9152 · INDUSTRIA Y MANUFACTURA</t>
        </is>
      </c>
      <c r="W340" s="12" t="n"/>
      <c r="X340" s="12" t="n"/>
    </row>
    <row r="341" ht="15" customHeight="1">
      <c r="C341" t="inlineStr">
        <is>
          <t>Actividad económica / giro mercantil</t>
        </is>
      </c>
      <c r="D341" t="inlineStr">
        <is>
          <t>F12</t>
        </is>
      </c>
      <c r="E341" t="inlineStr">
        <is>
          <t>INHERENTE</t>
        </is>
      </c>
      <c r="F341" t="inlineStr">
        <is>
          <t>FABRICACION DE CARNES FRIAS Y EMBUTIDOS</t>
        </is>
      </c>
      <c r="G341" t="n">
        <v>2049022</v>
      </c>
      <c r="H341" t="n">
        <v>1</v>
      </c>
      <c r="I341" t="n">
        <v>1</v>
      </c>
      <c r="J341" t="n">
        <v>8</v>
      </c>
      <c r="K341" t="n">
        <v>8</v>
      </c>
      <c r="L341" t="n">
        <v>8</v>
      </c>
      <c r="M341" t="n">
        <v>8</v>
      </c>
      <c r="N341" t="n">
        <v>8</v>
      </c>
      <c r="O341" t="n">
        <v>40</v>
      </c>
      <c r="P341" t="n">
        <v>8</v>
      </c>
      <c r="R341" s="9" t="n">
        <v>0.08</v>
      </c>
      <c r="S341" s="10" t="inlineStr">
        <is>
          <t>SÍ — integrante</t>
        </is>
      </c>
      <c r="T341" s="11" t="inlineStr">
        <is>
          <t>B · INTEGRANTE</t>
        </is>
      </c>
      <c r="U341" s="11" t="inlineStr">
        <is>
          <t>DEL BANCO (se hereda)</t>
        </is>
      </c>
      <c r="V341" s="11" t="inlineStr">
        <is>
          <t>9152 · INDUSTRIA Y MANUFACTURA</t>
        </is>
      </c>
      <c r="W341" s="12" t="n"/>
      <c r="X341" s="12" t="n"/>
    </row>
    <row r="342" ht="15" customHeight="1">
      <c r="C342" t="inlineStr">
        <is>
          <t>Actividad económica / giro mercantil</t>
        </is>
      </c>
      <c r="D342" t="inlineStr">
        <is>
          <t>F12</t>
        </is>
      </c>
      <c r="E342" t="inlineStr">
        <is>
          <t>INHERENTE</t>
        </is>
      </c>
      <c r="F342" t="inlineStr">
        <is>
          <t>REFRIGERACION DE CARNES</t>
        </is>
      </c>
      <c r="G342" t="n">
        <v>2049030</v>
      </c>
      <c r="H342" t="n">
        <v>1</v>
      </c>
      <c r="I342" t="n">
        <v>1</v>
      </c>
      <c r="J342" t="n">
        <v>8</v>
      </c>
      <c r="K342" t="n">
        <v>8</v>
      </c>
      <c r="L342" t="n">
        <v>8</v>
      </c>
      <c r="M342" t="n">
        <v>8</v>
      </c>
      <c r="N342" t="n">
        <v>8</v>
      </c>
      <c r="O342" t="n">
        <v>40</v>
      </c>
      <c r="P342" t="n">
        <v>8</v>
      </c>
      <c r="R342" s="9" t="n">
        <v>0.08</v>
      </c>
      <c r="S342" s="10" t="inlineStr">
        <is>
          <t>SÍ — integrante</t>
        </is>
      </c>
      <c r="T342" s="11" t="inlineStr">
        <is>
          <t>B · INTEGRANTE</t>
        </is>
      </c>
      <c r="U342" s="11" t="inlineStr">
        <is>
          <t>DEL BANCO (se hereda)</t>
        </is>
      </c>
      <c r="V342" s="11" t="inlineStr">
        <is>
          <t>9154 · OTRAS ACTIVIDADES NO CLASIFICADAS</t>
        </is>
      </c>
      <c r="W342" s="12" t="n"/>
      <c r="X342" s="12" t="n"/>
    </row>
    <row r="343" ht="15" customHeight="1">
      <c r="C343" t="inlineStr">
        <is>
          <t>Actividad económica / giro mercantil</t>
        </is>
      </c>
      <c r="D343" t="inlineStr">
        <is>
          <t>F12</t>
        </is>
      </c>
      <c r="E343" t="inlineStr">
        <is>
          <t>INHERENTE</t>
        </is>
      </c>
      <c r="F343" t="inlineStr">
        <is>
          <t>FABRICACION Y PREHIDRATACION DE LECHE</t>
        </is>
      </c>
      <c r="G343" t="n">
        <v>2051019</v>
      </c>
      <c r="H343" t="n">
        <v>1</v>
      </c>
      <c r="I343" t="n">
        <v>1</v>
      </c>
      <c r="J343" t="n">
        <v>8</v>
      </c>
      <c r="K343" t="n">
        <v>8</v>
      </c>
      <c r="L343" t="n">
        <v>8</v>
      </c>
      <c r="M343" t="n">
        <v>8</v>
      </c>
      <c r="N343" t="n">
        <v>8</v>
      </c>
      <c r="O343" t="n">
        <v>40</v>
      </c>
      <c r="P343" t="n">
        <v>8</v>
      </c>
      <c r="R343" s="9" t="n">
        <v>0.08</v>
      </c>
      <c r="S343" s="10" t="inlineStr">
        <is>
          <t>SÍ — integrante</t>
        </is>
      </c>
      <c r="T343" s="11" t="inlineStr">
        <is>
          <t>B · INTEGRANTE</t>
        </is>
      </c>
      <c r="U343" s="11" t="inlineStr">
        <is>
          <t>DEL BANCO (se hereda)</t>
        </is>
      </c>
      <c r="V343" s="11" t="inlineStr">
        <is>
          <t>9152 · INDUSTRIA Y MANUFACTURA</t>
        </is>
      </c>
      <c r="W343" s="12" t="n"/>
      <c r="X343" s="12" t="n"/>
    </row>
    <row r="344" ht="15" customHeight="1">
      <c r="C344" t="inlineStr">
        <is>
          <t>Actividad económica / giro mercantil</t>
        </is>
      </c>
      <c r="D344" t="inlineStr">
        <is>
          <t>F12</t>
        </is>
      </c>
      <c r="E344" t="inlineStr">
        <is>
          <t>INHERENTE</t>
        </is>
      </c>
      <c r="F344" t="inlineStr">
        <is>
          <t>PASTEURIZACION HOMOGENEIZACION Y ENVASADO DE LECHE</t>
        </is>
      </c>
      <c r="G344" t="n">
        <v>2051027</v>
      </c>
      <c r="H344" t="n">
        <v>1</v>
      </c>
      <c r="I344" t="n">
        <v>1</v>
      </c>
      <c r="J344" t="n">
        <v>8</v>
      </c>
      <c r="K344" t="n">
        <v>8</v>
      </c>
      <c r="L344" t="n">
        <v>8</v>
      </c>
      <c r="M344" t="n">
        <v>8</v>
      </c>
      <c r="N344" t="n">
        <v>8</v>
      </c>
      <c r="O344" t="n">
        <v>40</v>
      </c>
      <c r="P344" t="n">
        <v>8</v>
      </c>
      <c r="R344" s="9" t="n">
        <v>0.08</v>
      </c>
      <c r="S344" s="10" t="inlineStr">
        <is>
          <t>SÍ — integrante</t>
        </is>
      </c>
      <c r="T344" s="11" t="inlineStr">
        <is>
          <t>B · INTEGRANTE</t>
        </is>
      </c>
      <c r="U344" s="11" t="inlineStr">
        <is>
          <t>DEL BANCO (se hereda)</t>
        </is>
      </c>
      <c r="V344" s="11" t="inlineStr">
        <is>
          <t>9152 · INDUSTRIA Y MANUFACTURA</t>
        </is>
      </c>
      <c r="W344" s="12" t="n"/>
      <c r="X344" s="12" t="n"/>
    </row>
    <row r="345" ht="15" customHeight="1">
      <c r="C345" t="inlineStr">
        <is>
          <t>Actividad económica / giro mercantil</t>
        </is>
      </c>
      <c r="D345" t="inlineStr">
        <is>
          <t>F12</t>
        </is>
      </c>
      <c r="E345" t="inlineStr">
        <is>
          <t>INHERENTE</t>
        </is>
      </c>
      <c r="F345" t="inlineStr">
        <is>
          <t>FABRICACION DE CREMA MANTEQUILLA Y QUESO</t>
        </is>
      </c>
      <c r="G345" t="n">
        <v>2052017</v>
      </c>
      <c r="H345" t="n">
        <v>1</v>
      </c>
      <c r="I345" t="n">
        <v>1</v>
      </c>
      <c r="J345" t="n">
        <v>8</v>
      </c>
      <c r="K345" t="n">
        <v>8</v>
      </c>
      <c r="L345" t="n">
        <v>8</v>
      </c>
      <c r="M345" t="n">
        <v>8</v>
      </c>
      <c r="N345" t="n">
        <v>8</v>
      </c>
      <c r="O345" t="n">
        <v>40</v>
      </c>
      <c r="P345" t="n">
        <v>8</v>
      </c>
      <c r="R345" s="9" t="n">
        <v>0.08</v>
      </c>
      <c r="S345" s="10" t="inlineStr">
        <is>
          <t>SÍ — integrante</t>
        </is>
      </c>
      <c r="T345" s="11" t="inlineStr">
        <is>
          <t>B · INTEGRANTE</t>
        </is>
      </c>
      <c r="U345" s="11" t="inlineStr">
        <is>
          <t>DEL BANCO (se hereda)</t>
        </is>
      </c>
      <c r="V345" s="11" t="inlineStr">
        <is>
          <t>9152 · INDUSTRIA Y MANUFACTURA</t>
        </is>
      </c>
      <c r="W345" s="12" t="n"/>
      <c r="X345" s="12" t="n"/>
    </row>
    <row r="346" ht="15" customHeight="1">
      <c r="C346" t="inlineStr">
        <is>
          <t>Actividad económica / giro mercantil</t>
        </is>
      </c>
      <c r="D346" t="inlineStr">
        <is>
          <t>F12</t>
        </is>
      </c>
      <c r="E346" t="inlineStr">
        <is>
          <t>INHERENTE</t>
        </is>
      </c>
      <c r="F346" t="inlineStr">
        <is>
          <t>FABRICACION DE LECHE CONDENSADA EVAPORADA Y PULVERIZADA</t>
        </is>
      </c>
      <c r="G346" t="n">
        <v>2053015</v>
      </c>
      <c r="H346" t="n">
        <v>1</v>
      </c>
      <c r="I346" t="n">
        <v>1</v>
      </c>
      <c r="J346" t="n">
        <v>8</v>
      </c>
      <c r="K346" t="n">
        <v>8</v>
      </c>
      <c r="L346" t="n">
        <v>8</v>
      </c>
      <c r="M346" t="n">
        <v>8</v>
      </c>
      <c r="N346" t="n">
        <v>8</v>
      </c>
      <c r="O346" t="n">
        <v>40</v>
      </c>
      <c r="P346" t="n">
        <v>8</v>
      </c>
      <c r="R346" s="9" t="n">
        <v>0.08</v>
      </c>
      <c r="S346" s="10" t="inlineStr">
        <is>
          <t>SÍ — integrante</t>
        </is>
      </c>
      <c r="T346" s="11" t="inlineStr">
        <is>
          <t>B · INTEGRANTE</t>
        </is>
      </c>
      <c r="U346" s="11" t="inlineStr">
        <is>
          <t>DEL BANCO (se hereda)</t>
        </is>
      </c>
      <c r="V346" s="11" t="inlineStr">
        <is>
          <t>9152 · INDUSTRIA Y MANUFACTURA</t>
        </is>
      </c>
      <c r="W346" s="12" t="n"/>
      <c r="X346" s="12" t="n"/>
    </row>
    <row r="347" ht="15" customHeight="1">
      <c r="C347" t="inlineStr">
        <is>
          <t>Actividad económica / giro mercantil</t>
        </is>
      </c>
      <c r="D347" t="inlineStr">
        <is>
          <t>F12</t>
        </is>
      </c>
      <c r="E347" t="inlineStr">
        <is>
          <t>INHERENTE</t>
        </is>
      </c>
      <c r="F347" t="inlineStr">
        <is>
          <t>FABRICACION DE GELATINAS</t>
        </is>
      </c>
      <c r="G347" t="n">
        <v>2054013</v>
      </c>
      <c r="H347" t="n">
        <v>1</v>
      </c>
      <c r="I347" t="n">
        <v>1</v>
      </c>
      <c r="J347" t="n">
        <v>8</v>
      </c>
      <c r="K347" t="n">
        <v>8</v>
      </c>
      <c r="L347" t="n">
        <v>8</v>
      </c>
      <c r="M347" t="n">
        <v>8</v>
      </c>
      <c r="N347" t="n">
        <v>8</v>
      </c>
      <c r="O347" t="n">
        <v>40</v>
      </c>
      <c r="P347" t="n">
        <v>8</v>
      </c>
      <c r="R347" s="9" t="n">
        <v>0.08</v>
      </c>
      <c r="S347" s="10" t="inlineStr">
        <is>
          <t>SÍ — integrante</t>
        </is>
      </c>
      <c r="T347" s="11" t="inlineStr">
        <is>
          <t>B · INTEGRANTE</t>
        </is>
      </c>
      <c r="U347" s="11" t="inlineStr">
        <is>
          <t>DEL BANCO (se hereda)</t>
        </is>
      </c>
      <c r="V347" s="11" t="inlineStr">
        <is>
          <t>9152 · INDUSTRIA Y MANUFACTURA</t>
        </is>
      </c>
      <c r="W347" s="12" t="n"/>
      <c r="X347" s="12" t="n"/>
    </row>
    <row r="348" ht="15" customHeight="1">
      <c r="C348" t="inlineStr">
        <is>
          <t>Actividad económica / giro mercantil</t>
        </is>
      </c>
      <c r="D348" t="inlineStr">
        <is>
          <t>F12</t>
        </is>
      </c>
      <c r="E348" t="inlineStr">
        <is>
          <t>INHERENTE</t>
        </is>
      </c>
      <c r="F348" t="inlineStr">
        <is>
          <t>FABRICACION DE GRENETINA</t>
        </is>
      </c>
      <c r="G348" t="n">
        <v>2054021</v>
      </c>
      <c r="H348" t="n">
        <v>1</v>
      </c>
      <c r="I348" t="n">
        <v>1</v>
      </c>
      <c r="J348" t="n">
        <v>8</v>
      </c>
      <c r="K348" t="n">
        <v>8</v>
      </c>
      <c r="L348" t="n">
        <v>8</v>
      </c>
      <c r="M348" t="n">
        <v>8</v>
      </c>
      <c r="N348" t="n">
        <v>8</v>
      </c>
      <c r="O348" t="n">
        <v>40</v>
      </c>
      <c r="P348" t="n">
        <v>8</v>
      </c>
      <c r="R348" s="9" t="n">
        <v>0.08</v>
      </c>
      <c r="S348" s="10" t="inlineStr">
        <is>
          <t>SÍ — integrante</t>
        </is>
      </c>
      <c r="T348" s="11" t="inlineStr">
        <is>
          <t>B · INTEGRANTE</t>
        </is>
      </c>
      <c r="U348" s="11" t="inlineStr">
        <is>
          <t>DEL BANCO (se hereda)</t>
        </is>
      </c>
      <c r="V348" s="11" t="inlineStr">
        <is>
          <t>9152 · INDUSTRIA Y MANUFACTURA</t>
        </is>
      </c>
      <c r="W348" s="12" t="n"/>
      <c r="X348" s="12" t="n"/>
    </row>
    <row r="349" ht="15" customHeight="1">
      <c r="C349" t="inlineStr">
        <is>
          <t>Actividad económica / giro mercantil</t>
        </is>
      </c>
      <c r="D349" t="inlineStr">
        <is>
          <t>F12</t>
        </is>
      </c>
      <c r="E349" t="inlineStr">
        <is>
          <t>INHERENTE</t>
        </is>
      </c>
      <c r="F349" t="inlineStr">
        <is>
          <t>FABRICACION DE CAJETAS YOGURTS Y OTROS PRODUCTOS A BASE DE LECHE</t>
        </is>
      </c>
      <c r="G349" t="n">
        <v>2059013</v>
      </c>
      <c r="H349" t="n">
        <v>1</v>
      </c>
      <c r="I349" t="n">
        <v>1</v>
      </c>
      <c r="J349" t="n">
        <v>8</v>
      </c>
      <c r="K349" t="n">
        <v>8</v>
      </c>
      <c r="L349" t="n">
        <v>8</v>
      </c>
      <c r="M349" t="n">
        <v>8</v>
      </c>
      <c r="N349" t="n">
        <v>8</v>
      </c>
      <c r="O349" t="n">
        <v>40</v>
      </c>
      <c r="P349" t="n">
        <v>8</v>
      </c>
      <c r="R349" s="9" t="n">
        <v>0.08</v>
      </c>
      <c r="S349" s="10" t="inlineStr">
        <is>
          <t>SÍ — integrante</t>
        </is>
      </c>
      <c r="T349" s="11" t="inlineStr">
        <is>
          <t>B · INTEGRANTE</t>
        </is>
      </c>
      <c r="U349" s="11" t="inlineStr">
        <is>
          <t>DEL BANCO (se hereda)</t>
        </is>
      </c>
      <c r="V349" s="11" t="inlineStr">
        <is>
          <t>9152 · INDUSTRIA Y MANUFACTURA</t>
        </is>
      </c>
      <c r="W349" s="12" t="n"/>
      <c r="X349" s="12" t="n"/>
    </row>
    <row r="350" ht="15" customHeight="1">
      <c r="C350" t="inlineStr">
        <is>
          <t>Actividad económica / giro mercantil</t>
        </is>
      </c>
      <c r="D350" t="inlineStr">
        <is>
          <t>F12</t>
        </is>
      </c>
      <c r="E350" t="inlineStr">
        <is>
          <t>INHERENTE</t>
        </is>
      </c>
      <c r="F350" t="inlineStr">
        <is>
          <t>CONGELADORA DE PRODUCTOS MARINOS</t>
        </is>
      </c>
      <c r="G350" t="n">
        <v>2061018</v>
      </c>
      <c r="H350" t="n">
        <v>1</v>
      </c>
      <c r="I350" t="n">
        <v>1</v>
      </c>
      <c r="J350" t="n">
        <v>8</v>
      </c>
      <c r="K350" t="n">
        <v>8</v>
      </c>
      <c r="L350" t="n">
        <v>8</v>
      </c>
      <c r="M350" t="n">
        <v>8</v>
      </c>
      <c r="N350" t="n">
        <v>8</v>
      </c>
      <c r="O350" t="n">
        <v>40</v>
      </c>
      <c r="P350" t="n">
        <v>8</v>
      </c>
      <c r="R350" s="9" t="n">
        <v>0.08</v>
      </c>
      <c r="S350" s="10" t="inlineStr">
        <is>
          <t>SÍ — integrante</t>
        </is>
      </c>
      <c r="T350" s="11" t="inlineStr">
        <is>
          <t>B · INTEGRANTE</t>
        </is>
      </c>
      <c r="U350" s="11" t="inlineStr">
        <is>
          <t>DEL BANCO (se hereda)</t>
        </is>
      </c>
      <c r="V350" s="11" t="inlineStr">
        <is>
          <t>9151 · SECTOR PRIMARIO (agropecuario, pesca, forestal, minería)</t>
        </is>
      </c>
      <c r="W350" s="12" t="n"/>
      <c r="X350" s="12" t="n"/>
    </row>
    <row r="351" ht="15" customHeight="1">
      <c r="C351" t="inlineStr">
        <is>
          <t>Actividad económica / giro mercantil</t>
        </is>
      </c>
      <c r="D351" t="inlineStr">
        <is>
          <t>F12</t>
        </is>
      </c>
      <c r="E351" t="inlineStr">
        <is>
          <t>INHERENTE</t>
        </is>
      </c>
      <c r="F351" t="inlineStr">
        <is>
          <t>EMPACADORA DE OTROS MARISCOS</t>
        </is>
      </c>
      <c r="G351" t="n">
        <v>2061026</v>
      </c>
      <c r="H351" t="n">
        <v>1</v>
      </c>
      <c r="I351" t="n">
        <v>1</v>
      </c>
      <c r="J351" t="n">
        <v>8</v>
      </c>
      <c r="K351" t="n">
        <v>8</v>
      </c>
      <c r="L351" t="n">
        <v>8</v>
      </c>
      <c r="M351" t="n">
        <v>8</v>
      </c>
      <c r="N351" t="n">
        <v>8</v>
      </c>
      <c r="O351" t="n">
        <v>40</v>
      </c>
      <c r="P351" t="n">
        <v>8</v>
      </c>
      <c r="R351" s="9" t="n">
        <v>0.08</v>
      </c>
      <c r="S351" s="10" t="inlineStr">
        <is>
          <t>SÍ — integrante</t>
        </is>
      </c>
      <c r="T351" s="11" t="inlineStr">
        <is>
          <t>B · INTEGRANTE</t>
        </is>
      </c>
      <c r="U351" s="11" t="inlineStr">
        <is>
          <t>DEL BANCO (se hereda)</t>
        </is>
      </c>
      <c r="V351" s="11" t="inlineStr">
        <is>
          <t>9152 · INDUSTRIA Y MANUFACTURA</t>
        </is>
      </c>
      <c r="W351" s="12" t="n"/>
      <c r="X351" s="12" t="n"/>
    </row>
    <row r="352" ht="15" customHeight="1">
      <c r="C352" t="inlineStr">
        <is>
          <t>Actividad económica / giro mercantil</t>
        </is>
      </c>
      <c r="D352" t="inlineStr">
        <is>
          <t>F12</t>
        </is>
      </c>
      <c r="E352" t="inlineStr">
        <is>
          <t>INHERENTE</t>
        </is>
      </c>
      <c r="F352" t="inlineStr">
        <is>
          <t>EMPACADORA DE PESCADO</t>
        </is>
      </c>
      <c r="G352" t="n">
        <v>2061034</v>
      </c>
      <c r="H352" t="n">
        <v>1</v>
      </c>
      <c r="I352" t="n">
        <v>1</v>
      </c>
      <c r="J352" t="n">
        <v>8</v>
      </c>
      <c r="K352" t="n">
        <v>8</v>
      </c>
      <c r="L352" t="n">
        <v>8</v>
      </c>
      <c r="M352" t="n">
        <v>8</v>
      </c>
      <c r="N352" t="n">
        <v>8</v>
      </c>
      <c r="O352" t="n">
        <v>40</v>
      </c>
      <c r="P352" t="n">
        <v>8</v>
      </c>
      <c r="R352" s="9" t="n">
        <v>0.08</v>
      </c>
      <c r="S352" s="10" t="inlineStr">
        <is>
          <t>SÍ — integrante</t>
        </is>
      </c>
      <c r="T352" s="11" t="inlineStr">
        <is>
          <t>B · INTEGRANTE</t>
        </is>
      </c>
      <c r="U352" s="11" t="inlineStr">
        <is>
          <t>DEL BANCO (se hereda)</t>
        </is>
      </c>
      <c r="V352" s="11" t="inlineStr">
        <is>
          <t>9151 · SECTOR PRIMARIO (agropecuario, pesca, forestal, minería)</t>
        </is>
      </c>
      <c r="W352" s="12" t="n"/>
      <c r="X352" s="12" t="n"/>
    </row>
    <row r="353" ht="15" customHeight="1">
      <c r="C353" t="inlineStr">
        <is>
          <t>Actividad económica / giro mercantil</t>
        </is>
      </c>
      <c r="D353" t="inlineStr">
        <is>
          <t>F12</t>
        </is>
      </c>
      <c r="E353" t="inlineStr">
        <is>
          <t>INHERENTE</t>
        </is>
      </c>
      <c r="F353" t="inlineStr">
        <is>
          <t>FABRICACION DE PAN Y PASTELES</t>
        </is>
      </c>
      <c r="G353" t="n">
        <v>2071017</v>
      </c>
      <c r="H353" t="n">
        <v>1</v>
      </c>
      <c r="I353" t="n">
        <v>1</v>
      </c>
      <c r="J353" t="n">
        <v>8</v>
      </c>
      <c r="K353" t="n">
        <v>8</v>
      </c>
      <c r="L353" t="n">
        <v>8</v>
      </c>
      <c r="M353" t="n">
        <v>8</v>
      </c>
      <c r="N353" t="n">
        <v>8</v>
      </c>
      <c r="O353" t="n">
        <v>40</v>
      </c>
      <c r="P353" t="n">
        <v>8</v>
      </c>
      <c r="R353" s="9" t="n">
        <v>0.08</v>
      </c>
      <c r="S353" s="10" t="inlineStr">
        <is>
          <t>SÍ — integrante</t>
        </is>
      </c>
      <c r="T353" s="11" t="inlineStr">
        <is>
          <t>B · INTEGRANTE</t>
        </is>
      </c>
      <c r="U353" s="11" t="inlineStr">
        <is>
          <t>DEL BANCO (se hereda)</t>
        </is>
      </c>
      <c r="V353" s="11" t="inlineStr">
        <is>
          <t>9152 · INDUSTRIA Y MANUFACTURA</t>
        </is>
      </c>
      <c r="W353" s="12" t="n"/>
      <c r="X353" s="12" t="n"/>
    </row>
    <row r="354" ht="15" customHeight="1">
      <c r="C354" t="inlineStr">
        <is>
          <t>Actividad económica / giro mercantil</t>
        </is>
      </c>
      <c r="D354" t="inlineStr">
        <is>
          <t>F12</t>
        </is>
      </c>
      <c r="E354" t="inlineStr">
        <is>
          <t>INHERENTE</t>
        </is>
      </c>
      <c r="F354" t="inlineStr">
        <is>
          <t>FABRICACION DE CONOS PARA NIEVE</t>
        </is>
      </c>
      <c r="G354" t="n">
        <v>2072015</v>
      </c>
      <c r="H354" t="n">
        <v>1</v>
      </c>
      <c r="I354" t="n">
        <v>1</v>
      </c>
      <c r="J354" t="n">
        <v>8</v>
      </c>
      <c r="K354" t="n">
        <v>8</v>
      </c>
      <c r="L354" t="n">
        <v>8</v>
      </c>
      <c r="M354" t="n">
        <v>8</v>
      </c>
      <c r="N354" t="n">
        <v>8</v>
      </c>
      <c r="O354" t="n">
        <v>40</v>
      </c>
      <c r="P354" t="n">
        <v>8</v>
      </c>
      <c r="R354" s="9" t="n">
        <v>0.08</v>
      </c>
      <c r="S354" s="10" t="inlineStr">
        <is>
          <t>SÍ — integrante</t>
        </is>
      </c>
      <c r="T354" s="11" t="inlineStr">
        <is>
          <t>B · INTEGRANTE</t>
        </is>
      </c>
      <c r="U354" s="11" t="inlineStr">
        <is>
          <t>DEL BANCO (se hereda)</t>
        </is>
      </c>
      <c r="V354" s="11" t="inlineStr">
        <is>
          <t>9152 · INDUSTRIA Y MANUFACTURA</t>
        </is>
      </c>
      <c r="W354" s="12" t="n"/>
      <c r="X354" s="12" t="n"/>
    </row>
    <row r="355" ht="15" customHeight="1">
      <c r="C355" t="inlineStr">
        <is>
          <t>Actividad económica / giro mercantil</t>
        </is>
      </c>
      <c r="D355" t="inlineStr">
        <is>
          <t>F12</t>
        </is>
      </c>
      <c r="E355" t="inlineStr">
        <is>
          <t>INHERENTE</t>
        </is>
      </c>
      <c r="F355" t="inlineStr">
        <is>
          <t>FABRICACION DE GALLETAS</t>
        </is>
      </c>
      <c r="G355" t="n">
        <v>2072023</v>
      </c>
      <c r="H355" t="n">
        <v>1</v>
      </c>
      <c r="I355" t="n">
        <v>1</v>
      </c>
      <c r="J355" t="n">
        <v>8</v>
      </c>
      <c r="K355" t="n">
        <v>8</v>
      </c>
      <c r="L355" t="n">
        <v>8</v>
      </c>
      <c r="M355" t="n">
        <v>8</v>
      </c>
      <c r="N355" t="n">
        <v>8</v>
      </c>
      <c r="O355" t="n">
        <v>40</v>
      </c>
      <c r="P355" t="n">
        <v>8</v>
      </c>
      <c r="R355" s="9" t="n">
        <v>0.08</v>
      </c>
      <c r="S355" s="10" t="inlineStr">
        <is>
          <t>SÍ — integrante</t>
        </is>
      </c>
      <c r="T355" s="11" t="inlineStr">
        <is>
          <t>B · INTEGRANTE</t>
        </is>
      </c>
      <c r="U355" s="11" t="inlineStr">
        <is>
          <t>DEL BANCO (se hereda)</t>
        </is>
      </c>
      <c r="V355" s="11" t="inlineStr">
        <is>
          <t>9152 · INDUSTRIA Y MANUFACTURA</t>
        </is>
      </c>
      <c r="W355" s="12" t="n"/>
      <c r="X355" s="12" t="n"/>
    </row>
    <row r="356" ht="15" customHeight="1">
      <c r="C356" t="inlineStr">
        <is>
          <t>Actividad económica / giro mercantil</t>
        </is>
      </c>
      <c r="D356" t="inlineStr">
        <is>
          <t>F12</t>
        </is>
      </c>
      <c r="E356" t="inlineStr">
        <is>
          <t>INHERENTE</t>
        </is>
      </c>
      <c r="F356" t="inlineStr">
        <is>
          <t>FABRICACION DE PASTAS ALIMENTICIAS</t>
        </is>
      </c>
      <c r="G356" t="n">
        <v>2072031</v>
      </c>
      <c r="H356" t="n">
        <v>1</v>
      </c>
      <c r="I356" t="n">
        <v>1</v>
      </c>
      <c r="J356" t="n">
        <v>8</v>
      </c>
      <c r="K356" t="n">
        <v>8</v>
      </c>
      <c r="L356" t="n">
        <v>8</v>
      </c>
      <c r="M356" t="n">
        <v>8</v>
      </c>
      <c r="N356" t="n">
        <v>8</v>
      </c>
      <c r="O356" t="n">
        <v>40</v>
      </c>
      <c r="P356" t="n">
        <v>8</v>
      </c>
      <c r="R356" s="9" t="n">
        <v>0.08</v>
      </c>
      <c r="S356" s="10" t="inlineStr">
        <is>
          <t>SÍ — integrante</t>
        </is>
      </c>
      <c r="T356" s="11" t="inlineStr">
        <is>
          <t>B · INTEGRANTE</t>
        </is>
      </c>
      <c r="U356" s="11" t="inlineStr">
        <is>
          <t>DEL BANCO (se hereda)</t>
        </is>
      </c>
      <c r="V356" s="11" t="inlineStr">
        <is>
          <t>9152 · INDUSTRIA Y MANUFACTURA</t>
        </is>
      </c>
      <c r="W356" s="12" t="n"/>
      <c r="X356" s="12" t="n"/>
    </row>
    <row r="357" ht="15" customHeight="1">
      <c r="C357" t="inlineStr">
        <is>
          <t>Actividad económica / giro mercantil</t>
        </is>
      </c>
      <c r="D357" t="inlineStr">
        <is>
          <t>F12</t>
        </is>
      </c>
      <c r="E357" t="inlineStr">
        <is>
          <t>INHERENTE</t>
        </is>
      </c>
      <c r="F357" t="inlineStr">
        <is>
          <t>FABRICACION DE CHOCOLATES</t>
        </is>
      </c>
      <c r="G357" t="n">
        <v>2081016</v>
      </c>
      <c r="H357" t="n">
        <v>1</v>
      </c>
      <c r="I357" t="n">
        <v>1</v>
      </c>
      <c r="J357" t="n">
        <v>8</v>
      </c>
      <c r="K357" t="n">
        <v>8</v>
      </c>
      <c r="L357" t="n">
        <v>8</v>
      </c>
      <c r="M357" t="n">
        <v>8</v>
      </c>
      <c r="N357" t="n">
        <v>8</v>
      </c>
      <c r="O357" t="n">
        <v>40</v>
      </c>
      <c r="P357" t="n">
        <v>8</v>
      </c>
      <c r="R357" s="9" t="n">
        <v>0.08</v>
      </c>
      <c r="S357" s="10" t="inlineStr">
        <is>
          <t>SÍ — integrante</t>
        </is>
      </c>
      <c r="T357" s="11" t="inlineStr">
        <is>
          <t>B · INTEGRANTE</t>
        </is>
      </c>
      <c r="U357" s="11" t="inlineStr">
        <is>
          <t>DEL BANCO (se hereda)</t>
        </is>
      </c>
      <c r="V357" s="11" t="inlineStr">
        <is>
          <t>9152 · INDUSTRIA Y MANUFACTURA</t>
        </is>
      </c>
      <c r="W357" s="12" t="n"/>
      <c r="X357" s="12" t="n"/>
    </row>
    <row r="358" ht="15" customHeight="1">
      <c r="C358" t="inlineStr">
        <is>
          <t>Actividad económica / giro mercantil</t>
        </is>
      </c>
      <c r="D358" t="inlineStr">
        <is>
          <t>F12</t>
        </is>
      </c>
      <c r="E358" t="inlineStr">
        <is>
          <t>INHERENTE</t>
        </is>
      </c>
      <c r="F358" t="inlineStr">
        <is>
          <t>FABRICACION DE DULCES BOMBONES Y CONFITES</t>
        </is>
      </c>
      <c r="G358" t="n">
        <v>2082014</v>
      </c>
      <c r="H358" t="n">
        <v>1</v>
      </c>
      <c r="I358" t="n">
        <v>1</v>
      </c>
      <c r="J358" t="n">
        <v>8</v>
      </c>
      <c r="K358" t="n">
        <v>8</v>
      </c>
      <c r="L358" t="n">
        <v>8</v>
      </c>
      <c r="M358" t="n">
        <v>8</v>
      </c>
      <c r="N358" t="n">
        <v>8</v>
      </c>
      <c r="O358" t="n">
        <v>40</v>
      </c>
      <c r="P358" t="n">
        <v>8</v>
      </c>
      <c r="R358" s="9" t="n">
        <v>0.08</v>
      </c>
      <c r="S358" s="10" t="inlineStr">
        <is>
          <t>SÍ — integrante</t>
        </is>
      </c>
      <c r="T358" s="11" t="inlineStr">
        <is>
          <t>B · INTEGRANTE</t>
        </is>
      </c>
      <c r="U358" s="11" t="inlineStr">
        <is>
          <t>DEL BANCO (se hereda)</t>
        </is>
      </c>
      <c r="V358" s="11" t="inlineStr">
        <is>
          <t>9152 · INDUSTRIA Y MANUFACTURA</t>
        </is>
      </c>
      <c r="W358" s="12" t="n"/>
      <c r="X358" s="12" t="n"/>
    </row>
    <row r="359" ht="15" customHeight="1">
      <c r="C359" t="inlineStr">
        <is>
          <t>Actividad económica / giro mercantil</t>
        </is>
      </c>
      <c r="D359" t="inlineStr">
        <is>
          <t>F12</t>
        </is>
      </c>
      <c r="E359" t="inlineStr">
        <is>
          <t>INHERENTE</t>
        </is>
      </c>
      <c r="F359" t="inlineStr">
        <is>
          <t>FABRICACION DE GOMA DE MASCAR</t>
        </is>
      </c>
      <c r="G359" t="n">
        <v>2083012</v>
      </c>
      <c r="H359" t="n">
        <v>1</v>
      </c>
      <c r="I359" t="n">
        <v>1</v>
      </c>
      <c r="J359" t="n">
        <v>8</v>
      </c>
      <c r="K359" t="n">
        <v>8</v>
      </c>
      <c r="L359" t="n">
        <v>8</v>
      </c>
      <c r="M359" t="n">
        <v>8</v>
      </c>
      <c r="N359" t="n">
        <v>8</v>
      </c>
      <c r="O359" t="n">
        <v>40</v>
      </c>
      <c r="P359" t="n">
        <v>8</v>
      </c>
      <c r="R359" s="9" t="n">
        <v>0.08</v>
      </c>
      <c r="S359" s="10" t="inlineStr">
        <is>
          <t>SÍ — integrante</t>
        </is>
      </c>
      <c r="T359" s="11" t="inlineStr">
        <is>
          <t>B · INTEGRANTE</t>
        </is>
      </c>
      <c r="U359" s="11" t="inlineStr">
        <is>
          <t>DEL BANCO (se hereda)</t>
        </is>
      </c>
      <c r="V359" s="11" t="inlineStr">
        <is>
          <t>9152 · INDUSTRIA Y MANUFACTURA</t>
        </is>
      </c>
      <c r="W359" s="12" t="n"/>
      <c r="X359" s="12" t="n"/>
    </row>
    <row r="360" ht="15" customHeight="1">
      <c r="C360" t="inlineStr">
        <is>
          <t>Actividad económica / giro mercantil</t>
        </is>
      </c>
      <c r="D360" t="inlineStr">
        <is>
          <t>F12</t>
        </is>
      </c>
      <c r="E360" t="inlineStr">
        <is>
          <t>INHERENTE</t>
        </is>
      </c>
      <c r="F360" t="inlineStr">
        <is>
          <t>TRATAMIENTO Y ENVASE DE MIEL DE ABEJA</t>
        </is>
      </c>
      <c r="G360" t="n">
        <v>2084010</v>
      </c>
      <c r="H360" t="n">
        <v>1</v>
      </c>
      <c r="I360" t="n">
        <v>1</v>
      </c>
      <c r="J360" t="n">
        <v>8</v>
      </c>
      <c r="K360" t="n">
        <v>8</v>
      </c>
      <c r="L360" t="n">
        <v>8</v>
      </c>
      <c r="M360" t="n">
        <v>8</v>
      </c>
      <c r="N360" t="n">
        <v>8</v>
      </c>
      <c r="O360" t="n">
        <v>40</v>
      </c>
      <c r="P360" t="n">
        <v>8</v>
      </c>
      <c r="R360" s="9" t="n">
        <v>0.08</v>
      </c>
      <c r="S360" s="10" t="inlineStr">
        <is>
          <t>SÍ — integrante</t>
        </is>
      </c>
      <c r="T360" s="11" t="inlineStr">
        <is>
          <t>B · INTEGRANTE</t>
        </is>
      </c>
      <c r="U360" s="11" t="inlineStr">
        <is>
          <t>DEL BANCO (se hereda)</t>
        </is>
      </c>
      <c r="V360" s="11" t="inlineStr">
        <is>
          <t>9154 · OTRAS ACTIVIDADES NO CLASIFICADAS</t>
        </is>
      </c>
      <c r="W360" s="12" t="n"/>
      <c r="X360" s="12" t="n"/>
    </row>
    <row r="361" ht="15" customHeight="1">
      <c r="C361" t="inlineStr">
        <is>
          <t>Actividad económica / giro mercantil</t>
        </is>
      </c>
      <c r="D361" t="inlineStr">
        <is>
          <t>F12</t>
        </is>
      </c>
      <c r="E361" t="inlineStr">
        <is>
          <t>INHERENTE</t>
        </is>
      </c>
      <c r="F361" t="inlineStr">
        <is>
          <t>FABRICACION DE JARABES</t>
        </is>
      </c>
      <c r="G361" t="n">
        <v>2089010</v>
      </c>
      <c r="H361" t="n">
        <v>1</v>
      </c>
      <c r="I361" t="n">
        <v>1</v>
      </c>
      <c r="J361" t="n">
        <v>8</v>
      </c>
      <c r="K361" t="n">
        <v>8</v>
      </c>
      <c r="L361" t="n">
        <v>8</v>
      </c>
      <c r="M361" t="n">
        <v>8</v>
      </c>
      <c r="N361" t="n">
        <v>8</v>
      </c>
      <c r="O361" t="n">
        <v>40</v>
      </c>
      <c r="P361" t="n">
        <v>8</v>
      </c>
      <c r="R361" s="9" t="n">
        <v>0.08</v>
      </c>
      <c r="S361" s="10" t="inlineStr">
        <is>
          <t>SÍ — integrante</t>
        </is>
      </c>
      <c r="T361" s="11" t="inlineStr">
        <is>
          <t>B · INTEGRANTE</t>
        </is>
      </c>
      <c r="U361" s="11" t="inlineStr">
        <is>
          <t>DEL BANCO (se hereda)</t>
        </is>
      </c>
      <c r="V361" s="11" t="inlineStr">
        <is>
          <t>9152 · INDUSTRIA Y MANUFACTURA</t>
        </is>
      </c>
      <c r="W361" s="12" t="n"/>
      <c r="X361" s="12" t="n"/>
    </row>
    <row r="362" ht="15" customHeight="1">
      <c r="C362" t="inlineStr">
        <is>
          <t>Actividad económica / giro mercantil</t>
        </is>
      </c>
      <c r="D362" t="inlineStr">
        <is>
          <t>F12</t>
        </is>
      </c>
      <c r="E362" t="inlineStr">
        <is>
          <t>INHERENTE</t>
        </is>
      </c>
      <c r="F362" t="inlineStr">
        <is>
          <t>FABRICACION DE ACEITES VEGETALES COMESTIBLES</t>
        </is>
      </c>
      <c r="G362" t="n">
        <v>2091015</v>
      </c>
      <c r="H362" t="n">
        <v>1</v>
      </c>
      <c r="I362" t="n">
        <v>1</v>
      </c>
      <c r="J362" t="n">
        <v>8</v>
      </c>
      <c r="K362" t="n">
        <v>8</v>
      </c>
      <c r="L362" t="n">
        <v>8</v>
      </c>
      <c r="M362" t="n">
        <v>8</v>
      </c>
      <c r="N362" t="n">
        <v>8</v>
      </c>
      <c r="O362" t="n">
        <v>40</v>
      </c>
      <c r="P362" t="n">
        <v>8</v>
      </c>
      <c r="R362" s="9" t="n">
        <v>0.08</v>
      </c>
      <c r="S362" s="10" t="inlineStr">
        <is>
          <t>SÍ — integrante</t>
        </is>
      </c>
      <c r="T362" s="11" t="inlineStr">
        <is>
          <t>B · INTEGRANTE</t>
        </is>
      </c>
      <c r="U362" s="11" t="inlineStr">
        <is>
          <t>DEL BANCO (se hereda)</t>
        </is>
      </c>
      <c r="V362" s="11" t="inlineStr">
        <is>
          <t>9152 · INDUSTRIA Y MANUFACTURA</t>
        </is>
      </c>
      <c r="W362" s="12" t="n"/>
      <c r="X362" s="12" t="n"/>
    </row>
    <row r="363" ht="15" customHeight="1">
      <c r="C363" t="inlineStr">
        <is>
          <t>Actividad económica / giro mercantil</t>
        </is>
      </c>
      <c r="D363" t="inlineStr">
        <is>
          <t>F12</t>
        </is>
      </c>
      <c r="E363" t="inlineStr">
        <is>
          <t>INHERENTE</t>
        </is>
      </c>
      <c r="F363" t="inlineStr">
        <is>
          <t>FABRICACION DE MANTECAS VEGETALES COMESTIBLES</t>
        </is>
      </c>
      <c r="G363" t="n">
        <v>2091023</v>
      </c>
      <c r="H363" t="n">
        <v>1</v>
      </c>
      <c r="I363" t="n">
        <v>1</v>
      </c>
      <c r="J363" t="n">
        <v>8</v>
      </c>
      <c r="K363" t="n">
        <v>8</v>
      </c>
      <c r="L363" t="n">
        <v>8</v>
      </c>
      <c r="M363" t="n">
        <v>8</v>
      </c>
      <c r="N363" t="n">
        <v>8</v>
      </c>
      <c r="O363" t="n">
        <v>40</v>
      </c>
      <c r="P363" t="n">
        <v>8</v>
      </c>
      <c r="R363" s="9" t="n">
        <v>0.08</v>
      </c>
      <c r="S363" s="10" t="inlineStr">
        <is>
          <t>SÍ — integrante</t>
        </is>
      </c>
      <c r="T363" s="11" t="inlineStr">
        <is>
          <t>B · INTEGRANTE</t>
        </is>
      </c>
      <c r="U363" s="11" t="inlineStr">
        <is>
          <t>DEL BANCO (se hereda)</t>
        </is>
      </c>
      <c r="V363" s="11" t="inlineStr">
        <is>
          <t>9152 · INDUSTRIA Y MANUFACTURA</t>
        </is>
      </c>
      <c r="W363" s="12" t="n"/>
      <c r="X363" s="12" t="n"/>
    </row>
    <row r="364" ht="15" customHeight="1">
      <c r="C364" t="inlineStr">
        <is>
          <t>Actividad económica / giro mercantil</t>
        </is>
      </c>
      <c r="D364" t="inlineStr">
        <is>
          <t>F12</t>
        </is>
      </c>
      <c r="E364" t="inlineStr">
        <is>
          <t>INHERENTE</t>
        </is>
      </c>
      <c r="F364" t="inlineStr">
        <is>
          <t>FABRICACION DE ALMIDON</t>
        </is>
      </c>
      <c r="G364" t="n">
        <v>2092013</v>
      </c>
      <c r="H364" t="n">
        <v>1</v>
      </c>
      <c r="I364" t="n">
        <v>1</v>
      </c>
      <c r="J364" t="n">
        <v>8</v>
      </c>
      <c r="K364" t="n">
        <v>8</v>
      </c>
      <c r="L364" t="n">
        <v>8</v>
      </c>
      <c r="M364" t="n">
        <v>8</v>
      </c>
      <c r="N364" t="n">
        <v>8</v>
      </c>
      <c r="O364" t="n">
        <v>40</v>
      </c>
      <c r="P364" t="n">
        <v>8</v>
      </c>
      <c r="R364" s="9" t="n">
        <v>0.08</v>
      </c>
      <c r="S364" s="10" t="inlineStr">
        <is>
          <t>SÍ — integrante</t>
        </is>
      </c>
      <c r="T364" s="11" t="inlineStr">
        <is>
          <t>B · INTEGRANTE</t>
        </is>
      </c>
      <c r="U364" s="11" t="inlineStr">
        <is>
          <t>DEL BANCO (se hereda)</t>
        </is>
      </c>
      <c r="V364" s="11" t="inlineStr">
        <is>
          <t>9152 · INDUSTRIA Y MANUFACTURA</t>
        </is>
      </c>
      <c r="W364" s="12" t="n"/>
      <c r="X364" s="12" t="n"/>
    </row>
    <row r="365" ht="15" customHeight="1">
      <c r="C365" t="inlineStr">
        <is>
          <t>Actividad económica / giro mercantil</t>
        </is>
      </c>
      <c r="D365" t="inlineStr">
        <is>
          <t>F12</t>
        </is>
      </c>
      <c r="E365" t="inlineStr">
        <is>
          <t>INHERENTE</t>
        </is>
      </c>
      <c r="F365" t="inlineStr">
        <is>
          <t>FABRICACION DE LEVADURAS</t>
        </is>
      </c>
      <c r="G365" t="n">
        <v>2092021</v>
      </c>
      <c r="H365" t="n">
        <v>1</v>
      </c>
      <c r="I365" t="n">
        <v>1</v>
      </c>
      <c r="J365" t="n">
        <v>8</v>
      </c>
      <c r="K365" t="n">
        <v>8</v>
      </c>
      <c r="L365" t="n">
        <v>8</v>
      </c>
      <c r="M365" t="n">
        <v>8</v>
      </c>
      <c r="N365" t="n">
        <v>8</v>
      </c>
      <c r="O365" t="n">
        <v>40</v>
      </c>
      <c r="P365" t="n">
        <v>8</v>
      </c>
      <c r="R365" s="9" t="n">
        <v>0.08</v>
      </c>
      <c r="S365" s="10" t="inlineStr">
        <is>
          <t>SÍ — integrante</t>
        </is>
      </c>
      <c r="T365" s="11" t="inlineStr">
        <is>
          <t>B · INTEGRANTE</t>
        </is>
      </c>
      <c r="U365" s="11" t="inlineStr">
        <is>
          <t>DEL BANCO (se hereda)</t>
        </is>
      </c>
      <c r="V365" s="11" t="inlineStr">
        <is>
          <t>9152 · INDUSTRIA Y MANUFACTURA</t>
        </is>
      </c>
      <c r="W365" s="12" t="n"/>
      <c r="X365" s="12" t="n"/>
    </row>
    <row r="366" ht="15" customHeight="1">
      <c r="C366" t="inlineStr">
        <is>
          <t>Actividad económica / giro mercantil</t>
        </is>
      </c>
      <c r="D366" t="inlineStr">
        <is>
          <t>F12</t>
        </is>
      </c>
      <c r="E366" t="inlineStr">
        <is>
          <t>INHERENTE</t>
        </is>
      </c>
      <c r="F366" t="inlineStr">
        <is>
          <t>TORTILLERIA</t>
        </is>
      </c>
      <c r="G366" t="n">
        <v>2093011</v>
      </c>
      <c r="H366" t="n">
        <v>2</v>
      </c>
      <c r="I366" t="n">
        <v>2</v>
      </c>
      <c r="J366" t="n">
        <v>8</v>
      </c>
      <c r="K366" t="n">
        <v>16</v>
      </c>
      <c r="L366" t="n">
        <v>16</v>
      </c>
      <c r="M366" t="n">
        <v>16</v>
      </c>
      <c r="N366" t="n">
        <v>16</v>
      </c>
      <c r="O366" t="n">
        <v>40</v>
      </c>
      <c r="P366" t="n">
        <v>8</v>
      </c>
      <c r="R366" s="9" t="n">
        <v>0.08</v>
      </c>
      <c r="S366" s="10" t="inlineStr">
        <is>
          <t>SÍ — integrante</t>
        </is>
      </c>
      <c r="T366" s="11" t="inlineStr">
        <is>
          <t>B · INTEGRANTE</t>
        </is>
      </c>
      <c r="U366" s="11" t="inlineStr">
        <is>
          <t>DEL BANCO (se hereda)</t>
        </is>
      </c>
      <c r="V366" s="11" t="inlineStr">
        <is>
          <t>9152 · INDUSTRIA Y MANUFACTURA</t>
        </is>
      </c>
      <c r="W366" s="12" t="n"/>
      <c r="X366" s="12" t="n"/>
    </row>
    <row r="367" ht="15" customHeight="1">
      <c r="C367" t="inlineStr">
        <is>
          <t>Actividad económica / giro mercantil</t>
        </is>
      </c>
      <c r="D367" t="inlineStr">
        <is>
          <t>F12</t>
        </is>
      </c>
      <c r="E367" t="inlineStr">
        <is>
          <t>INHERENTE</t>
        </is>
      </c>
      <c r="F367" t="inlineStr">
        <is>
          <t>FABRICACION DE FRITURAS</t>
        </is>
      </c>
      <c r="G367" t="n">
        <v>2094019</v>
      </c>
      <c r="H367" t="n">
        <v>1</v>
      </c>
      <c r="I367" t="n">
        <v>1</v>
      </c>
      <c r="J367" t="n">
        <v>8</v>
      </c>
      <c r="K367" t="n">
        <v>8</v>
      </c>
      <c r="L367" t="n">
        <v>8</v>
      </c>
      <c r="M367" t="n">
        <v>8</v>
      </c>
      <c r="N367" t="n">
        <v>8</v>
      </c>
      <c r="O367" t="n">
        <v>40</v>
      </c>
      <c r="P367" t="n">
        <v>8</v>
      </c>
      <c r="R367" s="9" t="n">
        <v>0.08</v>
      </c>
      <c r="S367" s="10" t="inlineStr">
        <is>
          <t>SÍ — integrante</t>
        </is>
      </c>
      <c r="T367" s="11" t="inlineStr">
        <is>
          <t>B · INTEGRANTE</t>
        </is>
      </c>
      <c r="U367" s="11" t="inlineStr">
        <is>
          <t>DEL BANCO (se hereda)</t>
        </is>
      </c>
      <c r="V367" s="11" t="inlineStr">
        <is>
          <t>9152 · INDUSTRIA Y MANUFACTURA</t>
        </is>
      </c>
      <c r="W367" s="12" t="n"/>
      <c r="X367" s="12" t="n"/>
    </row>
    <row r="368" ht="15" customHeight="1">
      <c r="C368" t="inlineStr">
        <is>
          <t>Actividad económica / giro mercantil</t>
        </is>
      </c>
      <c r="D368" t="inlineStr">
        <is>
          <t>F12</t>
        </is>
      </c>
      <c r="E368" t="inlineStr">
        <is>
          <t>INHERENTE</t>
        </is>
      </c>
      <c r="F368" t="inlineStr">
        <is>
          <t>FABRICACION DE OTROS PREPARADOS ALIMENTICIOS DERIVADOS DE CEREALES</t>
        </is>
      </c>
      <c r="G368" t="n">
        <v>2094027</v>
      </c>
      <c r="H368" t="n">
        <v>1</v>
      </c>
      <c r="I368" t="n">
        <v>1</v>
      </c>
      <c r="J368" t="n">
        <v>8</v>
      </c>
      <c r="K368" t="n">
        <v>8</v>
      </c>
      <c r="L368" t="n">
        <v>8</v>
      </c>
      <c r="M368" t="n">
        <v>8</v>
      </c>
      <c r="N368" t="n">
        <v>8</v>
      </c>
      <c r="O368" t="n">
        <v>40</v>
      </c>
      <c r="P368" t="n">
        <v>8</v>
      </c>
      <c r="R368" s="9" t="n">
        <v>0.08</v>
      </c>
      <c r="S368" s="10" t="inlineStr">
        <is>
          <t>SÍ — integrante</t>
        </is>
      </c>
      <c r="T368" s="11" t="inlineStr">
        <is>
          <t>B · INTEGRANTE</t>
        </is>
      </c>
      <c r="U368" s="11" t="inlineStr">
        <is>
          <t>DEL BANCO (se hereda)</t>
        </is>
      </c>
      <c r="V368" s="11" t="inlineStr">
        <is>
          <t>9152 · INDUSTRIA Y MANUFACTURA</t>
        </is>
      </c>
      <c r="W368" s="12" t="n"/>
      <c r="X368" s="12" t="n"/>
    </row>
    <row r="369" ht="15" customHeight="1">
      <c r="C369" t="inlineStr">
        <is>
          <t>Actividad económica / giro mercantil</t>
        </is>
      </c>
      <c r="D369" t="inlineStr">
        <is>
          <t>F12</t>
        </is>
      </c>
      <c r="E369" t="inlineStr">
        <is>
          <t>INHERENTE</t>
        </is>
      </c>
      <c r="F369" t="inlineStr">
        <is>
          <t>FABRICACION DE VINAGRE</t>
        </is>
      </c>
      <c r="G369" t="n">
        <v>2095017</v>
      </c>
      <c r="H369" t="n">
        <v>1</v>
      </c>
      <c r="I369" t="n">
        <v>1</v>
      </c>
      <c r="J369" t="n">
        <v>8</v>
      </c>
      <c r="K369" t="n">
        <v>8</v>
      </c>
      <c r="L369" t="n">
        <v>8</v>
      </c>
      <c r="M369" t="n">
        <v>8</v>
      </c>
      <c r="N369" t="n">
        <v>8</v>
      </c>
      <c r="O369" t="n">
        <v>40</v>
      </c>
      <c r="P369" t="n">
        <v>8</v>
      </c>
      <c r="R369" s="9" t="n">
        <v>0.08</v>
      </c>
      <c r="S369" s="10" t="inlineStr">
        <is>
          <t>SÍ — integrante</t>
        </is>
      </c>
      <c r="T369" s="11" t="inlineStr">
        <is>
          <t>B · INTEGRANTE</t>
        </is>
      </c>
      <c r="U369" s="11" t="inlineStr">
        <is>
          <t>DEL BANCO (se hereda)</t>
        </is>
      </c>
      <c r="V369" s="11" t="inlineStr">
        <is>
          <t>9152 · INDUSTRIA Y MANUFACTURA</t>
        </is>
      </c>
      <c r="W369" s="12" t="n"/>
      <c r="X369" s="12" t="n"/>
    </row>
    <row r="370" ht="15" customHeight="1">
      <c r="C370" t="inlineStr">
        <is>
          <t>Actividad económica / giro mercantil</t>
        </is>
      </c>
      <c r="D370" t="inlineStr">
        <is>
          <t>F12</t>
        </is>
      </c>
      <c r="E370" t="inlineStr">
        <is>
          <t>INHERENTE</t>
        </is>
      </c>
      <c r="F370" t="inlineStr">
        <is>
          <t>REFINACION DE SAL</t>
        </is>
      </c>
      <c r="G370" t="n">
        <v>2095025</v>
      </c>
      <c r="H370" t="n">
        <v>1</v>
      </c>
      <c r="I370" t="n">
        <v>1</v>
      </c>
      <c r="J370" t="n">
        <v>8</v>
      </c>
      <c r="K370" t="n">
        <v>8</v>
      </c>
      <c r="L370" t="n">
        <v>8</v>
      </c>
      <c r="M370" t="n">
        <v>8</v>
      </c>
      <c r="N370" t="n">
        <v>8</v>
      </c>
      <c r="O370" t="n">
        <v>40</v>
      </c>
      <c r="P370" t="n">
        <v>8</v>
      </c>
      <c r="R370" s="9" t="n">
        <v>0.08</v>
      </c>
      <c r="S370" s="10" t="inlineStr">
        <is>
          <t>SÍ — integrante</t>
        </is>
      </c>
      <c r="T370" s="11" t="inlineStr">
        <is>
          <t>B · INTEGRANTE</t>
        </is>
      </c>
      <c r="U370" s="11" t="inlineStr">
        <is>
          <t>DEL BANCO (se hereda)</t>
        </is>
      </c>
      <c r="V370" s="11" t="inlineStr">
        <is>
          <t>9152 · INDUSTRIA Y MANUFACTURA</t>
        </is>
      </c>
      <c r="W370" s="12" t="n"/>
      <c r="X370" s="12" t="n"/>
    </row>
    <row r="371" ht="15" customHeight="1">
      <c r="C371" t="inlineStr">
        <is>
          <t>Actividad económica / giro mercantil</t>
        </is>
      </c>
      <c r="D371" t="inlineStr">
        <is>
          <t>F12</t>
        </is>
      </c>
      <c r="E371" t="inlineStr">
        <is>
          <t>INHERENTE</t>
        </is>
      </c>
      <c r="F371" t="inlineStr">
        <is>
          <t>FABRICACION DE HIELO</t>
        </is>
      </c>
      <c r="G371" t="n">
        <v>2096015</v>
      </c>
      <c r="H371" t="n">
        <v>1</v>
      </c>
      <c r="I371" t="n">
        <v>1</v>
      </c>
      <c r="J371" t="n">
        <v>8</v>
      </c>
      <c r="K371" t="n">
        <v>8</v>
      </c>
      <c r="L371" t="n">
        <v>8</v>
      </c>
      <c r="M371" t="n">
        <v>8</v>
      </c>
      <c r="N371" t="n">
        <v>8</v>
      </c>
      <c r="O371" t="n">
        <v>40</v>
      </c>
      <c r="P371" t="n">
        <v>8</v>
      </c>
      <c r="R371" s="9" t="n">
        <v>0.08</v>
      </c>
      <c r="S371" s="10" t="inlineStr">
        <is>
          <t>SÍ — integrante</t>
        </is>
      </c>
      <c r="T371" s="11" t="inlineStr">
        <is>
          <t>B · INTEGRANTE</t>
        </is>
      </c>
      <c r="U371" s="11" t="inlineStr">
        <is>
          <t>DEL BANCO (se hereda)</t>
        </is>
      </c>
      <c r="V371" s="11" t="inlineStr">
        <is>
          <t>9152 · INDUSTRIA Y MANUFACTURA</t>
        </is>
      </c>
      <c r="W371" s="12" t="n"/>
      <c r="X371" s="12" t="n"/>
    </row>
    <row r="372" ht="15" customHeight="1">
      <c r="C372" t="inlineStr">
        <is>
          <t>Actividad económica / giro mercantil</t>
        </is>
      </c>
      <c r="D372" t="inlineStr">
        <is>
          <t>F12</t>
        </is>
      </c>
      <c r="E372" t="inlineStr">
        <is>
          <t>INHERENTE</t>
        </is>
      </c>
      <c r="F372" t="inlineStr">
        <is>
          <t>FABRICACION DE HELADOS NIEVES Y PALETAS</t>
        </is>
      </c>
      <c r="G372" t="n">
        <v>2097013</v>
      </c>
      <c r="H372" t="n">
        <v>1</v>
      </c>
      <c r="I372" t="n">
        <v>1</v>
      </c>
      <c r="J372" t="n">
        <v>8</v>
      </c>
      <c r="K372" t="n">
        <v>8</v>
      </c>
      <c r="L372" t="n">
        <v>8</v>
      </c>
      <c r="M372" t="n">
        <v>8</v>
      </c>
      <c r="N372" t="n">
        <v>8</v>
      </c>
      <c r="O372" t="n">
        <v>40</v>
      </c>
      <c r="P372" t="n">
        <v>8</v>
      </c>
      <c r="R372" s="9" t="n">
        <v>0.08</v>
      </c>
      <c r="S372" s="10" t="inlineStr">
        <is>
          <t>SÍ — integrante</t>
        </is>
      </c>
      <c r="T372" s="11" t="inlineStr">
        <is>
          <t>B · INTEGRANTE</t>
        </is>
      </c>
      <c r="U372" s="11" t="inlineStr">
        <is>
          <t>DEL BANCO (se hereda)</t>
        </is>
      </c>
      <c r="V372" s="11" t="inlineStr">
        <is>
          <t>9152 · INDUSTRIA Y MANUFACTURA</t>
        </is>
      </c>
      <c r="W372" s="12" t="n"/>
      <c r="X372" s="12" t="n"/>
    </row>
    <row r="373" ht="15" customHeight="1">
      <c r="C373" t="inlineStr">
        <is>
          <t>Actividad económica / giro mercantil</t>
        </is>
      </c>
      <c r="D373" t="inlineStr">
        <is>
          <t>F12</t>
        </is>
      </c>
      <c r="E373" t="inlineStr">
        <is>
          <t>INHERENTE</t>
        </is>
      </c>
      <c r="F373" t="inlineStr">
        <is>
          <t>DESHIDRATACION DE PLANTAS PARA FORRAJES</t>
        </is>
      </c>
      <c r="G373" t="n">
        <v>2098011</v>
      </c>
      <c r="H373" t="n">
        <v>1</v>
      </c>
      <c r="I373" t="n">
        <v>1</v>
      </c>
      <c r="J373" t="n">
        <v>8</v>
      </c>
      <c r="K373" t="n">
        <v>8</v>
      </c>
      <c r="L373" t="n">
        <v>8</v>
      </c>
      <c r="M373" t="n">
        <v>8</v>
      </c>
      <c r="N373" t="n">
        <v>8</v>
      </c>
      <c r="O373" t="n">
        <v>40</v>
      </c>
      <c r="P373" t="n">
        <v>8</v>
      </c>
      <c r="R373" s="9" t="n">
        <v>0.08</v>
      </c>
      <c r="S373" s="10" t="inlineStr">
        <is>
          <t>SÍ — integrante</t>
        </is>
      </c>
      <c r="T373" s="11" t="inlineStr">
        <is>
          <t>B · INTEGRANTE</t>
        </is>
      </c>
      <c r="U373" s="11" t="inlineStr">
        <is>
          <t>DEL BANCO (se hereda)</t>
        </is>
      </c>
      <c r="V373" s="11" t="inlineStr">
        <is>
          <t>9151 · SECTOR PRIMARIO (agropecuario, pesca, forestal, minería)</t>
        </is>
      </c>
      <c r="W373" s="12" t="n"/>
      <c r="X373" s="12" t="n"/>
    </row>
    <row r="374" ht="15" customHeight="1">
      <c r="C374" t="inlineStr">
        <is>
          <t>Actividad económica / giro mercantil</t>
        </is>
      </c>
      <c r="D374" t="inlineStr">
        <is>
          <t>F12</t>
        </is>
      </c>
      <c r="E374" t="inlineStr">
        <is>
          <t>INHERENTE</t>
        </is>
      </c>
      <c r="F374" t="inlineStr">
        <is>
          <t>FABRICACION DE ALIMENTO PARA GANADO Y OTROS ANIMALES</t>
        </is>
      </c>
      <c r="G374" t="n">
        <v>2098029</v>
      </c>
      <c r="H374" t="n">
        <v>1</v>
      </c>
      <c r="I374" t="n">
        <v>1</v>
      </c>
      <c r="J374" t="n">
        <v>8</v>
      </c>
      <c r="K374" t="n">
        <v>8</v>
      </c>
      <c r="L374" t="n">
        <v>8</v>
      </c>
      <c r="M374" t="n">
        <v>8</v>
      </c>
      <c r="N374" t="n">
        <v>8</v>
      </c>
      <c r="O374" t="n">
        <v>40</v>
      </c>
      <c r="P374" t="n">
        <v>8</v>
      </c>
      <c r="R374" s="9" t="n">
        <v>0.08</v>
      </c>
      <c r="S374" s="10" t="inlineStr">
        <is>
          <t>SÍ — integrante</t>
        </is>
      </c>
      <c r="T374" s="11" t="inlineStr">
        <is>
          <t>B · INTEGRANTE</t>
        </is>
      </c>
      <c r="U374" s="11" t="inlineStr">
        <is>
          <t>DEL BANCO (se hereda)</t>
        </is>
      </c>
      <c r="V374" s="11" t="inlineStr">
        <is>
          <t>9152 · INDUSTRIA Y MANUFACTURA</t>
        </is>
      </c>
      <c r="W374" s="12" t="n"/>
      <c r="X374" s="12" t="n"/>
    </row>
    <row r="375" ht="15" customHeight="1">
      <c r="C375" t="inlineStr">
        <is>
          <t>Actividad económica / giro mercantil</t>
        </is>
      </c>
      <c r="D375" t="inlineStr">
        <is>
          <t>F12</t>
        </is>
      </c>
      <c r="E375" t="inlineStr">
        <is>
          <t>INHERENTE</t>
        </is>
      </c>
      <c r="F375" t="inlineStr">
        <is>
          <t>FABRICACION DE ALIMENTOS PARA AVES</t>
        </is>
      </c>
      <c r="G375" t="n">
        <v>2098037</v>
      </c>
      <c r="H375" t="n">
        <v>1</v>
      </c>
      <c r="I375" t="n">
        <v>1</v>
      </c>
      <c r="J375" t="n">
        <v>8</v>
      </c>
      <c r="K375" t="n">
        <v>8</v>
      </c>
      <c r="L375" t="n">
        <v>8</v>
      </c>
      <c r="M375" t="n">
        <v>8</v>
      </c>
      <c r="N375" t="n">
        <v>8</v>
      </c>
      <c r="O375" t="n">
        <v>40</v>
      </c>
      <c r="P375" t="n">
        <v>8</v>
      </c>
      <c r="R375" s="9" t="n">
        <v>0.08</v>
      </c>
      <c r="S375" s="10" t="inlineStr">
        <is>
          <t>SÍ — integrante</t>
        </is>
      </c>
      <c r="T375" s="11" t="inlineStr">
        <is>
          <t>B · INTEGRANTE</t>
        </is>
      </c>
      <c r="U375" s="11" t="inlineStr">
        <is>
          <t>DEL BANCO (se hereda)</t>
        </is>
      </c>
      <c r="V375" s="11" t="inlineStr">
        <is>
          <t>9152 · INDUSTRIA Y MANUFACTURA</t>
        </is>
      </c>
      <c r="W375" s="12" t="n"/>
      <c r="X375" s="12" t="n"/>
    </row>
    <row r="376" ht="15" customHeight="1">
      <c r="C376" t="inlineStr">
        <is>
          <t>Actividad económica / giro mercantil</t>
        </is>
      </c>
      <c r="D376" t="inlineStr">
        <is>
          <t>F12</t>
        </is>
      </c>
      <c r="E376" t="inlineStr">
        <is>
          <t>INHERENTE</t>
        </is>
      </c>
      <c r="F376" t="inlineStr">
        <is>
          <t>EMPACADORA DE ESPECIAS</t>
        </is>
      </c>
      <c r="G376" t="n">
        <v>2099019</v>
      </c>
      <c r="H376" t="n">
        <v>1</v>
      </c>
      <c r="I376" t="n">
        <v>1</v>
      </c>
      <c r="J376" t="n">
        <v>8</v>
      </c>
      <c r="K376" t="n">
        <v>8</v>
      </c>
      <c r="L376" t="n">
        <v>8</v>
      </c>
      <c r="M376" t="n">
        <v>8</v>
      </c>
      <c r="N376" t="n">
        <v>8</v>
      </c>
      <c r="O376" t="n">
        <v>40</v>
      </c>
      <c r="P376" t="n">
        <v>8</v>
      </c>
      <c r="R376" s="9" t="n">
        <v>0.08</v>
      </c>
      <c r="S376" s="10" t="inlineStr">
        <is>
          <t>SÍ — integrante</t>
        </is>
      </c>
      <c r="T376" s="11" t="inlineStr">
        <is>
          <t>B · INTEGRANTE</t>
        </is>
      </c>
      <c r="U376" s="11" t="inlineStr">
        <is>
          <t>DEL BANCO (se hereda)</t>
        </is>
      </c>
      <c r="V376" s="11" t="inlineStr">
        <is>
          <t>9152 · INDUSTRIA Y MANUFACTURA</t>
        </is>
      </c>
      <c r="W376" s="12" t="n"/>
      <c r="X376" s="12" t="n"/>
    </row>
    <row r="377" ht="15" customHeight="1">
      <c r="C377" t="inlineStr">
        <is>
          <t>Actividad económica / giro mercantil</t>
        </is>
      </c>
      <c r="D377" t="inlineStr">
        <is>
          <t>F12</t>
        </is>
      </c>
      <c r="E377" t="inlineStr">
        <is>
          <t>INHERENTE</t>
        </is>
      </c>
      <c r="F377" t="inlineStr">
        <is>
          <t>FABRICACION DE ACEITES Y MANTECAS ANIMALES COMESTIBLES</t>
        </is>
      </c>
      <c r="G377" t="n">
        <v>2099027</v>
      </c>
      <c r="H377" t="n">
        <v>1</v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40</v>
      </c>
      <c r="P377" t="n">
        <v>8</v>
      </c>
      <c r="R377" s="9" t="n">
        <v>0.08</v>
      </c>
      <c r="S377" s="10" t="inlineStr">
        <is>
          <t>SÍ — integrante</t>
        </is>
      </c>
      <c r="T377" s="11" t="inlineStr">
        <is>
          <t>B · INTEGRANTE</t>
        </is>
      </c>
      <c r="U377" s="11" t="inlineStr">
        <is>
          <t>DEL BANCO (se hereda)</t>
        </is>
      </c>
      <c r="V377" s="11" t="inlineStr">
        <is>
          <t>9152 · INDUSTRIA Y MANUFACTURA</t>
        </is>
      </c>
      <c r="W377" s="12" t="n"/>
      <c r="X377" s="12" t="n"/>
    </row>
    <row r="378" ht="15" customHeight="1">
      <c r="C378" t="inlineStr">
        <is>
          <t>Actividad económica / giro mercantil</t>
        </is>
      </c>
      <c r="D378" t="inlineStr">
        <is>
          <t>F12</t>
        </is>
      </c>
      <c r="E378" t="inlineStr">
        <is>
          <t>INHERENTE</t>
        </is>
      </c>
      <c r="F378" t="inlineStr">
        <is>
          <t>FABRICACION DE HARINA DE PESCADO</t>
        </is>
      </c>
      <c r="G378" t="n">
        <v>2099035</v>
      </c>
      <c r="H378" t="n">
        <v>1</v>
      </c>
      <c r="I378" t="n">
        <v>1</v>
      </c>
      <c r="J378" t="n">
        <v>8</v>
      </c>
      <c r="K378" t="n">
        <v>8</v>
      </c>
      <c r="L378" t="n">
        <v>8</v>
      </c>
      <c r="M378" t="n">
        <v>8</v>
      </c>
      <c r="N378" t="n">
        <v>8</v>
      </c>
      <c r="O378" t="n">
        <v>40</v>
      </c>
      <c r="P378" t="n">
        <v>8</v>
      </c>
      <c r="R378" s="9" t="n">
        <v>0.08</v>
      </c>
      <c r="S378" s="10" t="inlineStr">
        <is>
          <t>SÍ — integrante</t>
        </is>
      </c>
      <c r="T378" s="11" t="inlineStr">
        <is>
          <t>B · INTEGRANTE</t>
        </is>
      </c>
      <c r="U378" s="11" t="inlineStr">
        <is>
          <t>DEL BANCO (se hereda)</t>
        </is>
      </c>
      <c r="V378" s="11" t="inlineStr">
        <is>
          <t>9151 · SECTOR PRIMARIO (agropecuario, pesca, forestal, minería)</t>
        </is>
      </c>
      <c r="W378" s="12" t="n"/>
      <c r="X378" s="12" t="n"/>
    </row>
    <row r="379" ht="15" customHeight="1">
      <c r="C379" t="inlineStr">
        <is>
          <t>Actividad económica / giro mercantil</t>
        </is>
      </c>
      <c r="D379" t="inlineStr">
        <is>
          <t>F12</t>
        </is>
      </c>
      <c r="E379" t="inlineStr">
        <is>
          <t>INHERENTE</t>
        </is>
      </c>
      <c r="F379" t="inlineStr">
        <is>
          <t>FABRICACION DE OTROS PRODUCTOS ALIMENTICIOS</t>
        </is>
      </c>
      <c r="G379" t="n">
        <v>2099043</v>
      </c>
      <c r="H379" t="n">
        <v>1</v>
      </c>
      <c r="I379" t="n">
        <v>1</v>
      </c>
      <c r="J379" t="n">
        <v>8</v>
      </c>
      <c r="K379" t="n">
        <v>8</v>
      </c>
      <c r="L379" t="n">
        <v>8</v>
      </c>
      <c r="M379" t="n">
        <v>8</v>
      </c>
      <c r="N379" t="n">
        <v>8</v>
      </c>
      <c r="O379" t="n">
        <v>40</v>
      </c>
      <c r="P379" t="n">
        <v>8</v>
      </c>
      <c r="R379" s="9" t="n">
        <v>0.08</v>
      </c>
      <c r="S379" s="10" t="inlineStr">
        <is>
          <t>SÍ — integrante</t>
        </is>
      </c>
      <c r="T379" s="11" t="inlineStr">
        <is>
          <t>B · INTEGRANTE</t>
        </is>
      </c>
      <c r="U379" s="11" t="inlineStr">
        <is>
          <t>DEL BANCO (se hereda)</t>
        </is>
      </c>
      <c r="V379" s="11" t="inlineStr">
        <is>
          <t>9152 · INDUSTRIA Y MANUFACTURA</t>
        </is>
      </c>
      <c r="W379" s="12" t="n"/>
      <c r="X379" s="12" t="n"/>
    </row>
    <row r="380" ht="15" customHeight="1">
      <c r="C380" t="inlineStr">
        <is>
          <t>Actividad económica / giro mercantil</t>
        </is>
      </c>
      <c r="D380" t="inlineStr">
        <is>
          <t>F12</t>
        </is>
      </c>
      <c r="E380" t="inlineStr">
        <is>
          <t>INHERENTE</t>
        </is>
      </c>
      <c r="F380" t="inlineStr">
        <is>
          <t>FABRICACION DE PASTAS PARA GUISOS</t>
        </is>
      </c>
      <c r="G380" t="n">
        <v>2099051</v>
      </c>
      <c r="H380" t="n">
        <v>1</v>
      </c>
      <c r="I380" t="n">
        <v>1</v>
      </c>
      <c r="J380" t="n">
        <v>8</v>
      </c>
      <c r="K380" t="n">
        <v>8</v>
      </c>
      <c r="L380" t="n">
        <v>8</v>
      </c>
      <c r="M380" t="n">
        <v>8</v>
      </c>
      <c r="N380" t="n">
        <v>8</v>
      </c>
      <c r="O380" t="n">
        <v>40</v>
      </c>
      <c r="P380" t="n">
        <v>8</v>
      </c>
      <c r="R380" s="9" t="n">
        <v>0.08</v>
      </c>
      <c r="S380" s="10" t="inlineStr">
        <is>
          <t>SÍ — integrante</t>
        </is>
      </c>
      <c r="T380" s="11" t="inlineStr">
        <is>
          <t>B · INTEGRANTE</t>
        </is>
      </c>
      <c r="U380" s="11" t="inlineStr">
        <is>
          <t>DEL BANCO (se hereda)</t>
        </is>
      </c>
      <c r="V380" s="11" t="inlineStr">
        <is>
          <t>9152 · INDUSTRIA Y MANUFACTURA</t>
        </is>
      </c>
      <c r="W380" s="12" t="n"/>
      <c r="X380" s="12" t="n"/>
    </row>
    <row r="381" ht="15" customHeight="1">
      <c r="C381" t="inlineStr">
        <is>
          <t>Actividad económica / giro mercantil</t>
        </is>
      </c>
      <c r="D381" t="inlineStr">
        <is>
          <t>F12</t>
        </is>
      </c>
      <c r="E381" t="inlineStr">
        <is>
          <t>INHERENTE</t>
        </is>
      </c>
      <c r="F381" t="inlineStr">
        <is>
          <t>FABRICACIÓN Y ELABORACIÓN DE BEBIDAS (AGUA, REFRESCOS, CERVEZA, VINOS Y LICORES)</t>
        </is>
      </c>
      <c r="G381" t="n">
        <v>2100006</v>
      </c>
      <c r="H381" t="n">
        <v>1</v>
      </c>
      <c r="I381" t="n">
        <v>1</v>
      </c>
      <c r="J381" t="n">
        <v>8</v>
      </c>
      <c r="K381" t="n">
        <v>8</v>
      </c>
      <c r="L381" t="n">
        <v>8</v>
      </c>
      <c r="M381" t="n">
        <v>8</v>
      </c>
      <c r="N381" t="n">
        <v>8</v>
      </c>
      <c r="O381" t="n">
        <v>40</v>
      </c>
      <c r="P381" t="n">
        <v>8</v>
      </c>
      <c r="R381" s="9" t="n">
        <v>0.08</v>
      </c>
      <c r="S381" s="10" t="inlineStr">
        <is>
          <t>SÍ — integrante</t>
        </is>
      </c>
      <c r="T381" s="11" t="inlineStr">
        <is>
          <t>B · INTEGRANTE</t>
        </is>
      </c>
      <c r="U381" s="11" t="inlineStr">
        <is>
          <t>DEL BANCO (se hereda)</t>
        </is>
      </c>
      <c r="V381" s="11" t="inlineStr">
        <is>
          <t>9152 · INDUSTRIA Y MANUFACTURA</t>
        </is>
      </c>
      <c r="W381" s="12" t="n"/>
      <c r="X381" s="12" t="n"/>
    </row>
    <row r="382" ht="15" customHeight="1">
      <c r="C382" t="inlineStr">
        <is>
          <t>Actividad económica / giro mercantil</t>
        </is>
      </c>
      <c r="D382" t="inlineStr">
        <is>
          <t>F12</t>
        </is>
      </c>
      <c r="E382" t="inlineStr">
        <is>
          <t>INHERENTE</t>
        </is>
      </c>
      <c r="F382" t="inlineStr">
        <is>
          <t>FABRICACION DE TEQUILA Y MEZCAL</t>
        </is>
      </c>
      <c r="G382" t="n">
        <v>2111011</v>
      </c>
      <c r="H382" t="n">
        <v>1</v>
      </c>
      <c r="I382" t="n">
        <v>1</v>
      </c>
      <c r="J382" t="n">
        <v>8</v>
      </c>
      <c r="K382" t="n">
        <v>8</v>
      </c>
      <c r="L382" t="n">
        <v>8</v>
      </c>
      <c r="M382" t="n">
        <v>8</v>
      </c>
      <c r="N382" t="n">
        <v>8</v>
      </c>
      <c r="O382" t="n">
        <v>40</v>
      </c>
      <c r="P382" t="n">
        <v>8</v>
      </c>
      <c r="R382" s="9" t="n">
        <v>0.08</v>
      </c>
      <c r="S382" s="10" t="inlineStr">
        <is>
          <t>SÍ — integrante</t>
        </is>
      </c>
      <c r="T382" s="11" t="inlineStr">
        <is>
          <t>B · INTEGRANTE</t>
        </is>
      </c>
      <c r="U382" s="11" t="inlineStr">
        <is>
          <t>DEL BANCO (se hereda)</t>
        </is>
      </c>
      <c r="V382" s="11" t="inlineStr">
        <is>
          <t>9152 · INDUSTRIA Y MANUFACTURA</t>
        </is>
      </c>
      <c r="W382" s="12" t="n"/>
      <c r="X382" s="12" t="n"/>
    </row>
    <row r="383" ht="15" customHeight="1">
      <c r="C383" t="inlineStr">
        <is>
          <t>Actividad económica / giro mercantil</t>
        </is>
      </c>
      <c r="D383" t="inlineStr">
        <is>
          <t>F12</t>
        </is>
      </c>
      <c r="E383" t="inlineStr">
        <is>
          <t>INHERENTE</t>
        </is>
      </c>
      <c r="F383" t="inlineStr">
        <is>
          <t>FABRICACION DE AGUARDIENTE DE CAÑA</t>
        </is>
      </c>
      <c r="G383" t="n">
        <v>2112019</v>
      </c>
      <c r="H383" t="n">
        <v>1</v>
      </c>
      <c r="I383" t="n">
        <v>1</v>
      </c>
      <c r="J383" t="n">
        <v>8</v>
      </c>
      <c r="K383" t="n">
        <v>8</v>
      </c>
      <c r="L383" t="n">
        <v>8</v>
      </c>
      <c r="M383" t="n">
        <v>8</v>
      </c>
      <c r="N383" t="n">
        <v>8</v>
      </c>
      <c r="O383" t="n">
        <v>40</v>
      </c>
      <c r="P383" t="n">
        <v>8</v>
      </c>
      <c r="R383" s="9" t="n">
        <v>0.08</v>
      </c>
      <c r="S383" s="10" t="inlineStr">
        <is>
          <t>SÍ — integrante</t>
        </is>
      </c>
      <c r="T383" s="11" t="inlineStr">
        <is>
          <t>B · INTEGRANTE</t>
        </is>
      </c>
      <c r="U383" s="11" t="inlineStr">
        <is>
          <t>DEL BANCO (se hereda)</t>
        </is>
      </c>
      <c r="V383" s="11" t="inlineStr">
        <is>
          <t>9152 · INDUSTRIA Y MANUFACTURA</t>
        </is>
      </c>
      <c r="W383" s="12" t="n"/>
      <c r="X383" s="12" t="n"/>
    </row>
    <row r="384" ht="15" customHeight="1">
      <c r="C384" t="inlineStr">
        <is>
          <t>Actividad económica / giro mercantil</t>
        </is>
      </c>
      <c r="D384" t="inlineStr">
        <is>
          <t>F12</t>
        </is>
      </c>
      <c r="E384" t="inlineStr">
        <is>
          <t>INHERENTE</t>
        </is>
      </c>
      <c r="F384" t="inlineStr">
        <is>
          <t>FABRICACION DE SOTOL</t>
        </is>
      </c>
      <c r="G384" t="n">
        <v>2113017</v>
      </c>
      <c r="H384" t="n">
        <v>1</v>
      </c>
      <c r="I384" t="n">
        <v>1</v>
      </c>
      <c r="J384" t="n">
        <v>8</v>
      </c>
      <c r="K384" t="n">
        <v>8</v>
      </c>
      <c r="L384" t="n">
        <v>8</v>
      </c>
      <c r="M384" t="n">
        <v>8</v>
      </c>
      <c r="N384" t="n">
        <v>8</v>
      </c>
      <c r="O384" t="n">
        <v>40</v>
      </c>
      <c r="P384" t="n">
        <v>8</v>
      </c>
      <c r="R384" s="9" t="n">
        <v>0.08</v>
      </c>
      <c r="S384" s="10" t="inlineStr">
        <is>
          <t>SÍ — integrante</t>
        </is>
      </c>
      <c r="T384" s="11" t="inlineStr">
        <is>
          <t>B · INTEGRANTE</t>
        </is>
      </c>
      <c r="U384" s="11" t="inlineStr">
        <is>
          <t>DEL BANCO (se hereda)</t>
        </is>
      </c>
      <c r="V384" s="11" t="inlineStr">
        <is>
          <t>9152 · INDUSTRIA Y MANUFACTURA</t>
        </is>
      </c>
      <c r="W384" s="12" t="n"/>
      <c r="X384" s="12" t="n"/>
    </row>
    <row r="385" ht="15" customHeight="1">
      <c r="C385" t="inlineStr">
        <is>
          <t>Actividad económica / giro mercantil</t>
        </is>
      </c>
      <c r="D385" t="inlineStr">
        <is>
          <t>F12</t>
        </is>
      </c>
      <c r="E385" t="inlineStr">
        <is>
          <t>INHERENTE</t>
        </is>
      </c>
      <c r="F385" t="inlineStr">
        <is>
          <t>FABRICACION DE OTROS AGUARDIENTES NO DE CAÑA</t>
        </is>
      </c>
      <c r="G385" t="n">
        <v>2114015</v>
      </c>
      <c r="H385" t="n">
        <v>1</v>
      </c>
      <c r="I385" t="n">
        <v>1</v>
      </c>
      <c r="J385" t="n">
        <v>8</v>
      </c>
      <c r="K385" t="n">
        <v>8</v>
      </c>
      <c r="L385" t="n">
        <v>8</v>
      </c>
      <c r="M385" t="n">
        <v>8</v>
      </c>
      <c r="N385" t="n">
        <v>8</v>
      </c>
      <c r="O385" t="n">
        <v>40</v>
      </c>
      <c r="P385" t="n">
        <v>8</v>
      </c>
      <c r="R385" s="9" t="n">
        <v>0.08</v>
      </c>
      <c r="S385" s="10" t="inlineStr">
        <is>
          <t>SÍ — integrante</t>
        </is>
      </c>
      <c r="T385" s="11" t="inlineStr">
        <is>
          <t>B · INTEGRANTE</t>
        </is>
      </c>
      <c r="U385" s="11" t="inlineStr">
        <is>
          <t>DEL BANCO (se hereda)</t>
        </is>
      </c>
      <c r="V385" s="11" t="inlineStr">
        <is>
          <t>9152 · INDUSTRIA Y MANUFACTURA</t>
        </is>
      </c>
      <c r="W385" s="12" t="n"/>
      <c r="X385" s="12" t="n"/>
    </row>
    <row r="386" ht="15" customHeight="1">
      <c r="C386" t="inlineStr">
        <is>
          <t>Actividad económica / giro mercantil</t>
        </is>
      </c>
      <c r="D386" t="inlineStr">
        <is>
          <t>F12</t>
        </is>
      </c>
      <c r="E386" t="inlineStr">
        <is>
          <t>INHERENTE</t>
        </is>
      </c>
      <c r="F386" t="inlineStr">
        <is>
          <t>FABRICACION DE VINOS Y OTROS LICORES</t>
        </is>
      </c>
      <c r="G386" t="n">
        <v>2114023</v>
      </c>
      <c r="H386" t="n">
        <v>1</v>
      </c>
      <c r="I386" t="n">
        <v>1</v>
      </c>
      <c r="J386" t="n">
        <v>8</v>
      </c>
      <c r="K386" t="n">
        <v>8</v>
      </c>
      <c r="L386" t="n">
        <v>8</v>
      </c>
      <c r="M386" t="n">
        <v>8</v>
      </c>
      <c r="N386" t="n">
        <v>8</v>
      </c>
      <c r="O386" t="n">
        <v>40</v>
      </c>
      <c r="P386" t="n">
        <v>8</v>
      </c>
      <c r="R386" s="9" t="n">
        <v>0.08</v>
      </c>
      <c r="S386" s="10" t="inlineStr">
        <is>
          <t>SÍ — integrante</t>
        </is>
      </c>
      <c r="T386" s="11" t="inlineStr">
        <is>
          <t>B · INTEGRANTE</t>
        </is>
      </c>
      <c r="U386" s="11" t="inlineStr">
        <is>
          <t>DEL BANCO (se hereda)</t>
        </is>
      </c>
      <c r="V386" s="11" t="inlineStr">
        <is>
          <t>9152 · INDUSTRIA Y MANUFACTURA</t>
        </is>
      </c>
      <c r="W386" s="12" t="n"/>
      <c r="X386" s="12" t="n"/>
    </row>
    <row r="387" ht="15" customHeight="1">
      <c r="C387" t="inlineStr">
        <is>
          <t>Actividad económica / giro mercantil</t>
        </is>
      </c>
      <c r="D387" t="inlineStr">
        <is>
          <t>F12</t>
        </is>
      </c>
      <c r="E387" t="inlineStr">
        <is>
          <t>INHERENTE</t>
        </is>
      </c>
      <c r="F387" t="inlineStr">
        <is>
          <t>ELABORACION DE PULQUE</t>
        </is>
      </c>
      <c r="G387" t="n">
        <v>2115013</v>
      </c>
      <c r="H387" t="n">
        <v>1</v>
      </c>
      <c r="I387" t="n">
        <v>1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n">
        <v>40</v>
      </c>
      <c r="P387" t="n">
        <v>8</v>
      </c>
      <c r="R387" s="9" t="n">
        <v>0.08</v>
      </c>
      <c r="S387" s="10" t="inlineStr">
        <is>
          <t>SÍ — integrante</t>
        </is>
      </c>
      <c r="T387" s="11" t="inlineStr">
        <is>
          <t>B · INTEGRANTE</t>
        </is>
      </c>
      <c r="U387" s="11" t="inlineStr">
        <is>
          <t>DEL BANCO (se hereda)</t>
        </is>
      </c>
      <c r="V387" s="11" t="inlineStr">
        <is>
          <t>9152 · INDUSTRIA Y MANUFACTURA</t>
        </is>
      </c>
      <c r="W387" s="12" t="n"/>
      <c r="X387" s="12" t="n"/>
    </row>
    <row r="388" ht="15" customHeight="1">
      <c r="C388" t="inlineStr">
        <is>
          <t>Actividad económica / giro mercantil</t>
        </is>
      </c>
      <c r="D388" t="inlineStr">
        <is>
          <t>F12</t>
        </is>
      </c>
      <c r="E388" t="inlineStr">
        <is>
          <t>INHERENTE</t>
        </is>
      </c>
      <c r="F388" t="inlineStr">
        <is>
          <t>FABRICACION DE SIDRA  CHAMPAÑA Y OTRAS BEBIDAS FERMENTADAS  EXCEPTO LAS MALTEADAS</t>
        </is>
      </c>
      <c r="G388" t="n">
        <v>2119015</v>
      </c>
      <c r="H388" t="n">
        <v>1</v>
      </c>
      <c r="I388" t="n">
        <v>1</v>
      </c>
      <c r="J388" t="n">
        <v>8</v>
      </c>
      <c r="K388" t="n">
        <v>8</v>
      </c>
      <c r="L388" t="n">
        <v>8</v>
      </c>
      <c r="M388" t="n">
        <v>8</v>
      </c>
      <c r="N388" t="n">
        <v>8</v>
      </c>
      <c r="O388" t="n">
        <v>40</v>
      </c>
      <c r="P388" t="n">
        <v>8</v>
      </c>
      <c r="R388" s="9" t="n">
        <v>0.08</v>
      </c>
      <c r="S388" s="10" t="inlineStr">
        <is>
          <t>SÍ — integrante</t>
        </is>
      </c>
      <c r="T388" s="11" t="inlineStr">
        <is>
          <t>B · INTEGRANTE</t>
        </is>
      </c>
      <c r="U388" s="11" t="inlineStr">
        <is>
          <t>DEL BANCO (se hereda)</t>
        </is>
      </c>
      <c r="V388" s="11" t="inlineStr">
        <is>
          <t>9152 · INDUSTRIA Y MANUFACTURA</t>
        </is>
      </c>
      <c r="W388" s="12" t="n"/>
      <c r="X388" s="12" t="n"/>
    </row>
    <row r="389" ht="15" customHeight="1">
      <c r="C389" t="inlineStr">
        <is>
          <t>Actividad económica / giro mercantil</t>
        </is>
      </c>
      <c r="D389" t="inlineStr">
        <is>
          <t>F12</t>
        </is>
      </c>
      <c r="E389" t="inlineStr">
        <is>
          <t>INHERENTE</t>
        </is>
      </c>
      <c r="F389" t="inlineStr">
        <is>
          <t>FABRICACION DE MALTA</t>
        </is>
      </c>
      <c r="G389" t="n">
        <v>2121010</v>
      </c>
      <c r="H389" t="n">
        <v>1</v>
      </c>
      <c r="I389" t="n">
        <v>1</v>
      </c>
      <c r="J389" t="n">
        <v>8</v>
      </c>
      <c r="K389" t="n">
        <v>8</v>
      </c>
      <c r="L389" t="n">
        <v>8</v>
      </c>
      <c r="M389" t="n">
        <v>8</v>
      </c>
      <c r="N389" t="n">
        <v>8</v>
      </c>
      <c r="O389" t="n">
        <v>40</v>
      </c>
      <c r="P389" t="n">
        <v>8</v>
      </c>
      <c r="R389" s="9" t="n">
        <v>0.08</v>
      </c>
      <c r="S389" s="10" t="inlineStr">
        <is>
          <t>SÍ — integrante</t>
        </is>
      </c>
      <c r="T389" s="11" t="inlineStr">
        <is>
          <t>B · INTEGRANTE</t>
        </is>
      </c>
      <c r="U389" s="11" t="inlineStr">
        <is>
          <t>DEL BANCO (se hereda)</t>
        </is>
      </c>
      <c r="V389" s="11" t="inlineStr">
        <is>
          <t>9152 · INDUSTRIA Y MANUFACTURA</t>
        </is>
      </c>
      <c r="W389" s="12" t="n"/>
      <c r="X389" s="12" t="n"/>
    </row>
    <row r="390" ht="15" customHeight="1">
      <c r="C390" t="inlineStr">
        <is>
          <t>Actividad económica / giro mercantil</t>
        </is>
      </c>
      <c r="D390" t="inlineStr">
        <is>
          <t>F12</t>
        </is>
      </c>
      <c r="E390" t="inlineStr">
        <is>
          <t>INHERENTE</t>
        </is>
      </c>
      <c r="F390" t="inlineStr">
        <is>
          <t>FABRICACION DE CERVEZA</t>
        </is>
      </c>
      <c r="G390" t="n">
        <v>2122018</v>
      </c>
      <c r="H390" t="n">
        <v>1</v>
      </c>
      <c r="I390" t="n">
        <v>1</v>
      </c>
      <c r="J390" t="n">
        <v>8</v>
      </c>
      <c r="K390" t="n">
        <v>8</v>
      </c>
      <c r="L390" t="n">
        <v>8</v>
      </c>
      <c r="M390" t="n">
        <v>8</v>
      </c>
      <c r="N390" t="n">
        <v>8</v>
      </c>
      <c r="O390" t="n">
        <v>40</v>
      </c>
      <c r="P390" t="n">
        <v>8</v>
      </c>
      <c r="R390" s="9" t="n">
        <v>0.08</v>
      </c>
      <c r="S390" s="10" t="inlineStr">
        <is>
          <t>SÍ — integrante</t>
        </is>
      </c>
      <c r="T390" s="11" t="inlineStr">
        <is>
          <t>B · INTEGRANTE</t>
        </is>
      </c>
      <c r="U390" s="11" t="inlineStr">
        <is>
          <t>DEL BANCO (se hereda)</t>
        </is>
      </c>
      <c r="V390" s="11" t="inlineStr">
        <is>
          <t>9152 · INDUSTRIA Y MANUFACTURA</t>
        </is>
      </c>
      <c r="W390" s="12" t="n"/>
      <c r="X390" s="12" t="n"/>
    </row>
    <row r="391" ht="15" customHeight="1">
      <c r="C391" t="inlineStr">
        <is>
          <t>Actividad económica / giro mercantil</t>
        </is>
      </c>
      <c r="D391" t="inlineStr">
        <is>
          <t>F12</t>
        </is>
      </c>
      <c r="E391" t="inlineStr">
        <is>
          <t>INHERENTE</t>
        </is>
      </c>
      <c r="F391" t="inlineStr">
        <is>
          <t>EMBOTELLADO DE AGUAS MINERALES</t>
        </is>
      </c>
      <c r="G391" t="n">
        <v>2131019</v>
      </c>
      <c r="H391" t="n">
        <v>1</v>
      </c>
      <c r="I391" t="n">
        <v>1</v>
      </c>
      <c r="J391" t="n">
        <v>8</v>
      </c>
      <c r="K391" t="n">
        <v>8</v>
      </c>
      <c r="L391" t="n">
        <v>8</v>
      </c>
      <c r="M391" t="n">
        <v>8</v>
      </c>
      <c r="N391" t="n">
        <v>8</v>
      </c>
      <c r="O391" t="n">
        <v>40</v>
      </c>
      <c r="P391" t="n">
        <v>8</v>
      </c>
      <c r="R391" s="9" t="n">
        <v>0.08</v>
      </c>
      <c r="S391" s="10" t="inlineStr">
        <is>
          <t>SÍ — integrante</t>
        </is>
      </c>
      <c r="T391" s="11" t="inlineStr">
        <is>
          <t>B · INTEGRANTE</t>
        </is>
      </c>
      <c r="U391" s="11" t="inlineStr">
        <is>
          <t>DEL BANCO (se hereda)</t>
        </is>
      </c>
      <c r="V391" s="11" t="inlineStr">
        <is>
          <t>9151 · SECTOR PRIMARIO (agropecuario, pesca, forestal, minería)</t>
        </is>
      </c>
      <c r="W391" s="12" t="n"/>
      <c r="X391" s="12" t="n"/>
    </row>
    <row r="392" ht="15" customHeight="1">
      <c r="C392" t="inlineStr">
        <is>
          <t>Actividad económica / giro mercantil</t>
        </is>
      </c>
      <c r="D392" t="inlineStr">
        <is>
          <t>F12</t>
        </is>
      </c>
      <c r="E392" t="inlineStr">
        <is>
          <t>INHERENTE</t>
        </is>
      </c>
      <c r="F392" t="inlineStr">
        <is>
          <t>FABRICACION DE BEBIDAS GASEOSAS</t>
        </is>
      </c>
      <c r="G392" t="n">
        <v>2131027</v>
      </c>
      <c r="H392" t="n">
        <v>1</v>
      </c>
      <c r="I392" t="n">
        <v>1</v>
      </c>
      <c r="J392" t="n">
        <v>8</v>
      </c>
      <c r="K392" t="n">
        <v>8</v>
      </c>
      <c r="L392" t="n">
        <v>8</v>
      </c>
      <c r="M392" t="n">
        <v>8</v>
      </c>
      <c r="N392" t="n">
        <v>8</v>
      </c>
      <c r="O392" t="n">
        <v>40</v>
      </c>
      <c r="P392" t="n">
        <v>8</v>
      </c>
      <c r="R392" s="9" t="n">
        <v>0.08</v>
      </c>
      <c r="S392" s="10" t="inlineStr">
        <is>
          <t>SÍ — integrante</t>
        </is>
      </c>
      <c r="T392" s="11" t="inlineStr">
        <is>
          <t>B · INTEGRANTE</t>
        </is>
      </c>
      <c r="U392" s="11" t="inlineStr">
        <is>
          <t>DEL BANCO (se hereda)</t>
        </is>
      </c>
      <c r="V392" s="11" t="inlineStr">
        <is>
          <t>9152 · INDUSTRIA Y MANUFACTURA</t>
        </is>
      </c>
      <c r="W392" s="12" t="n"/>
      <c r="X392" s="12" t="n"/>
    </row>
    <row r="393" ht="15" customHeight="1">
      <c r="C393" t="inlineStr">
        <is>
          <t>Actividad económica / giro mercantil</t>
        </is>
      </c>
      <c r="D393" t="inlineStr">
        <is>
          <t>F12</t>
        </is>
      </c>
      <c r="E393" t="inlineStr">
        <is>
          <t>INHERENTE</t>
        </is>
      </c>
      <c r="F393" t="inlineStr">
        <is>
          <t>FABRICACION DE REFRESCOS DE FRUTAS NATURALES</t>
        </is>
      </c>
      <c r="G393" t="n">
        <v>2131035</v>
      </c>
      <c r="H393" t="n">
        <v>1</v>
      </c>
      <c r="I393" t="n">
        <v>1</v>
      </c>
      <c r="J393" t="n">
        <v>8</v>
      </c>
      <c r="K393" t="n">
        <v>8</v>
      </c>
      <c r="L393" t="n">
        <v>8</v>
      </c>
      <c r="M393" t="n">
        <v>8</v>
      </c>
      <c r="N393" t="n">
        <v>8</v>
      </c>
      <c r="O393" t="n">
        <v>40</v>
      </c>
      <c r="P393" t="n">
        <v>8</v>
      </c>
      <c r="R393" s="9" t="n">
        <v>0.08</v>
      </c>
      <c r="S393" s="10" t="inlineStr">
        <is>
          <t>SÍ — integrante</t>
        </is>
      </c>
      <c r="T393" s="11" t="inlineStr">
        <is>
          <t>B · INTEGRANTE</t>
        </is>
      </c>
      <c r="U393" s="11" t="inlineStr">
        <is>
          <t>DEL BANCO (se hereda)</t>
        </is>
      </c>
      <c r="V393" s="11" t="inlineStr">
        <is>
          <t>9151 · SECTOR PRIMARIO (agropecuario, pesca, forestal, minería)</t>
        </is>
      </c>
      <c r="W393" s="12" t="n"/>
      <c r="X393" s="12" t="n"/>
    </row>
    <row r="394" ht="15" customHeight="1">
      <c r="C394" t="inlineStr">
        <is>
          <t>Actividad económica / giro mercantil</t>
        </is>
      </c>
      <c r="D394" t="inlineStr">
        <is>
          <t>F12</t>
        </is>
      </c>
      <c r="E394" t="inlineStr">
        <is>
          <t>INHERENTE</t>
        </is>
      </c>
      <c r="F394" t="inlineStr">
        <is>
          <t>PURIFICACION DE AGUA  EXCEPTO CAPTACION TRATAMIENTO CONDUCCION Y DISTRIBUCION DE AGUA POTABLE</t>
        </is>
      </c>
      <c r="G394" t="n">
        <v>2131043</v>
      </c>
      <c r="H394" t="n">
        <v>1</v>
      </c>
      <c r="I394" t="n">
        <v>1</v>
      </c>
      <c r="J394" t="n">
        <v>8</v>
      </c>
      <c r="K394" t="n">
        <v>8</v>
      </c>
      <c r="L394" t="n">
        <v>8</v>
      </c>
      <c r="M394" t="n">
        <v>8</v>
      </c>
      <c r="N394" t="n">
        <v>8</v>
      </c>
      <c r="O394" t="n">
        <v>40</v>
      </c>
      <c r="P394" t="n">
        <v>8</v>
      </c>
      <c r="R394" s="9" t="n">
        <v>0.08</v>
      </c>
      <c r="S394" s="10" t="inlineStr">
        <is>
          <t>SÍ — integrante</t>
        </is>
      </c>
      <c r="T394" s="11" t="inlineStr">
        <is>
          <t>B · INTEGRANTE</t>
        </is>
      </c>
      <c r="U394" s="11" t="inlineStr">
        <is>
          <t>DEL BANCO (se hereda)</t>
        </is>
      </c>
      <c r="V394" s="11" t="inlineStr">
        <is>
          <t>9154 · OTRAS ACTIVIDADES NO CLASIFICADAS</t>
        </is>
      </c>
      <c r="W394" s="12" t="n"/>
      <c r="X394" s="12" t="n"/>
    </row>
    <row r="395" ht="15" customHeight="1">
      <c r="C395" t="inlineStr">
        <is>
          <t>Actividad económica / giro mercantil</t>
        </is>
      </c>
      <c r="D395" t="inlineStr">
        <is>
          <t>F12</t>
        </is>
      </c>
      <c r="E395" t="inlineStr">
        <is>
          <t>INHERENTE</t>
        </is>
      </c>
      <c r="F395" t="inlineStr">
        <is>
          <t>FABRICACIÓN Y BENEFICIO DE PRODUCTOS DE TABACO</t>
        </is>
      </c>
      <c r="G395" t="n">
        <v>2200004</v>
      </c>
      <c r="H395" t="n">
        <v>1</v>
      </c>
      <c r="I395" t="n">
        <v>1</v>
      </c>
      <c r="J395" t="n">
        <v>8</v>
      </c>
      <c r="K395" t="n">
        <v>8</v>
      </c>
      <c r="L395" t="n">
        <v>8</v>
      </c>
      <c r="M395" t="n">
        <v>8</v>
      </c>
      <c r="N395" t="n">
        <v>8</v>
      </c>
      <c r="O395" t="n">
        <v>40</v>
      </c>
      <c r="P395" t="n">
        <v>8</v>
      </c>
      <c r="R395" s="9" t="n">
        <v>0.08</v>
      </c>
      <c r="S395" s="10" t="inlineStr">
        <is>
          <t>SÍ — integrante</t>
        </is>
      </c>
      <c r="T395" s="11" t="inlineStr">
        <is>
          <t>B · INTEGRANTE</t>
        </is>
      </c>
      <c r="U395" s="11" t="inlineStr">
        <is>
          <t>DEL BANCO (se hereda)</t>
        </is>
      </c>
      <c r="V395" s="11" t="inlineStr">
        <is>
          <t>9152 · INDUSTRIA Y MANUFACTURA</t>
        </is>
      </c>
      <c r="W395" s="12" t="n"/>
      <c r="X395" s="12" t="n"/>
    </row>
    <row r="396" ht="15" customHeight="1">
      <c r="C396" t="inlineStr">
        <is>
          <t>Actividad económica / giro mercantil</t>
        </is>
      </c>
      <c r="D396" t="inlineStr">
        <is>
          <t>F12</t>
        </is>
      </c>
      <c r="E396" t="inlineStr">
        <is>
          <t>INHERENTE</t>
        </is>
      </c>
      <c r="F396" t="inlineStr">
        <is>
          <t>DESECADO DE TABACO</t>
        </is>
      </c>
      <c r="G396" t="n">
        <v>2211019</v>
      </c>
      <c r="H396" t="n">
        <v>1</v>
      </c>
      <c r="I396" t="n">
        <v>1</v>
      </c>
      <c r="J396" t="n">
        <v>8</v>
      </c>
      <c r="K396" t="n">
        <v>8</v>
      </c>
      <c r="L396" t="n">
        <v>8</v>
      </c>
      <c r="M396" t="n">
        <v>8</v>
      </c>
      <c r="N396" t="n">
        <v>8</v>
      </c>
      <c r="O396" t="n">
        <v>40</v>
      </c>
      <c r="P396" t="n">
        <v>8</v>
      </c>
      <c r="R396" s="9" t="n">
        <v>0.08</v>
      </c>
      <c r="S396" s="10" t="inlineStr">
        <is>
          <t>SÍ — integrante</t>
        </is>
      </c>
      <c r="T396" s="11" t="inlineStr">
        <is>
          <t>B · INTEGRANTE</t>
        </is>
      </c>
      <c r="U396" s="11" t="inlineStr">
        <is>
          <t>DEL BANCO (se hereda)</t>
        </is>
      </c>
      <c r="V396" s="11" t="inlineStr">
        <is>
          <t>9152 · INDUSTRIA Y MANUFACTURA</t>
        </is>
      </c>
      <c r="W396" s="12" t="n"/>
      <c r="X396" s="12" t="n"/>
    </row>
    <row r="397" ht="15" customHeight="1">
      <c r="C397" t="inlineStr">
        <is>
          <t>Actividad económica / giro mercantil</t>
        </is>
      </c>
      <c r="D397" t="inlineStr">
        <is>
          <t>F12</t>
        </is>
      </c>
      <c r="E397" t="inlineStr">
        <is>
          <t>INHERENTE</t>
        </is>
      </c>
      <c r="F397" t="inlineStr">
        <is>
          <t>FABRICACION DE CIGARROS</t>
        </is>
      </c>
      <c r="G397" t="n">
        <v>2212017</v>
      </c>
      <c r="H397" t="n">
        <v>1</v>
      </c>
      <c r="I397" t="n">
        <v>1</v>
      </c>
      <c r="J397" t="n">
        <v>8</v>
      </c>
      <c r="K397" t="n">
        <v>8</v>
      </c>
      <c r="L397" t="n">
        <v>8</v>
      </c>
      <c r="M397" t="n">
        <v>8</v>
      </c>
      <c r="N397" t="n">
        <v>8</v>
      </c>
      <c r="O397" t="n">
        <v>40</v>
      </c>
      <c r="P397" t="n">
        <v>8</v>
      </c>
      <c r="R397" s="9" t="n">
        <v>0.08</v>
      </c>
      <c r="S397" s="10" t="inlineStr">
        <is>
          <t>SÍ — integrante</t>
        </is>
      </c>
      <c r="T397" s="11" t="inlineStr">
        <is>
          <t>B · INTEGRANTE</t>
        </is>
      </c>
      <c r="U397" s="11" t="inlineStr">
        <is>
          <t>DEL BANCO (se hereda)</t>
        </is>
      </c>
      <c r="V397" s="11" t="inlineStr">
        <is>
          <t>9152 · INDUSTRIA Y MANUFACTURA</t>
        </is>
      </c>
      <c r="W397" s="12" t="n"/>
      <c r="X397" s="12" t="n"/>
    </row>
    <row r="398" ht="15" customHeight="1">
      <c r="C398" t="inlineStr">
        <is>
          <t>Actividad económica / giro mercantil</t>
        </is>
      </c>
      <c r="D398" t="inlineStr">
        <is>
          <t>F12</t>
        </is>
      </c>
      <c r="E398" t="inlineStr">
        <is>
          <t>INHERENTE</t>
        </is>
      </c>
      <c r="F398" t="inlineStr">
        <is>
          <t>FABRICACION DE PUROS</t>
        </is>
      </c>
      <c r="G398" t="n">
        <v>2219013</v>
      </c>
      <c r="H398" t="n">
        <v>1</v>
      </c>
      <c r="I398" t="n">
        <v>1</v>
      </c>
      <c r="J398" t="n">
        <v>8</v>
      </c>
      <c r="K398" t="n">
        <v>8</v>
      </c>
      <c r="L398" t="n">
        <v>8</v>
      </c>
      <c r="M398" t="n">
        <v>8</v>
      </c>
      <c r="N398" t="n">
        <v>8</v>
      </c>
      <c r="O398" t="n">
        <v>40</v>
      </c>
      <c r="P398" t="n">
        <v>8</v>
      </c>
      <c r="R398" s="9" t="n">
        <v>0.08</v>
      </c>
      <c r="S398" s="10" t="inlineStr">
        <is>
          <t>SÍ — integrante</t>
        </is>
      </c>
      <c r="T398" s="11" t="inlineStr">
        <is>
          <t>B · INTEGRANTE</t>
        </is>
      </c>
      <c r="U398" s="11" t="inlineStr">
        <is>
          <t>DEL BANCO (se hereda)</t>
        </is>
      </c>
      <c r="V398" s="11" t="inlineStr">
        <is>
          <t>9152 · INDUSTRIA Y MANUFACTURA</t>
        </is>
      </c>
      <c r="W398" s="12" t="n"/>
      <c r="X398" s="12" t="n"/>
    </row>
    <row r="399" ht="15" customHeight="1">
      <c r="C399" t="inlineStr">
        <is>
          <t>Actividad económica / giro mercantil</t>
        </is>
      </c>
      <c r="D399" t="inlineStr">
        <is>
          <t>F12</t>
        </is>
      </c>
      <c r="E399" t="inlineStr">
        <is>
          <t>INHERENTE</t>
        </is>
      </c>
      <c r="F399" t="inlineStr">
        <is>
          <t>PICADO DE TABACO</t>
        </is>
      </c>
      <c r="G399" t="n">
        <v>2219021</v>
      </c>
      <c r="H399" t="n">
        <v>1</v>
      </c>
      <c r="I399" t="n">
        <v>1</v>
      </c>
      <c r="J399" t="n">
        <v>8</v>
      </c>
      <c r="K399" t="n">
        <v>8</v>
      </c>
      <c r="L399" t="n">
        <v>8</v>
      </c>
      <c r="M399" t="n">
        <v>8</v>
      </c>
      <c r="N399" t="n">
        <v>8</v>
      </c>
      <c r="O399" t="n">
        <v>40</v>
      </c>
      <c r="P399" t="n">
        <v>8</v>
      </c>
      <c r="R399" s="9" t="n">
        <v>0.08</v>
      </c>
      <c r="S399" s="10" t="inlineStr">
        <is>
          <t>SÍ — integrante</t>
        </is>
      </c>
      <c r="T399" s="11" t="inlineStr">
        <is>
          <t>B · INTEGRANTE</t>
        </is>
      </c>
      <c r="U399" s="11" t="inlineStr">
        <is>
          <t>DEL BANCO (se hereda)</t>
        </is>
      </c>
      <c r="V399" s="11" t="inlineStr">
        <is>
          <t>9152 · INDUSTRIA Y MANUFACTURA</t>
        </is>
      </c>
      <c r="W399" s="12" t="n"/>
      <c r="X399" s="12" t="n"/>
    </row>
    <row r="400" ht="15" customHeight="1">
      <c r="C400" t="inlineStr">
        <is>
          <t>Actividad económica / giro mercantil</t>
        </is>
      </c>
      <c r="D400" t="inlineStr">
        <is>
          <t>F12</t>
        </is>
      </c>
      <c r="E400" t="inlineStr">
        <is>
          <t>INHERENTE</t>
        </is>
      </c>
      <c r="F400" t="inlineStr">
        <is>
          <t>INDUSTRIA TEXTIL (FABRICACIÓN DE: HILADOS Y TEJIDOS)</t>
        </is>
      </c>
      <c r="G400" t="n">
        <v>2300002</v>
      </c>
      <c r="H400" t="n">
        <v>1</v>
      </c>
      <c r="I400" t="n">
        <v>1</v>
      </c>
      <c r="J400" t="n">
        <v>8</v>
      </c>
      <c r="K400" t="n">
        <v>8</v>
      </c>
      <c r="L400" t="n">
        <v>8</v>
      </c>
      <c r="M400" t="n">
        <v>8</v>
      </c>
      <c r="N400" t="n">
        <v>8</v>
      </c>
      <c r="O400" t="n">
        <v>40</v>
      </c>
      <c r="P400" t="n">
        <v>8</v>
      </c>
      <c r="R400" s="9" t="n">
        <v>0.08</v>
      </c>
      <c r="S400" s="10" t="inlineStr">
        <is>
          <t>SÍ — integrante</t>
        </is>
      </c>
      <c r="T400" s="11" t="inlineStr">
        <is>
          <t>B · INTEGRANTE</t>
        </is>
      </c>
      <c r="U400" s="11" t="inlineStr">
        <is>
          <t>DEL BANCO (se hereda)</t>
        </is>
      </c>
      <c r="V400" s="11" t="inlineStr">
        <is>
          <t>9152 · INDUSTRIA Y MANUFACTURA</t>
        </is>
      </c>
      <c r="W400" s="12" t="n"/>
      <c r="X400" s="12" t="n"/>
    </row>
    <row r="401" ht="15" customHeight="1">
      <c r="C401" t="inlineStr">
        <is>
          <t>Actividad económica / giro mercantil</t>
        </is>
      </c>
      <c r="D401" t="inlineStr">
        <is>
          <t>F12</t>
        </is>
      </c>
      <c r="E401" t="inlineStr">
        <is>
          <t>INHERENTE</t>
        </is>
      </c>
      <c r="F401" t="inlineStr">
        <is>
          <t>DESFIBRACION DE ALGODON</t>
        </is>
      </c>
      <c r="G401" t="n">
        <v>2311017</v>
      </c>
      <c r="H401" t="n">
        <v>1</v>
      </c>
      <c r="I401" t="n">
        <v>1</v>
      </c>
      <c r="J401" t="n">
        <v>8</v>
      </c>
      <c r="K401" t="n">
        <v>8</v>
      </c>
      <c r="L401" t="n">
        <v>8</v>
      </c>
      <c r="M401" t="n">
        <v>8</v>
      </c>
      <c r="N401" t="n">
        <v>8</v>
      </c>
      <c r="O401" t="n">
        <v>40</v>
      </c>
      <c r="P401" t="n">
        <v>8</v>
      </c>
      <c r="R401" s="9" t="n">
        <v>0.08</v>
      </c>
      <c r="S401" s="10" t="inlineStr">
        <is>
          <t>SÍ — integrante</t>
        </is>
      </c>
      <c r="T401" s="11" t="inlineStr">
        <is>
          <t>B · INTEGRANTE</t>
        </is>
      </c>
      <c r="U401" s="11" t="inlineStr">
        <is>
          <t>DEL BANCO (se hereda)</t>
        </is>
      </c>
      <c r="V401" s="11" t="inlineStr">
        <is>
          <t>9152 · INDUSTRIA Y MANUFACTURA</t>
        </is>
      </c>
      <c r="W401" s="12" t="n"/>
      <c r="X401" s="12" t="n"/>
    </row>
    <row r="402" ht="15" customHeight="1">
      <c r="C402" t="inlineStr">
        <is>
          <t>Actividad económica / giro mercantil</t>
        </is>
      </c>
      <c r="D402" t="inlineStr">
        <is>
          <t>F12</t>
        </is>
      </c>
      <c r="E402" t="inlineStr">
        <is>
          <t>INHERENTE</t>
        </is>
      </c>
      <c r="F402" t="inlineStr">
        <is>
          <t>DESPEPITE DE ALGODON</t>
        </is>
      </c>
      <c r="G402" t="n">
        <v>2311025</v>
      </c>
      <c r="H402" t="n">
        <v>1</v>
      </c>
      <c r="I402" t="n">
        <v>1</v>
      </c>
      <c r="J402" t="n">
        <v>8</v>
      </c>
      <c r="K402" t="n">
        <v>8</v>
      </c>
      <c r="L402" t="n">
        <v>8</v>
      </c>
      <c r="M402" t="n">
        <v>8</v>
      </c>
      <c r="N402" t="n">
        <v>8</v>
      </c>
      <c r="O402" t="n">
        <v>40</v>
      </c>
      <c r="P402" t="n">
        <v>8</v>
      </c>
      <c r="R402" s="9" t="n">
        <v>0.08</v>
      </c>
      <c r="S402" s="10" t="inlineStr">
        <is>
          <t>SÍ — integrante</t>
        </is>
      </c>
      <c r="T402" s="11" t="inlineStr">
        <is>
          <t>B · INTEGRANTE</t>
        </is>
      </c>
      <c r="U402" s="11" t="inlineStr">
        <is>
          <t>DEL BANCO (se hereda)</t>
        </is>
      </c>
      <c r="V402" s="11" t="inlineStr">
        <is>
          <t>9152 · INDUSTRIA Y MANUFACTURA</t>
        </is>
      </c>
      <c r="W402" s="12" t="n"/>
      <c r="X402" s="12" t="n"/>
    </row>
    <row r="403" ht="15" customHeight="1">
      <c r="C403" t="inlineStr">
        <is>
          <t>Actividad económica / giro mercantil</t>
        </is>
      </c>
      <c r="D403" t="inlineStr">
        <is>
          <t>F12</t>
        </is>
      </c>
      <c r="E403" t="inlineStr">
        <is>
          <t>INHERENTE</t>
        </is>
      </c>
      <c r="F403" t="inlineStr">
        <is>
          <t>COMPRESORA DE ALGODON</t>
        </is>
      </c>
      <c r="G403" t="n">
        <v>2311033</v>
      </c>
      <c r="H403" t="n">
        <v>1</v>
      </c>
      <c r="I403" t="n">
        <v>1</v>
      </c>
      <c r="J403" t="n">
        <v>8</v>
      </c>
      <c r="K403" t="n">
        <v>8</v>
      </c>
      <c r="L403" t="n">
        <v>8</v>
      </c>
      <c r="M403" t="n">
        <v>8</v>
      </c>
      <c r="N403" t="n">
        <v>8</v>
      </c>
      <c r="O403" t="n">
        <v>40</v>
      </c>
      <c r="P403" t="n">
        <v>8</v>
      </c>
      <c r="R403" s="9" t="n">
        <v>0.08</v>
      </c>
      <c r="S403" s="10" t="inlineStr">
        <is>
          <t>SÍ — integrante</t>
        </is>
      </c>
      <c r="T403" s="11" t="inlineStr">
        <is>
          <t>B · INTEGRANTE</t>
        </is>
      </c>
      <c r="U403" s="11" t="inlineStr">
        <is>
          <t>DEL BANCO (se hereda)</t>
        </is>
      </c>
      <c r="V403" s="11" t="inlineStr">
        <is>
          <t>9152 · INDUSTRIA Y MANUFACTURA</t>
        </is>
      </c>
      <c r="W403" s="12" t="n"/>
      <c r="X403" s="12" t="n"/>
    </row>
    <row r="404" ht="15" customHeight="1">
      <c r="C404" t="inlineStr">
        <is>
          <t>Actividad económica / giro mercantil</t>
        </is>
      </c>
      <c r="D404" t="inlineStr">
        <is>
          <t>F12</t>
        </is>
      </c>
      <c r="E404" t="inlineStr">
        <is>
          <t>INHERENTE</t>
        </is>
      </c>
      <c r="F404" t="inlineStr">
        <is>
          <t>BENEFICIO DE LANAS</t>
        </is>
      </c>
      <c r="G404" t="n">
        <v>2312015</v>
      </c>
      <c r="H404" t="n">
        <v>1</v>
      </c>
      <c r="I404" t="n">
        <v>1</v>
      </c>
      <c r="J404" t="n">
        <v>8</v>
      </c>
      <c r="K404" t="n">
        <v>8</v>
      </c>
      <c r="L404" t="n">
        <v>8</v>
      </c>
      <c r="M404" t="n">
        <v>8</v>
      </c>
      <c r="N404" t="n">
        <v>8</v>
      </c>
      <c r="O404" t="n">
        <v>40</v>
      </c>
      <c r="P404" t="n">
        <v>8</v>
      </c>
      <c r="R404" s="9" t="n">
        <v>0.08</v>
      </c>
      <c r="S404" s="10" t="inlineStr">
        <is>
          <t>SÍ — integrante</t>
        </is>
      </c>
      <c r="T404" s="11" t="inlineStr">
        <is>
          <t>B · INTEGRANTE</t>
        </is>
      </c>
      <c r="U404" s="11" t="inlineStr">
        <is>
          <t>DEL BANCO (se hereda)</t>
        </is>
      </c>
      <c r="V404" s="11" t="inlineStr">
        <is>
          <t>9152 · INDUSTRIA Y MANUFACTURA</t>
        </is>
      </c>
      <c r="W404" s="12" t="n"/>
      <c r="X404" s="12" t="n"/>
    </row>
    <row r="405" ht="15" customHeight="1">
      <c r="C405" t="inlineStr">
        <is>
          <t>Actividad económica / giro mercantil</t>
        </is>
      </c>
      <c r="D405" t="inlineStr">
        <is>
          <t>F12</t>
        </is>
      </c>
      <c r="E405" t="inlineStr">
        <is>
          <t>INHERENTE</t>
        </is>
      </c>
      <c r="F405" t="inlineStr">
        <is>
          <t>BENEFICIO DE OTRAS FIBRAS TEXTILES</t>
        </is>
      </c>
      <c r="G405" t="n">
        <v>2312023</v>
      </c>
      <c r="H405" t="n">
        <v>1</v>
      </c>
      <c r="I405" t="n">
        <v>1</v>
      </c>
      <c r="J405" t="n">
        <v>8</v>
      </c>
      <c r="K405" t="n">
        <v>8</v>
      </c>
      <c r="L405" t="n">
        <v>8</v>
      </c>
      <c r="M405" t="n">
        <v>8</v>
      </c>
      <c r="N405" t="n">
        <v>8</v>
      </c>
      <c r="O405" t="n">
        <v>40</v>
      </c>
      <c r="P405" t="n">
        <v>8</v>
      </c>
      <c r="R405" s="9" t="n">
        <v>0.08</v>
      </c>
      <c r="S405" s="10" t="inlineStr">
        <is>
          <t>SÍ — integrante</t>
        </is>
      </c>
      <c r="T405" s="11" t="inlineStr">
        <is>
          <t>B · INTEGRANTE</t>
        </is>
      </c>
      <c r="U405" s="11" t="inlineStr">
        <is>
          <t>DEL BANCO (se hereda)</t>
        </is>
      </c>
      <c r="V405" s="11" t="inlineStr">
        <is>
          <t>9152 · INDUSTRIA Y MANUFACTURA</t>
        </is>
      </c>
      <c r="W405" s="12" t="n"/>
      <c r="X405" s="12" t="n"/>
    </row>
    <row r="406" ht="15" customHeight="1">
      <c r="C406" t="inlineStr">
        <is>
          <t>Actividad económica / giro mercantil</t>
        </is>
      </c>
      <c r="D406" t="inlineStr">
        <is>
          <t>F12</t>
        </is>
      </c>
      <c r="E406" t="inlineStr">
        <is>
          <t>INHERENTE</t>
        </is>
      </c>
      <c r="F406" t="inlineStr">
        <is>
          <t>FABRICACION DE HILADOS Y TEJIDOS DE ALGODON</t>
        </is>
      </c>
      <c r="G406" t="n">
        <v>2312031</v>
      </c>
      <c r="H406" t="n">
        <v>1</v>
      </c>
      <c r="I406" t="n">
        <v>1</v>
      </c>
      <c r="J406" t="n">
        <v>8</v>
      </c>
      <c r="K406" t="n">
        <v>8</v>
      </c>
      <c r="L406" t="n">
        <v>8</v>
      </c>
      <c r="M406" t="n">
        <v>8</v>
      </c>
      <c r="N406" t="n">
        <v>8</v>
      </c>
      <c r="O406" t="n">
        <v>40</v>
      </c>
      <c r="P406" t="n">
        <v>8</v>
      </c>
      <c r="R406" s="9" t="n">
        <v>0.08</v>
      </c>
      <c r="S406" s="10" t="inlineStr">
        <is>
          <t>SÍ — integrante</t>
        </is>
      </c>
      <c r="T406" s="11" t="inlineStr">
        <is>
          <t>B · INTEGRANTE</t>
        </is>
      </c>
      <c r="U406" s="11" t="inlineStr">
        <is>
          <t>DEL BANCO (se hereda)</t>
        </is>
      </c>
      <c r="V406" s="11" t="inlineStr">
        <is>
          <t>9152 · INDUSTRIA Y MANUFACTURA</t>
        </is>
      </c>
      <c r="W406" s="12" t="n"/>
      <c r="X406" s="12" t="n"/>
    </row>
    <row r="407" ht="15" customHeight="1">
      <c r="C407" t="inlineStr">
        <is>
          <t>Actividad económica / giro mercantil</t>
        </is>
      </c>
      <c r="D407" t="inlineStr">
        <is>
          <t>F12</t>
        </is>
      </c>
      <c r="E407" t="inlineStr">
        <is>
          <t>INHERENTE</t>
        </is>
      </c>
      <c r="F407" t="inlineStr">
        <is>
          <t>FABRICACION DE HILADOS Y TEJIDOS DE LANA</t>
        </is>
      </c>
      <c r="G407" t="n">
        <v>2312049</v>
      </c>
      <c r="H407" t="n">
        <v>1</v>
      </c>
      <c r="I407" t="n">
        <v>1</v>
      </c>
      <c r="J407" t="n">
        <v>8</v>
      </c>
      <c r="K407" t="n">
        <v>8</v>
      </c>
      <c r="L407" t="n">
        <v>8</v>
      </c>
      <c r="M407" t="n">
        <v>8</v>
      </c>
      <c r="N407" t="n">
        <v>8</v>
      </c>
      <c r="O407" t="n">
        <v>40</v>
      </c>
      <c r="P407" t="n">
        <v>8</v>
      </c>
      <c r="R407" s="9" t="n">
        <v>0.08</v>
      </c>
      <c r="S407" s="10" t="inlineStr">
        <is>
          <t>SÍ — integrante</t>
        </is>
      </c>
      <c r="T407" s="11" t="inlineStr">
        <is>
          <t>B · INTEGRANTE</t>
        </is>
      </c>
      <c r="U407" s="11" t="inlineStr">
        <is>
          <t>DEL BANCO (se hereda)</t>
        </is>
      </c>
      <c r="V407" s="11" t="inlineStr">
        <is>
          <t>9152 · INDUSTRIA Y MANUFACTURA</t>
        </is>
      </c>
      <c r="W407" s="12" t="n"/>
      <c r="X407" s="12" t="n"/>
    </row>
    <row r="408" ht="15" customHeight="1">
      <c r="C408" t="inlineStr">
        <is>
          <t>Actividad económica / giro mercantil</t>
        </is>
      </c>
      <c r="D408" t="inlineStr">
        <is>
          <t>F12</t>
        </is>
      </c>
      <c r="E408" t="inlineStr">
        <is>
          <t>INHERENTE</t>
        </is>
      </c>
      <c r="F408" t="inlineStr">
        <is>
          <t>FABRICACION DE HILOS PARA COSER</t>
        </is>
      </c>
      <c r="G408" t="n">
        <v>2313013</v>
      </c>
      <c r="H408" t="n">
        <v>1</v>
      </c>
      <c r="I408" t="n">
        <v>1</v>
      </c>
      <c r="J408" t="n">
        <v>8</v>
      </c>
      <c r="K408" t="n">
        <v>8</v>
      </c>
      <c r="L408" t="n">
        <v>8</v>
      </c>
      <c r="M408" t="n">
        <v>8</v>
      </c>
      <c r="N408" t="n">
        <v>8</v>
      </c>
      <c r="O408" t="n">
        <v>40</v>
      </c>
      <c r="P408" t="n">
        <v>8</v>
      </c>
      <c r="R408" s="9" t="n">
        <v>0.08</v>
      </c>
      <c r="S408" s="10" t="inlineStr">
        <is>
          <t>SÍ — integrante</t>
        </is>
      </c>
      <c r="T408" s="11" t="inlineStr">
        <is>
          <t>B · INTEGRANTE</t>
        </is>
      </c>
      <c r="U408" s="11" t="inlineStr">
        <is>
          <t>DEL BANCO (se hereda)</t>
        </is>
      </c>
      <c r="V408" s="11" t="inlineStr">
        <is>
          <t>9152 · INDUSTRIA Y MANUFACTURA</t>
        </is>
      </c>
      <c r="W408" s="12" t="n"/>
      <c r="X408" s="12" t="n"/>
    </row>
    <row r="409" ht="15" customHeight="1">
      <c r="C409" t="inlineStr">
        <is>
          <t>Actividad económica / giro mercantil</t>
        </is>
      </c>
      <c r="D409" t="inlineStr">
        <is>
          <t>F12</t>
        </is>
      </c>
      <c r="E409" t="inlineStr">
        <is>
          <t>INHERENTE</t>
        </is>
      </c>
      <c r="F409" t="inlineStr">
        <is>
          <t>ACABADO DE HILOS</t>
        </is>
      </c>
      <c r="G409" t="n">
        <v>2313021</v>
      </c>
      <c r="H409" t="n">
        <v>1</v>
      </c>
      <c r="I409" t="n">
        <v>1</v>
      </c>
      <c r="J409" t="n">
        <v>8</v>
      </c>
      <c r="K409" t="n">
        <v>8</v>
      </c>
      <c r="L409" t="n">
        <v>8</v>
      </c>
      <c r="M409" t="n">
        <v>8</v>
      </c>
      <c r="N409" t="n">
        <v>8</v>
      </c>
      <c r="O409" t="n">
        <v>40</v>
      </c>
      <c r="P409" t="n">
        <v>8</v>
      </c>
      <c r="R409" s="9" t="n">
        <v>0.08</v>
      </c>
      <c r="S409" s="10" t="inlineStr">
        <is>
          <t>SÍ — integrante</t>
        </is>
      </c>
      <c r="T409" s="11" t="inlineStr">
        <is>
          <t>B · INTEGRANTE</t>
        </is>
      </c>
      <c r="U409" s="11" t="inlineStr">
        <is>
          <t>DEL BANCO (se hereda)</t>
        </is>
      </c>
      <c r="V409" s="11" t="inlineStr">
        <is>
          <t>9154 · OTRAS ACTIVIDADES NO CLASIFICADAS</t>
        </is>
      </c>
      <c r="W409" s="12" t="n"/>
      <c r="X409" s="12" t="n"/>
    </row>
    <row r="410" ht="15" customHeight="1">
      <c r="C410" t="inlineStr">
        <is>
          <t>Actividad económica / giro mercantil</t>
        </is>
      </c>
      <c r="D410" t="inlineStr">
        <is>
          <t>F12</t>
        </is>
      </c>
      <c r="E410" t="inlineStr">
        <is>
          <t>INHERENTE</t>
        </is>
      </c>
      <c r="F410" t="inlineStr">
        <is>
          <t>FABRICACION DE OTROS HILADOS Y TEJIDOS NO SINTETICOS</t>
        </is>
      </c>
      <c r="G410" t="n">
        <v>2313039</v>
      </c>
      <c r="H410" t="n">
        <v>1</v>
      </c>
      <c r="I410" t="n">
        <v>1</v>
      </c>
      <c r="J410" t="n">
        <v>8</v>
      </c>
      <c r="K410" t="n">
        <v>8</v>
      </c>
      <c r="L410" t="n">
        <v>8</v>
      </c>
      <c r="M410" t="n">
        <v>8</v>
      </c>
      <c r="N410" t="n">
        <v>8</v>
      </c>
      <c r="O410" t="n">
        <v>40</v>
      </c>
      <c r="P410" t="n">
        <v>8</v>
      </c>
      <c r="R410" s="9" t="n">
        <v>0.08</v>
      </c>
      <c r="S410" s="10" t="inlineStr">
        <is>
          <t>SÍ — integrante</t>
        </is>
      </c>
      <c r="T410" s="11" t="inlineStr">
        <is>
          <t>B · INTEGRANTE</t>
        </is>
      </c>
      <c r="U410" s="11" t="inlineStr">
        <is>
          <t>DEL BANCO (se hereda)</t>
        </is>
      </c>
      <c r="V410" s="11" t="inlineStr">
        <is>
          <t>9152 · INDUSTRIA Y MANUFACTURA</t>
        </is>
      </c>
      <c r="W410" s="12" t="n"/>
      <c r="X410" s="12" t="n"/>
    </row>
    <row r="411" ht="15" customHeight="1">
      <c r="C411" t="inlineStr">
        <is>
          <t>Actividad económica / giro mercantil</t>
        </is>
      </c>
      <c r="D411" t="inlineStr">
        <is>
          <t>F12</t>
        </is>
      </c>
      <c r="E411" t="inlineStr">
        <is>
          <t>INHERENTE</t>
        </is>
      </c>
      <c r="F411" t="inlineStr">
        <is>
          <t>FABRICACION DE ESTAMBRES</t>
        </is>
      </c>
      <c r="G411" t="n">
        <v>2314011</v>
      </c>
      <c r="H411" t="n">
        <v>1</v>
      </c>
      <c r="I411" t="n">
        <v>1</v>
      </c>
      <c r="J411" t="n">
        <v>8</v>
      </c>
      <c r="K411" t="n">
        <v>8</v>
      </c>
      <c r="L411" t="n">
        <v>8</v>
      </c>
      <c r="M411" t="n">
        <v>8</v>
      </c>
      <c r="N411" t="n">
        <v>8</v>
      </c>
      <c r="O411" t="n">
        <v>40</v>
      </c>
      <c r="P411" t="n">
        <v>8</v>
      </c>
      <c r="R411" s="9" t="n">
        <v>0.08</v>
      </c>
      <c r="S411" s="10" t="inlineStr">
        <is>
          <t>SÍ — integrante</t>
        </is>
      </c>
      <c r="T411" s="11" t="inlineStr">
        <is>
          <t>B · INTEGRANTE</t>
        </is>
      </c>
      <c r="U411" s="11" t="inlineStr">
        <is>
          <t>DEL BANCO (se hereda)</t>
        </is>
      </c>
      <c r="V411" s="11" t="inlineStr">
        <is>
          <t>9152 · INDUSTRIA Y MANUFACTURA</t>
        </is>
      </c>
      <c r="W411" s="12" t="n"/>
      <c r="X411" s="12" t="n"/>
    </row>
    <row r="412" ht="15" customHeight="1">
      <c r="C412" t="inlineStr">
        <is>
          <t>Actividad económica / giro mercantil</t>
        </is>
      </c>
      <c r="D412" t="inlineStr">
        <is>
          <t>F12</t>
        </is>
      </c>
      <c r="E412" t="inlineStr">
        <is>
          <t>INHERENTE</t>
        </is>
      </c>
      <c r="F412" t="inlineStr">
        <is>
          <t>FABRICACION DE SARAPES Y COBIJAS</t>
        </is>
      </c>
      <c r="G412" t="n">
        <v>2315019</v>
      </c>
      <c r="H412" t="n">
        <v>1</v>
      </c>
      <c r="I412" t="n">
        <v>1</v>
      </c>
      <c r="J412" t="n">
        <v>8</v>
      </c>
      <c r="K412" t="n">
        <v>8</v>
      </c>
      <c r="L412" t="n">
        <v>8</v>
      </c>
      <c r="M412" t="n">
        <v>8</v>
      </c>
      <c r="N412" t="n">
        <v>8</v>
      </c>
      <c r="O412" t="n">
        <v>40</v>
      </c>
      <c r="P412" t="n">
        <v>8</v>
      </c>
      <c r="R412" s="9" t="n">
        <v>0.08</v>
      </c>
      <c r="S412" s="10" t="inlineStr">
        <is>
          <t>SÍ — integrante</t>
        </is>
      </c>
      <c r="T412" s="11" t="inlineStr">
        <is>
          <t>B · INTEGRANTE</t>
        </is>
      </c>
      <c r="U412" s="11" t="inlineStr">
        <is>
          <t>DEL BANCO (se hereda)</t>
        </is>
      </c>
      <c r="V412" s="11" t="inlineStr">
        <is>
          <t>9152 · INDUSTRIA Y MANUFACTURA</t>
        </is>
      </c>
      <c r="W412" s="12" t="n"/>
      <c r="X412" s="12" t="n"/>
    </row>
    <row r="413" ht="15" customHeight="1">
      <c r="C413" t="inlineStr">
        <is>
          <t>Actividad económica / giro mercantil</t>
        </is>
      </c>
      <c r="D413" t="inlineStr">
        <is>
          <t>F12</t>
        </is>
      </c>
      <c r="E413" t="inlineStr">
        <is>
          <t>INHERENTE</t>
        </is>
      </c>
      <c r="F413" t="inlineStr">
        <is>
          <t>FABRICACION DE CASIMIRES Y PAÑOS</t>
        </is>
      </c>
      <c r="G413" t="n">
        <v>2315027</v>
      </c>
      <c r="H413" t="n">
        <v>1</v>
      </c>
      <c r="I413" t="n">
        <v>1</v>
      </c>
      <c r="J413" t="n">
        <v>8</v>
      </c>
      <c r="K413" t="n">
        <v>8</v>
      </c>
      <c r="L413" t="n">
        <v>8</v>
      </c>
      <c r="M413" t="n">
        <v>8</v>
      </c>
      <c r="N413" t="n">
        <v>8</v>
      </c>
      <c r="O413" t="n">
        <v>40</v>
      </c>
      <c r="P413" t="n">
        <v>8</v>
      </c>
      <c r="R413" s="9" t="n">
        <v>0.08</v>
      </c>
      <c r="S413" s="10" t="inlineStr">
        <is>
          <t>SÍ — integrante</t>
        </is>
      </c>
      <c r="T413" s="11" t="inlineStr">
        <is>
          <t>B · INTEGRANTE</t>
        </is>
      </c>
      <c r="U413" s="11" t="inlineStr">
        <is>
          <t>DEL BANCO (se hereda)</t>
        </is>
      </c>
      <c r="V413" s="11" t="inlineStr">
        <is>
          <t>9152 · INDUSTRIA Y MANUFACTURA</t>
        </is>
      </c>
      <c r="W413" s="12" t="n"/>
      <c r="X413" s="12" t="n"/>
    </row>
    <row r="414" ht="15" customHeight="1">
      <c r="C414" t="inlineStr">
        <is>
          <t>Actividad económica / giro mercantil</t>
        </is>
      </c>
      <c r="D414" t="inlineStr">
        <is>
          <t>F12</t>
        </is>
      </c>
      <c r="E414" t="inlineStr">
        <is>
          <t>INHERENTE</t>
        </is>
      </c>
      <c r="F414" t="inlineStr">
        <is>
          <t>FABRICACION DE TOALLAS</t>
        </is>
      </c>
      <c r="G414" t="n">
        <v>2316017</v>
      </c>
      <c r="H414" t="n">
        <v>1</v>
      </c>
      <c r="I414" t="n">
        <v>1</v>
      </c>
      <c r="J414" t="n">
        <v>8</v>
      </c>
      <c r="K414" t="n">
        <v>8</v>
      </c>
      <c r="L414" t="n">
        <v>8</v>
      </c>
      <c r="M414" t="n">
        <v>8</v>
      </c>
      <c r="N414" t="n">
        <v>8</v>
      </c>
      <c r="O414" t="n">
        <v>40</v>
      </c>
      <c r="P414" t="n">
        <v>8</v>
      </c>
      <c r="R414" s="9" t="n">
        <v>0.08</v>
      </c>
      <c r="S414" s="10" t="inlineStr">
        <is>
          <t>SÍ — integrante</t>
        </is>
      </c>
      <c r="T414" s="11" t="inlineStr">
        <is>
          <t>B · INTEGRANTE</t>
        </is>
      </c>
      <c r="U414" s="11" t="inlineStr">
        <is>
          <t>DEL BANCO (se hereda)</t>
        </is>
      </c>
      <c r="V414" s="11" t="inlineStr">
        <is>
          <t>9152 · INDUSTRIA Y MANUFACTURA</t>
        </is>
      </c>
      <c r="W414" s="12" t="n"/>
      <c r="X414" s="12" t="n"/>
    </row>
    <row r="415" ht="15" customHeight="1">
      <c r="C415" t="inlineStr">
        <is>
          <t>Actividad económica / giro mercantil</t>
        </is>
      </c>
      <c r="D415" t="inlineStr">
        <is>
          <t>F12</t>
        </is>
      </c>
      <c r="E415" t="inlineStr">
        <is>
          <t>INHERENTE</t>
        </is>
      </c>
      <c r="F415" t="inlineStr">
        <is>
          <t>FABRICACION DE COLCHAS</t>
        </is>
      </c>
      <c r="G415" t="n">
        <v>2316025</v>
      </c>
      <c r="H415" t="n">
        <v>1</v>
      </c>
      <c r="I415" t="n">
        <v>1</v>
      </c>
      <c r="J415" t="n">
        <v>8</v>
      </c>
      <c r="K415" t="n">
        <v>8</v>
      </c>
      <c r="L415" t="n">
        <v>8</v>
      </c>
      <c r="M415" t="n">
        <v>8</v>
      </c>
      <c r="N415" t="n">
        <v>8</v>
      </c>
      <c r="O415" t="n">
        <v>40</v>
      </c>
      <c r="P415" t="n">
        <v>8</v>
      </c>
      <c r="R415" s="9" t="n">
        <v>0.08</v>
      </c>
      <c r="S415" s="10" t="inlineStr">
        <is>
          <t>SÍ — integrante</t>
        </is>
      </c>
      <c r="T415" s="11" t="inlineStr">
        <is>
          <t>B · INTEGRANTE</t>
        </is>
      </c>
      <c r="U415" s="11" t="inlineStr">
        <is>
          <t>DEL BANCO (se hereda)</t>
        </is>
      </c>
      <c r="V415" s="11" t="inlineStr">
        <is>
          <t>9152 · INDUSTRIA Y MANUFACTURA</t>
        </is>
      </c>
      <c r="W415" s="12" t="n"/>
      <c r="X415" s="12" t="n"/>
    </row>
    <row r="416" ht="15" customHeight="1">
      <c r="C416" t="inlineStr">
        <is>
          <t>Actividad económica / giro mercantil</t>
        </is>
      </c>
      <c r="D416" t="inlineStr">
        <is>
          <t>F12</t>
        </is>
      </c>
      <c r="E416" t="inlineStr">
        <is>
          <t>INHERENTE</t>
        </is>
      </c>
      <c r="F416" t="inlineStr">
        <is>
          <t>FABRICACION DE HILADOS Y TEJIDOS DE SEDA</t>
        </is>
      </c>
      <c r="G416" t="n">
        <v>2317015</v>
      </c>
      <c r="H416" t="n">
        <v>1</v>
      </c>
      <c r="I416" t="n">
        <v>1</v>
      </c>
      <c r="J416" t="n">
        <v>8</v>
      </c>
      <c r="K416" t="n">
        <v>8</v>
      </c>
      <c r="L416" t="n">
        <v>8</v>
      </c>
      <c r="M416" t="n">
        <v>8</v>
      </c>
      <c r="N416" t="n">
        <v>8</v>
      </c>
      <c r="O416" t="n">
        <v>40</v>
      </c>
      <c r="P416" t="n">
        <v>8</v>
      </c>
      <c r="R416" s="9" t="n">
        <v>0.08</v>
      </c>
      <c r="S416" s="10" t="inlineStr">
        <is>
          <t>SÍ — integrante</t>
        </is>
      </c>
      <c r="T416" s="11" t="inlineStr">
        <is>
          <t>B · INTEGRANTE</t>
        </is>
      </c>
      <c r="U416" s="11" t="inlineStr">
        <is>
          <t>DEL BANCO (se hereda)</t>
        </is>
      </c>
      <c r="V416" s="11" t="inlineStr">
        <is>
          <t>9152 · INDUSTRIA Y MANUFACTURA</t>
        </is>
      </c>
      <c r="W416" s="12" t="n"/>
      <c r="X416" s="12" t="n"/>
    </row>
    <row r="417" ht="15" customHeight="1">
      <c r="C417" t="inlineStr">
        <is>
          <t>Actividad económica / giro mercantil</t>
        </is>
      </c>
      <c r="D417" t="inlineStr">
        <is>
          <t>F12</t>
        </is>
      </c>
      <c r="E417" t="inlineStr">
        <is>
          <t>INHERENTE</t>
        </is>
      </c>
      <c r="F417" t="inlineStr">
        <is>
          <t>FABRICACION DE OTROS ARTICULOS DE LANA</t>
        </is>
      </c>
      <c r="G417" t="n">
        <v>2317023</v>
      </c>
      <c r="H417" t="n">
        <v>1</v>
      </c>
      <c r="I417" t="n">
        <v>1</v>
      </c>
      <c r="J417" t="n">
        <v>8</v>
      </c>
      <c r="K417" t="n">
        <v>8</v>
      </c>
      <c r="L417" t="n">
        <v>8</v>
      </c>
      <c r="M417" t="n">
        <v>8</v>
      </c>
      <c r="N417" t="n">
        <v>8</v>
      </c>
      <c r="O417" t="n">
        <v>40</v>
      </c>
      <c r="P417" t="n">
        <v>8</v>
      </c>
      <c r="R417" s="9" t="n">
        <v>0.08</v>
      </c>
      <c r="S417" s="10" t="inlineStr">
        <is>
          <t>SÍ — integrante</t>
        </is>
      </c>
      <c r="T417" s="11" t="inlineStr">
        <is>
          <t>B · INTEGRANTE</t>
        </is>
      </c>
      <c r="U417" s="11" t="inlineStr">
        <is>
          <t>DEL BANCO (se hereda)</t>
        </is>
      </c>
      <c r="V417" s="11" t="inlineStr">
        <is>
          <t>9152 · INDUSTRIA Y MANUFACTURA</t>
        </is>
      </c>
      <c r="W417" s="12" t="n"/>
      <c r="X417" s="12" t="n"/>
    </row>
    <row r="418" ht="15" customHeight="1">
      <c r="C418" t="inlineStr">
        <is>
          <t>Actividad económica / giro mercantil</t>
        </is>
      </c>
      <c r="D418" t="inlineStr">
        <is>
          <t>F12</t>
        </is>
      </c>
      <c r="E418" t="inlineStr">
        <is>
          <t>INHERENTE</t>
        </is>
      </c>
      <c r="F418" t="inlineStr">
        <is>
          <t>FABRICACION DE OTRAS TELAS MIXTAS DE FIBRAS BLANDAS</t>
        </is>
      </c>
      <c r="G418" t="n">
        <v>2317031</v>
      </c>
      <c r="H418" t="n">
        <v>1</v>
      </c>
      <c r="I418" t="n">
        <v>1</v>
      </c>
      <c r="J418" t="n">
        <v>8</v>
      </c>
      <c r="K418" t="n">
        <v>8</v>
      </c>
      <c r="L418" t="n">
        <v>8</v>
      </c>
      <c r="M418" t="n">
        <v>8</v>
      </c>
      <c r="N418" t="n">
        <v>8</v>
      </c>
      <c r="O418" t="n">
        <v>40</v>
      </c>
      <c r="P418" t="n">
        <v>8</v>
      </c>
      <c r="R418" s="9" t="n">
        <v>0.08</v>
      </c>
      <c r="S418" s="10" t="inlineStr">
        <is>
          <t>SÍ — integrante</t>
        </is>
      </c>
      <c r="T418" s="11" t="inlineStr">
        <is>
          <t>B · INTEGRANTE</t>
        </is>
      </c>
      <c r="U418" s="11" t="inlineStr">
        <is>
          <t>DEL BANCO (se hereda)</t>
        </is>
      </c>
      <c r="V418" s="11" t="inlineStr">
        <is>
          <t>9152 · INDUSTRIA Y MANUFACTURA</t>
        </is>
      </c>
      <c r="W418" s="12" t="n"/>
      <c r="X418" s="12" t="n"/>
    </row>
    <row r="419" ht="15" customHeight="1">
      <c r="C419" t="inlineStr">
        <is>
          <t>Actividad económica / giro mercantil</t>
        </is>
      </c>
      <c r="D419" t="inlineStr">
        <is>
          <t>F12</t>
        </is>
      </c>
      <c r="E419" t="inlineStr">
        <is>
          <t>INHERENTE</t>
        </is>
      </c>
      <c r="F419" t="inlineStr">
        <is>
          <t>FABRICACION DE CINTAS AGUJETAS Y LISTONES</t>
        </is>
      </c>
      <c r="G419" t="n">
        <v>2318013</v>
      </c>
      <c r="H419" t="n">
        <v>1</v>
      </c>
      <c r="I419" t="n">
        <v>1</v>
      </c>
      <c r="J419" t="n">
        <v>8</v>
      </c>
      <c r="K419" t="n">
        <v>8</v>
      </c>
      <c r="L419" t="n">
        <v>8</v>
      </c>
      <c r="M419" t="n">
        <v>8</v>
      </c>
      <c r="N419" t="n">
        <v>8</v>
      </c>
      <c r="O419" t="n">
        <v>40</v>
      </c>
      <c r="P419" t="n">
        <v>8</v>
      </c>
      <c r="R419" s="9" t="n">
        <v>0.08</v>
      </c>
      <c r="S419" s="10" t="inlineStr">
        <is>
          <t>SÍ — integrante</t>
        </is>
      </c>
      <c r="T419" s="11" t="inlineStr">
        <is>
          <t>B · INTEGRANTE</t>
        </is>
      </c>
      <c r="U419" s="11" t="inlineStr">
        <is>
          <t>DEL BANCO (se hereda)</t>
        </is>
      </c>
      <c r="V419" s="11" t="inlineStr">
        <is>
          <t>9152 · INDUSTRIA Y MANUFACTURA</t>
        </is>
      </c>
      <c r="W419" s="12" t="n"/>
      <c r="X419" s="12" t="n"/>
    </row>
    <row r="420" ht="15" customHeight="1">
      <c r="C420" t="inlineStr">
        <is>
          <t>Actividad económica / giro mercantil</t>
        </is>
      </c>
      <c r="D420" t="inlineStr">
        <is>
          <t>F12</t>
        </is>
      </c>
      <c r="E420" t="inlineStr">
        <is>
          <t>INHERENTE</t>
        </is>
      </c>
      <c r="F420" t="inlineStr">
        <is>
          <t>FABRICACION DE ENCAJES</t>
        </is>
      </c>
      <c r="G420" t="n">
        <v>2318021</v>
      </c>
      <c r="H420" t="n">
        <v>1</v>
      </c>
      <c r="I420" t="n">
        <v>1</v>
      </c>
      <c r="J420" t="n">
        <v>8</v>
      </c>
      <c r="K420" t="n">
        <v>8</v>
      </c>
      <c r="L420" t="n">
        <v>8</v>
      </c>
      <c r="M420" t="n">
        <v>8</v>
      </c>
      <c r="N420" t="n">
        <v>8</v>
      </c>
      <c r="O420" t="n">
        <v>40</v>
      </c>
      <c r="P420" t="n">
        <v>8</v>
      </c>
      <c r="R420" s="9" t="n">
        <v>0.08</v>
      </c>
      <c r="S420" s="10" t="inlineStr">
        <is>
          <t>SÍ — integrante</t>
        </is>
      </c>
      <c r="T420" s="11" t="inlineStr">
        <is>
          <t>B · INTEGRANTE</t>
        </is>
      </c>
      <c r="U420" s="11" t="inlineStr">
        <is>
          <t>DEL BANCO (se hereda)</t>
        </is>
      </c>
      <c r="V420" s="11" t="inlineStr">
        <is>
          <t>9152 · INDUSTRIA Y MANUFACTURA</t>
        </is>
      </c>
      <c r="W420" s="12" t="n"/>
      <c r="X420" s="12" t="n"/>
    </row>
    <row r="421" ht="15" customHeight="1">
      <c r="C421" t="inlineStr">
        <is>
          <t>Actividad económica / giro mercantil</t>
        </is>
      </c>
      <c r="D421" t="inlineStr">
        <is>
          <t>F12</t>
        </is>
      </c>
      <c r="E421" t="inlineStr">
        <is>
          <t>INHERENTE</t>
        </is>
      </c>
      <c r="F421" t="inlineStr">
        <is>
          <t>FABRICACION DE TELAS ELASTICAS</t>
        </is>
      </c>
      <c r="G421" t="n">
        <v>2318039</v>
      </c>
      <c r="H421" t="n">
        <v>1</v>
      </c>
      <c r="I421" t="n">
        <v>1</v>
      </c>
      <c r="J421" t="n">
        <v>8</v>
      </c>
      <c r="K421" t="n">
        <v>8</v>
      </c>
      <c r="L421" t="n">
        <v>8</v>
      </c>
      <c r="M421" t="n">
        <v>8</v>
      </c>
      <c r="N421" t="n">
        <v>8</v>
      </c>
      <c r="O421" t="n">
        <v>40</v>
      </c>
      <c r="P421" t="n">
        <v>8</v>
      </c>
      <c r="R421" s="9" t="n">
        <v>0.08</v>
      </c>
      <c r="S421" s="10" t="inlineStr">
        <is>
          <t>SÍ — integrante</t>
        </is>
      </c>
      <c r="T421" s="11" t="inlineStr">
        <is>
          <t>B · INTEGRANTE</t>
        </is>
      </c>
      <c r="U421" s="11" t="inlineStr">
        <is>
          <t>DEL BANCO (se hereda)</t>
        </is>
      </c>
      <c r="V421" s="11" t="inlineStr">
        <is>
          <t>9152 · INDUSTRIA Y MANUFACTURA</t>
        </is>
      </c>
      <c r="W421" s="12" t="n"/>
      <c r="X421" s="12" t="n"/>
    </row>
    <row r="422" ht="15" customHeight="1">
      <c r="C422" t="inlineStr">
        <is>
          <t>Actividad económica / giro mercantil</t>
        </is>
      </c>
      <c r="D422" t="inlineStr">
        <is>
          <t>F12</t>
        </is>
      </c>
      <c r="E422" t="inlineStr">
        <is>
          <t>INHERENTE</t>
        </is>
      </c>
      <c r="F422" t="inlineStr">
        <is>
          <t>ACABADO DE TELAS</t>
        </is>
      </c>
      <c r="G422" t="n">
        <v>2319011</v>
      </c>
      <c r="H422" t="n">
        <v>2</v>
      </c>
      <c r="I422" t="n">
        <v>2</v>
      </c>
      <c r="J422" t="n">
        <v>8</v>
      </c>
      <c r="K422" t="n">
        <v>16</v>
      </c>
      <c r="L422" t="n">
        <v>16</v>
      </c>
      <c r="M422" t="n">
        <v>16</v>
      </c>
      <c r="N422" t="n">
        <v>16</v>
      </c>
      <c r="O422" t="n">
        <v>40</v>
      </c>
      <c r="P422" t="n">
        <v>8</v>
      </c>
      <c r="R422" s="9" t="n">
        <v>0.08</v>
      </c>
      <c r="S422" s="10" t="inlineStr">
        <is>
          <t>SÍ — integrante</t>
        </is>
      </c>
      <c r="T422" s="11" t="inlineStr">
        <is>
          <t>B · INTEGRANTE</t>
        </is>
      </c>
      <c r="U422" s="11" t="inlineStr">
        <is>
          <t>DEL BANCO (se hereda)</t>
        </is>
      </c>
      <c r="V422" s="11" t="inlineStr">
        <is>
          <t>9154 · OTRAS ACTIVIDADES NO CLASIFICADAS</t>
        </is>
      </c>
      <c r="W422" s="12" t="n"/>
      <c r="X422" s="12" t="n"/>
    </row>
    <row r="423" ht="15" customHeight="1">
      <c r="C423" t="inlineStr">
        <is>
          <t>Actividad económica / giro mercantil</t>
        </is>
      </c>
      <c r="D423" t="inlineStr">
        <is>
          <t>F12</t>
        </is>
      </c>
      <c r="E423" t="inlineStr">
        <is>
          <t>INHERENTE</t>
        </is>
      </c>
      <c r="F423" t="inlineStr">
        <is>
          <t>FABRICACION DE CALCETINES</t>
        </is>
      </c>
      <c r="G423" t="n">
        <v>2321016</v>
      </c>
      <c r="H423" t="n">
        <v>1</v>
      </c>
      <c r="I423" t="n">
        <v>1</v>
      </c>
      <c r="J423" t="n">
        <v>8</v>
      </c>
      <c r="K423" t="n">
        <v>8</v>
      </c>
      <c r="L423" t="n">
        <v>8</v>
      </c>
      <c r="M423" t="n">
        <v>8</v>
      </c>
      <c r="N423" t="n">
        <v>8</v>
      </c>
      <c r="O423" t="n">
        <v>40</v>
      </c>
      <c r="P423" t="n">
        <v>8</v>
      </c>
      <c r="R423" s="9" t="n">
        <v>0.08</v>
      </c>
      <c r="S423" s="10" t="inlineStr">
        <is>
          <t>SÍ — integrante</t>
        </is>
      </c>
      <c r="T423" s="11" t="inlineStr">
        <is>
          <t>B · INTEGRANTE</t>
        </is>
      </c>
      <c r="U423" s="11" t="inlineStr">
        <is>
          <t>DEL BANCO (se hereda)</t>
        </is>
      </c>
      <c r="V423" s="11" t="inlineStr">
        <is>
          <t>9152 · INDUSTRIA Y MANUFACTURA</t>
        </is>
      </c>
      <c r="W423" s="12" t="n"/>
      <c r="X423" s="12" t="n"/>
    </row>
    <row r="424" ht="15" customHeight="1">
      <c r="C424" t="inlineStr">
        <is>
          <t>Actividad económica / giro mercantil</t>
        </is>
      </c>
      <c r="D424" t="inlineStr">
        <is>
          <t>F12</t>
        </is>
      </c>
      <c r="E424" t="inlineStr">
        <is>
          <t>INHERENTE</t>
        </is>
      </c>
      <c r="F424" t="inlineStr">
        <is>
          <t>FABRICACION DE MEDIAS</t>
        </is>
      </c>
      <c r="G424" t="n">
        <v>2321024</v>
      </c>
      <c r="H424" t="n">
        <v>1</v>
      </c>
      <c r="I424" t="n">
        <v>1</v>
      </c>
      <c r="J424" t="n">
        <v>8</v>
      </c>
      <c r="K424" t="n">
        <v>8</v>
      </c>
      <c r="L424" t="n">
        <v>8</v>
      </c>
      <c r="M424" t="n">
        <v>8</v>
      </c>
      <c r="N424" t="n">
        <v>8</v>
      </c>
      <c r="O424" t="n">
        <v>40</v>
      </c>
      <c r="P424" t="n">
        <v>8</v>
      </c>
      <c r="R424" s="9" t="n">
        <v>0.08</v>
      </c>
      <c r="S424" s="10" t="inlineStr">
        <is>
          <t>SÍ — integrante</t>
        </is>
      </c>
      <c r="T424" s="11" t="inlineStr">
        <is>
          <t>B · INTEGRANTE</t>
        </is>
      </c>
      <c r="U424" s="11" t="inlineStr">
        <is>
          <t>DEL BANCO (se hereda)</t>
        </is>
      </c>
      <c r="V424" s="11" t="inlineStr">
        <is>
          <t>9152 · INDUSTRIA Y MANUFACTURA</t>
        </is>
      </c>
      <c r="W424" s="12" t="n"/>
      <c r="X424" s="12" t="n"/>
    </row>
    <row r="425" ht="15" customHeight="1">
      <c r="C425" t="inlineStr">
        <is>
          <t>Actividad económica / giro mercantil</t>
        </is>
      </c>
      <c r="D425" t="inlineStr">
        <is>
          <t>F12</t>
        </is>
      </c>
      <c r="E425" t="inlineStr">
        <is>
          <t>INHERENTE</t>
        </is>
      </c>
      <c r="F425" t="inlineStr">
        <is>
          <t>FABRICACION DE SUETERES</t>
        </is>
      </c>
      <c r="G425" t="n">
        <v>2322014</v>
      </c>
      <c r="H425" t="n">
        <v>1</v>
      </c>
      <c r="I425" t="n">
        <v>1</v>
      </c>
      <c r="J425" t="n">
        <v>8</v>
      </c>
      <c r="K425" t="n">
        <v>8</v>
      </c>
      <c r="L425" t="n">
        <v>8</v>
      </c>
      <c r="M425" t="n">
        <v>8</v>
      </c>
      <c r="N425" t="n">
        <v>8</v>
      </c>
      <c r="O425" t="n">
        <v>40</v>
      </c>
      <c r="P425" t="n">
        <v>8</v>
      </c>
      <c r="R425" s="9" t="n">
        <v>0.08</v>
      </c>
      <c r="S425" s="10" t="inlineStr">
        <is>
          <t>SÍ — integrante</t>
        </is>
      </c>
      <c r="T425" s="11" t="inlineStr">
        <is>
          <t>B · INTEGRANTE</t>
        </is>
      </c>
      <c r="U425" s="11" t="inlineStr">
        <is>
          <t>DEL BANCO (se hereda)</t>
        </is>
      </c>
      <c r="V425" s="11" t="inlineStr">
        <is>
          <t>9152 · INDUSTRIA Y MANUFACTURA</t>
        </is>
      </c>
      <c r="W425" s="12" t="n"/>
      <c r="X425" s="12" t="n"/>
    </row>
    <row r="426" ht="15" customHeight="1">
      <c r="C426" t="inlineStr">
        <is>
          <t>Actividad económica / giro mercantil</t>
        </is>
      </c>
      <c r="D426" t="inlineStr">
        <is>
          <t>F12</t>
        </is>
      </c>
      <c r="E426" t="inlineStr">
        <is>
          <t>INHERENTE</t>
        </is>
      </c>
      <c r="F426" t="inlineStr">
        <is>
          <t>FABRICACION DE HILADOS Y TEJIDOS DE OTRAS FIBRAS SINTETICAS</t>
        </is>
      </c>
      <c r="G426" t="n">
        <v>2329010</v>
      </c>
      <c r="H426" t="n">
        <v>1</v>
      </c>
      <c r="I426" t="n">
        <v>1</v>
      </c>
      <c r="J426" t="n">
        <v>8</v>
      </c>
      <c r="K426" t="n">
        <v>8</v>
      </c>
      <c r="L426" t="n">
        <v>8</v>
      </c>
      <c r="M426" t="n">
        <v>8</v>
      </c>
      <c r="N426" t="n">
        <v>8</v>
      </c>
      <c r="O426" t="n">
        <v>40</v>
      </c>
      <c r="P426" t="n">
        <v>8</v>
      </c>
      <c r="R426" s="9" t="n">
        <v>0.08</v>
      </c>
      <c r="S426" s="10" t="inlineStr">
        <is>
          <t>SÍ — integrante</t>
        </is>
      </c>
      <c r="T426" s="11" t="inlineStr">
        <is>
          <t>B · INTEGRANTE</t>
        </is>
      </c>
      <c r="U426" s="11" t="inlineStr">
        <is>
          <t>DEL BANCO (se hereda)</t>
        </is>
      </c>
      <c r="V426" s="11" t="inlineStr">
        <is>
          <t>9152 · INDUSTRIA Y MANUFACTURA</t>
        </is>
      </c>
      <c r="W426" s="12" t="n"/>
      <c r="X426" s="12" t="n"/>
    </row>
    <row r="427" ht="15" customHeight="1">
      <c r="C427" t="inlineStr">
        <is>
          <t>Actividad económica / giro mercantil</t>
        </is>
      </c>
      <c r="D427" t="inlineStr">
        <is>
          <t>F12</t>
        </is>
      </c>
      <c r="E427" t="inlineStr">
        <is>
          <t>INHERENTE</t>
        </is>
      </c>
      <c r="F427" t="inlineStr">
        <is>
          <t>DESFIBRACION DE HENEQUEN</t>
        </is>
      </c>
      <c r="G427" t="n">
        <v>2331015</v>
      </c>
      <c r="H427" t="n">
        <v>1</v>
      </c>
      <c r="I427" t="n">
        <v>1</v>
      </c>
      <c r="J427" t="n">
        <v>8</v>
      </c>
      <c r="K427" t="n">
        <v>8</v>
      </c>
      <c r="L427" t="n">
        <v>8</v>
      </c>
      <c r="M427" t="n">
        <v>8</v>
      </c>
      <c r="N427" t="n">
        <v>8</v>
      </c>
      <c r="O427" t="n">
        <v>40</v>
      </c>
      <c r="P427" t="n">
        <v>8</v>
      </c>
      <c r="R427" s="9" t="n">
        <v>0.08</v>
      </c>
      <c r="S427" s="10" t="inlineStr">
        <is>
          <t>SÍ — integrante</t>
        </is>
      </c>
      <c r="T427" s="11" t="inlineStr">
        <is>
          <t>B · INTEGRANTE</t>
        </is>
      </c>
      <c r="U427" s="11" t="inlineStr">
        <is>
          <t>DEL BANCO (se hereda)</t>
        </is>
      </c>
      <c r="V427" s="11" t="inlineStr">
        <is>
          <t>9154 · OTRAS ACTIVIDADES NO CLASIFICADAS</t>
        </is>
      </c>
      <c r="W427" s="12" t="n"/>
      <c r="X427" s="12" t="n"/>
    </row>
    <row r="428" ht="15" customHeight="1">
      <c r="C428" t="inlineStr">
        <is>
          <t>Actividad económica / giro mercantil</t>
        </is>
      </c>
      <c r="D428" t="inlineStr">
        <is>
          <t>F12</t>
        </is>
      </c>
      <c r="E428" t="inlineStr">
        <is>
          <t>INHERENTE</t>
        </is>
      </c>
      <c r="F428" t="inlineStr">
        <is>
          <t>FABRICACION DE HILADOS Y TEJIDOS DE HENEQUEN</t>
        </is>
      </c>
      <c r="G428" t="n">
        <v>2332013</v>
      </c>
      <c r="H428" t="n">
        <v>1</v>
      </c>
      <c r="I428" t="n">
        <v>1</v>
      </c>
      <c r="J428" t="n">
        <v>8</v>
      </c>
      <c r="K428" t="n">
        <v>8</v>
      </c>
      <c r="L428" t="n">
        <v>8</v>
      </c>
      <c r="M428" t="n">
        <v>8</v>
      </c>
      <c r="N428" t="n">
        <v>8</v>
      </c>
      <c r="O428" t="n">
        <v>40</v>
      </c>
      <c r="P428" t="n">
        <v>8</v>
      </c>
      <c r="R428" s="9" t="n">
        <v>0.08</v>
      </c>
      <c r="S428" s="10" t="inlineStr">
        <is>
          <t>SÍ — integrante</t>
        </is>
      </c>
      <c r="T428" s="11" t="inlineStr">
        <is>
          <t>B · INTEGRANTE</t>
        </is>
      </c>
      <c r="U428" s="11" t="inlineStr">
        <is>
          <t>DEL BANCO (se hereda)</t>
        </is>
      </c>
      <c r="V428" s="11" t="inlineStr">
        <is>
          <t>9152 · INDUSTRIA Y MANUFACTURA</t>
        </is>
      </c>
      <c r="W428" s="12" t="n"/>
      <c r="X428" s="12" t="n"/>
    </row>
    <row r="429" ht="15" customHeight="1">
      <c r="C429" t="inlineStr">
        <is>
          <t>Actividad económica / giro mercantil</t>
        </is>
      </c>
      <c r="D429" t="inlineStr">
        <is>
          <t>F12</t>
        </is>
      </c>
      <c r="E429" t="inlineStr">
        <is>
          <t>INHERENTE</t>
        </is>
      </c>
      <c r="F429" t="inlineStr">
        <is>
          <t>FABRICACION DE ARTICULOS DE PALMA Y TULE</t>
        </is>
      </c>
      <c r="G429" t="n">
        <v>2333011</v>
      </c>
      <c r="H429" t="n">
        <v>1</v>
      </c>
      <c r="I429" t="n">
        <v>1</v>
      </c>
      <c r="J429" t="n">
        <v>8</v>
      </c>
      <c r="K429" t="n">
        <v>8</v>
      </c>
      <c r="L429" t="n">
        <v>8</v>
      </c>
      <c r="M429" t="n">
        <v>8</v>
      </c>
      <c r="N429" t="n">
        <v>8</v>
      </c>
      <c r="O429" t="n">
        <v>40</v>
      </c>
      <c r="P429" t="n">
        <v>8</v>
      </c>
      <c r="R429" s="9" t="n">
        <v>0.08</v>
      </c>
      <c r="S429" s="10" t="inlineStr">
        <is>
          <t>SÍ — integrante</t>
        </is>
      </c>
      <c r="T429" s="11" t="inlineStr">
        <is>
          <t>B · INTEGRANTE</t>
        </is>
      </c>
      <c r="U429" s="11" t="inlineStr">
        <is>
          <t>DEL BANCO (se hereda)</t>
        </is>
      </c>
      <c r="V429" s="11" t="inlineStr">
        <is>
          <t>9152 · INDUSTRIA Y MANUFACTURA</t>
        </is>
      </c>
      <c r="W429" s="12" t="n"/>
      <c r="X429" s="12" t="n"/>
    </row>
    <row r="430" ht="15" customHeight="1">
      <c r="C430" t="inlineStr">
        <is>
          <t>Actividad económica / giro mercantil</t>
        </is>
      </c>
      <c r="D430" t="inlineStr">
        <is>
          <t>F12</t>
        </is>
      </c>
      <c r="E430" t="inlineStr">
        <is>
          <t>INHERENTE</t>
        </is>
      </c>
      <c r="F430" t="inlineStr">
        <is>
          <t>FABRICACION DE TEJIDOS Y TORCIDOS DE PALMA</t>
        </is>
      </c>
      <c r="G430" t="n">
        <v>2333029</v>
      </c>
      <c r="H430" t="n">
        <v>1</v>
      </c>
      <c r="I430" t="n">
        <v>1</v>
      </c>
      <c r="J430" t="n">
        <v>8</v>
      </c>
      <c r="K430" t="n">
        <v>8</v>
      </c>
      <c r="L430" t="n">
        <v>8</v>
      </c>
      <c r="M430" t="n">
        <v>8</v>
      </c>
      <c r="N430" t="n">
        <v>8</v>
      </c>
      <c r="O430" t="n">
        <v>40</v>
      </c>
      <c r="P430" t="n">
        <v>8</v>
      </c>
      <c r="R430" s="9" t="n">
        <v>0.08</v>
      </c>
      <c r="S430" s="10" t="inlineStr">
        <is>
          <t>SÍ — integrante</t>
        </is>
      </c>
      <c r="T430" s="11" t="inlineStr">
        <is>
          <t>B · INTEGRANTE</t>
        </is>
      </c>
      <c r="U430" s="11" t="inlineStr">
        <is>
          <t>DEL BANCO (se hereda)</t>
        </is>
      </c>
      <c r="V430" s="11" t="inlineStr">
        <is>
          <t>9152 · INDUSTRIA Y MANUFACTURA</t>
        </is>
      </c>
      <c r="W430" s="12" t="n"/>
      <c r="X430" s="12" t="n"/>
    </row>
    <row r="431" ht="15" customHeight="1">
      <c r="C431" t="inlineStr">
        <is>
          <t>Actividad económica / giro mercantil</t>
        </is>
      </c>
      <c r="D431" t="inlineStr">
        <is>
          <t>F12</t>
        </is>
      </c>
      <c r="E431" t="inlineStr">
        <is>
          <t>INHERENTE</t>
        </is>
      </c>
      <c r="F431" t="inlineStr">
        <is>
          <t>FABRICACION DE TEJIDOS Y TORCIDOS DE IXTLE</t>
        </is>
      </c>
      <c r="G431" t="n">
        <v>2333037</v>
      </c>
      <c r="H431" t="n">
        <v>1</v>
      </c>
      <c r="I431" t="n">
        <v>1</v>
      </c>
      <c r="J431" t="n">
        <v>8</v>
      </c>
      <c r="K431" t="n">
        <v>8</v>
      </c>
      <c r="L431" t="n">
        <v>8</v>
      </c>
      <c r="M431" t="n">
        <v>8</v>
      </c>
      <c r="N431" t="n">
        <v>8</v>
      </c>
      <c r="O431" t="n">
        <v>40</v>
      </c>
      <c r="P431" t="n">
        <v>8</v>
      </c>
      <c r="R431" s="9" t="n">
        <v>0.08</v>
      </c>
      <c r="S431" s="10" t="inlineStr">
        <is>
          <t>SÍ — integrante</t>
        </is>
      </c>
      <c r="T431" s="11" t="inlineStr">
        <is>
          <t>B · INTEGRANTE</t>
        </is>
      </c>
      <c r="U431" s="11" t="inlineStr">
        <is>
          <t>DEL BANCO (se hereda)</t>
        </is>
      </c>
      <c r="V431" s="11" t="inlineStr">
        <is>
          <t>9152 · INDUSTRIA Y MANUFACTURA</t>
        </is>
      </c>
      <c r="W431" s="12" t="n"/>
      <c r="X431" s="12" t="n"/>
    </row>
    <row r="432" ht="15" customHeight="1">
      <c r="C432" t="inlineStr">
        <is>
          <t>Actividad económica / giro mercantil</t>
        </is>
      </c>
      <c r="D432" t="inlineStr">
        <is>
          <t>F12</t>
        </is>
      </c>
      <c r="E432" t="inlineStr">
        <is>
          <t>INHERENTE</t>
        </is>
      </c>
      <c r="F432" t="inlineStr">
        <is>
          <t>FABRICACION DE HILADOS Y TEJIDOS DE YUTE</t>
        </is>
      </c>
      <c r="G432" t="n">
        <v>2339019</v>
      </c>
      <c r="H432" t="n">
        <v>1</v>
      </c>
      <c r="I432" t="n">
        <v>1</v>
      </c>
      <c r="J432" t="n">
        <v>8</v>
      </c>
      <c r="K432" t="n">
        <v>8</v>
      </c>
      <c r="L432" t="n">
        <v>8</v>
      </c>
      <c r="M432" t="n">
        <v>8</v>
      </c>
      <c r="N432" t="n">
        <v>8</v>
      </c>
      <c r="O432" t="n">
        <v>40</v>
      </c>
      <c r="P432" t="n">
        <v>8</v>
      </c>
      <c r="R432" s="9" t="n">
        <v>0.08</v>
      </c>
      <c r="S432" s="10" t="inlineStr">
        <is>
          <t>SÍ — integrante</t>
        </is>
      </c>
      <c r="T432" s="11" t="inlineStr">
        <is>
          <t>B · INTEGRANTE</t>
        </is>
      </c>
      <c r="U432" s="11" t="inlineStr">
        <is>
          <t>DEL BANCO (se hereda)</t>
        </is>
      </c>
      <c r="V432" s="11" t="inlineStr">
        <is>
          <t>9152 · INDUSTRIA Y MANUFACTURA</t>
        </is>
      </c>
      <c r="W432" s="12" t="n"/>
      <c r="X432" s="12" t="n"/>
    </row>
    <row r="433" ht="15" customHeight="1">
      <c r="C433" t="inlineStr">
        <is>
          <t>Actividad económica / giro mercantil</t>
        </is>
      </c>
      <c r="D433" t="inlineStr">
        <is>
          <t>F12</t>
        </is>
      </c>
      <c r="E433" t="inlineStr">
        <is>
          <t>INHERENTE</t>
        </is>
      </c>
      <c r="F433" t="inlineStr">
        <is>
          <t>FABRICACION DE HILADOS Y TEJIDOS DE FIBRA DE COCO</t>
        </is>
      </c>
      <c r="G433" t="n">
        <v>2339027</v>
      </c>
      <c r="H433" t="n">
        <v>1</v>
      </c>
      <c r="I433" t="n">
        <v>1</v>
      </c>
      <c r="J433" t="n">
        <v>8</v>
      </c>
      <c r="K433" t="n">
        <v>8</v>
      </c>
      <c r="L433" t="n">
        <v>8</v>
      </c>
      <c r="M433" t="n">
        <v>8</v>
      </c>
      <c r="N433" t="n">
        <v>8</v>
      </c>
      <c r="O433" t="n">
        <v>40</v>
      </c>
      <c r="P433" t="n">
        <v>8</v>
      </c>
      <c r="R433" s="9" t="n">
        <v>0.08</v>
      </c>
      <c r="S433" s="10" t="inlineStr">
        <is>
          <t>SÍ — integrante</t>
        </is>
      </c>
      <c r="T433" s="11" t="inlineStr">
        <is>
          <t>B · INTEGRANTE</t>
        </is>
      </c>
      <c r="U433" s="11" t="inlineStr">
        <is>
          <t>DEL BANCO (se hereda)</t>
        </is>
      </c>
      <c r="V433" s="11" t="inlineStr">
        <is>
          <t>9152 · INDUSTRIA Y MANUFACTURA</t>
        </is>
      </c>
      <c r="W433" s="12" t="n"/>
      <c r="X433" s="12" t="n"/>
    </row>
    <row r="434" ht="15" customHeight="1">
      <c r="C434" t="inlineStr">
        <is>
          <t>Actividad económica / giro mercantil</t>
        </is>
      </c>
      <c r="D434" t="inlineStr">
        <is>
          <t>F12</t>
        </is>
      </c>
      <c r="E434" t="inlineStr">
        <is>
          <t>INHERENTE</t>
        </is>
      </c>
      <c r="F434" t="inlineStr">
        <is>
          <t>FABRICACION DE ARTICULOS DE LONA</t>
        </is>
      </c>
      <c r="G434" t="n">
        <v>2391019</v>
      </c>
      <c r="H434" t="n">
        <v>1</v>
      </c>
      <c r="I434" t="n">
        <v>1</v>
      </c>
      <c r="J434" t="n">
        <v>8</v>
      </c>
      <c r="K434" t="n">
        <v>8</v>
      </c>
      <c r="L434" t="n">
        <v>8</v>
      </c>
      <c r="M434" t="n">
        <v>8</v>
      </c>
      <c r="N434" t="n">
        <v>8</v>
      </c>
      <c r="O434" t="n">
        <v>40</v>
      </c>
      <c r="P434" t="n">
        <v>8</v>
      </c>
      <c r="R434" s="9" t="n">
        <v>0.08</v>
      </c>
      <c r="S434" s="10" t="inlineStr">
        <is>
          <t>SÍ — integrante</t>
        </is>
      </c>
      <c r="T434" s="11" t="inlineStr">
        <is>
          <t>B · INTEGRANTE</t>
        </is>
      </c>
      <c r="U434" s="11" t="inlineStr">
        <is>
          <t>DEL BANCO (se hereda)</t>
        </is>
      </c>
      <c r="V434" s="11" t="inlineStr">
        <is>
          <t>9152 · INDUSTRIA Y MANUFACTURA</t>
        </is>
      </c>
      <c r="W434" s="12" t="n"/>
      <c r="X434" s="12" t="n"/>
    </row>
    <row r="435" ht="15" customHeight="1">
      <c r="C435" t="inlineStr">
        <is>
          <t>Actividad económica / giro mercantil</t>
        </is>
      </c>
      <c r="D435" t="inlineStr">
        <is>
          <t>F12</t>
        </is>
      </c>
      <c r="E435" t="inlineStr">
        <is>
          <t>INHERENTE</t>
        </is>
      </c>
      <c r="F435" t="inlineStr">
        <is>
          <t>FABRICACION DE LONA</t>
        </is>
      </c>
      <c r="G435" t="n">
        <v>2391027</v>
      </c>
      <c r="H435" t="n">
        <v>1</v>
      </c>
      <c r="I435" t="n">
        <v>1</v>
      </c>
      <c r="J435" t="n">
        <v>8</v>
      </c>
      <c r="K435" t="n">
        <v>8</v>
      </c>
      <c r="L435" t="n">
        <v>8</v>
      </c>
      <c r="M435" t="n">
        <v>8</v>
      </c>
      <c r="N435" t="n">
        <v>8</v>
      </c>
      <c r="O435" t="n">
        <v>40</v>
      </c>
      <c r="P435" t="n">
        <v>8</v>
      </c>
      <c r="R435" s="9" t="n">
        <v>0.08</v>
      </c>
      <c r="S435" s="10" t="inlineStr">
        <is>
          <t>SÍ — integrante</t>
        </is>
      </c>
      <c r="T435" s="11" t="inlineStr">
        <is>
          <t>B · INTEGRANTE</t>
        </is>
      </c>
      <c r="U435" s="11" t="inlineStr">
        <is>
          <t>DEL BANCO (se hereda)</t>
        </is>
      </c>
      <c r="V435" s="11" t="inlineStr">
        <is>
          <t>9152 · INDUSTRIA Y MANUFACTURA</t>
        </is>
      </c>
      <c r="W435" s="12" t="n"/>
      <c r="X435" s="12" t="n"/>
    </row>
    <row r="436" ht="15" customHeight="1">
      <c r="C436" t="inlineStr">
        <is>
          <t>Actividad económica / giro mercantil</t>
        </is>
      </c>
      <c r="D436" t="inlineStr">
        <is>
          <t>F12</t>
        </is>
      </c>
      <c r="E436" t="inlineStr">
        <is>
          <t>INHERENTE</t>
        </is>
      </c>
      <c r="F436" t="inlineStr">
        <is>
          <t>FABRICACION DE TELAS IMPERMEABLES</t>
        </is>
      </c>
      <c r="G436" t="n">
        <v>2391035</v>
      </c>
      <c r="H436" t="n">
        <v>1</v>
      </c>
      <c r="I436" t="n">
        <v>1</v>
      </c>
      <c r="J436" t="n">
        <v>8</v>
      </c>
      <c r="K436" t="n">
        <v>8</v>
      </c>
      <c r="L436" t="n">
        <v>8</v>
      </c>
      <c r="M436" t="n">
        <v>8</v>
      </c>
      <c r="N436" t="n">
        <v>8</v>
      </c>
      <c r="O436" t="n">
        <v>40</v>
      </c>
      <c r="P436" t="n">
        <v>8</v>
      </c>
      <c r="R436" s="9" t="n">
        <v>0.08</v>
      </c>
      <c r="S436" s="10" t="inlineStr">
        <is>
          <t>SÍ — integrante</t>
        </is>
      </c>
      <c r="T436" s="11" t="inlineStr">
        <is>
          <t>B · INTEGRANTE</t>
        </is>
      </c>
      <c r="U436" s="11" t="inlineStr">
        <is>
          <t>DEL BANCO (se hereda)</t>
        </is>
      </c>
      <c r="V436" s="11" t="inlineStr">
        <is>
          <t>9152 · INDUSTRIA Y MANUFACTURA</t>
        </is>
      </c>
      <c r="W436" s="12" t="n"/>
      <c r="X436" s="12" t="n"/>
    </row>
    <row r="437" ht="15" customHeight="1">
      <c r="C437" t="inlineStr">
        <is>
          <t>Actividad económica / giro mercantil</t>
        </is>
      </c>
      <c r="D437" t="inlineStr">
        <is>
          <t>F12</t>
        </is>
      </c>
      <c r="E437" t="inlineStr">
        <is>
          <t>INHERENTE</t>
        </is>
      </c>
      <c r="F437" t="inlineStr">
        <is>
          <t>FABRICACION DE TAPETES Y ALFOMBRAS</t>
        </is>
      </c>
      <c r="G437" t="n">
        <v>2392017</v>
      </c>
      <c r="H437" t="n">
        <v>1</v>
      </c>
      <c r="I437" t="n">
        <v>1</v>
      </c>
      <c r="J437" t="n">
        <v>8</v>
      </c>
      <c r="K437" t="n">
        <v>8</v>
      </c>
      <c r="L437" t="n">
        <v>8</v>
      </c>
      <c r="M437" t="n">
        <v>8</v>
      </c>
      <c r="N437" t="n">
        <v>8</v>
      </c>
      <c r="O437" t="n">
        <v>40</v>
      </c>
      <c r="P437" t="n">
        <v>8</v>
      </c>
      <c r="R437" s="9" t="n">
        <v>0.08</v>
      </c>
      <c r="S437" s="10" t="inlineStr">
        <is>
          <t>SÍ — integrante</t>
        </is>
      </c>
      <c r="T437" s="11" t="inlineStr">
        <is>
          <t>B · INTEGRANTE</t>
        </is>
      </c>
      <c r="U437" s="11" t="inlineStr">
        <is>
          <t>DEL BANCO (se hereda)</t>
        </is>
      </c>
      <c r="V437" s="11" t="inlineStr">
        <is>
          <t>9152 · INDUSTRIA Y MANUFACTURA</t>
        </is>
      </c>
      <c r="W437" s="12" t="n"/>
      <c r="X437" s="12" t="n"/>
    </row>
    <row r="438" ht="15" customHeight="1">
      <c r="C438" t="inlineStr">
        <is>
          <t>Actividad económica / giro mercantil</t>
        </is>
      </c>
      <c r="D438" t="inlineStr">
        <is>
          <t>F12</t>
        </is>
      </c>
      <c r="E438" t="inlineStr">
        <is>
          <t>INHERENTE</t>
        </is>
      </c>
      <c r="F438" t="inlineStr">
        <is>
          <t>FABRICACION DE TELAS PARA TAPICERIA</t>
        </is>
      </c>
      <c r="G438" t="n">
        <v>2392025</v>
      </c>
      <c r="H438" t="n">
        <v>1</v>
      </c>
      <c r="I438" t="n">
        <v>1</v>
      </c>
      <c r="J438" t="n">
        <v>8</v>
      </c>
      <c r="K438" t="n">
        <v>8</v>
      </c>
      <c r="L438" t="n">
        <v>8</v>
      </c>
      <c r="M438" t="n">
        <v>8</v>
      </c>
      <c r="N438" t="n">
        <v>8</v>
      </c>
      <c r="O438" t="n">
        <v>40</v>
      </c>
      <c r="P438" t="n">
        <v>8</v>
      </c>
      <c r="R438" s="9" t="n">
        <v>0.08</v>
      </c>
      <c r="S438" s="10" t="inlineStr">
        <is>
          <t>SÍ — integrante</t>
        </is>
      </c>
      <c r="T438" s="11" t="inlineStr">
        <is>
          <t>B · INTEGRANTE</t>
        </is>
      </c>
      <c r="U438" s="11" t="inlineStr">
        <is>
          <t>DEL BANCO (se hereda)</t>
        </is>
      </c>
      <c r="V438" s="11" t="inlineStr">
        <is>
          <t>9152 · INDUSTRIA Y MANUFACTURA</t>
        </is>
      </c>
      <c r="W438" s="12" t="n"/>
      <c r="X438" s="12" t="n"/>
    </row>
    <row r="439" ht="15" customHeight="1">
      <c r="C439" t="inlineStr">
        <is>
          <t>Actividad económica / giro mercantil</t>
        </is>
      </c>
      <c r="D439" t="inlineStr">
        <is>
          <t>F12</t>
        </is>
      </c>
      <c r="E439" t="inlineStr">
        <is>
          <t>INHERENTE</t>
        </is>
      </c>
      <c r="F439" t="inlineStr">
        <is>
          <t>FABRICACION DE ENTRETELAS Y FIELTROS</t>
        </is>
      </c>
      <c r="G439" t="n">
        <v>2393015</v>
      </c>
      <c r="H439" t="n">
        <v>1</v>
      </c>
      <c r="I439" t="n">
        <v>1</v>
      </c>
      <c r="J439" t="n">
        <v>8</v>
      </c>
      <c r="K439" t="n">
        <v>8</v>
      </c>
      <c r="L439" t="n">
        <v>8</v>
      </c>
      <c r="M439" t="n">
        <v>8</v>
      </c>
      <c r="N439" t="n">
        <v>8</v>
      </c>
      <c r="O439" t="n">
        <v>40</v>
      </c>
      <c r="P439" t="n">
        <v>8</v>
      </c>
      <c r="R439" s="9" t="n">
        <v>0.08</v>
      </c>
      <c r="S439" s="10" t="inlineStr">
        <is>
          <t>SÍ — integrante</t>
        </is>
      </c>
      <c r="T439" s="11" t="inlineStr">
        <is>
          <t>B · INTEGRANTE</t>
        </is>
      </c>
      <c r="U439" s="11" t="inlineStr">
        <is>
          <t>DEL BANCO (se hereda)</t>
        </is>
      </c>
      <c r="V439" s="11" t="inlineStr">
        <is>
          <t>9152 · INDUSTRIA Y MANUFACTURA</t>
        </is>
      </c>
      <c r="W439" s="12" t="n"/>
      <c r="X439" s="12" t="n"/>
    </row>
    <row r="440" ht="15" customHeight="1">
      <c r="C440" t="inlineStr">
        <is>
          <t>Actividad económica / giro mercantil</t>
        </is>
      </c>
      <c r="D440" t="inlineStr">
        <is>
          <t>F12</t>
        </is>
      </c>
      <c r="E440" t="inlineStr">
        <is>
          <t>INHERENTE</t>
        </is>
      </c>
      <c r="F440" t="inlineStr">
        <is>
          <t>BENEFICIO DE PELO Y CERDA PARA LA INDUSTRIA TEXTIL</t>
        </is>
      </c>
      <c r="G440" t="n">
        <v>2394013</v>
      </c>
      <c r="H440" t="n">
        <v>1</v>
      </c>
      <c r="I440" t="n">
        <v>1</v>
      </c>
      <c r="J440" t="n">
        <v>8</v>
      </c>
      <c r="K440" t="n">
        <v>8</v>
      </c>
      <c r="L440" t="n">
        <v>8</v>
      </c>
      <c r="M440" t="n">
        <v>8</v>
      </c>
      <c r="N440" t="n">
        <v>8</v>
      </c>
      <c r="O440" t="n">
        <v>40</v>
      </c>
      <c r="P440" t="n">
        <v>8</v>
      </c>
      <c r="R440" s="9" t="n">
        <v>0.08</v>
      </c>
      <c r="S440" s="10" t="inlineStr">
        <is>
          <t>SÍ — integrante</t>
        </is>
      </c>
      <c r="T440" s="11" t="inlineStr">
        <is>
          <t>B · INTEGRANTE</t>
        </is>
      </c>
      <c r="U440" s="11" t="inlineStr">
        <is>
          <t>DEL BANCO (se hereda)</t>
        </is>
      </c>
      <c r="V440" s="11" t="inlineStr">
        <is>
          <t>9152 · INDUSTRIA Y MANUFACTURA</t>
        </is>
      </c>
      <c r="W440" s="12" t="n"/>
      <c r="X440" s="12" t="n"/>
    </row>
    <row r="441" ht="15" customHeight="1">
      <c r="C441" t="inlineStr">
        <is>
          <t>Actividad económica / giro mercantil</t>
        </is>
      </c>
      <c r="D441" t="inlineStr">
        <is>
          <t>F12</t>
        </is>
      </c>
      <c r="E441" t="inlineStr">
        <is>
          <t>INHERENTE</t>
        </is>
      </c>
      <c r="F441" t="inlineStr">
        <is>
          <t>FABRICACION DE BORRAS Y ESTOPAS</t>
        </is>
      </c>
      <c r="G441" t="n">
        <v>2394021</v>
      </c>
      <c r="H441" t="n">
        <v>1</v>
      </c>
      <c r="I441" t="n">
        <v>1</v>
      </c>
      <c r="J441" t="n">
        <v>8</v>
      </c>
      <c r="K441" t="n">
        <v>8</v>
      </c>
      <c r="L441" t="n">
        <v>8</v>
      </c>
      <c r="M441" t="n">
        <v>8</v>
      </c>
      <c r="N441" t="n">
        <v>8</v>
      </c>
      <c r="O441" t="n">
        <v>40</v>
      </c>
      <c r="P441" t="n">
        <v>8</v>
      </c>
      <c r="R441" s="9" t="n">
        <v>0.08</v>
      </c>
      <c r="S441" s="10" t="inlineStr">
        <is>
          <t>SÍ — integrante</t>
        </is>
      </c>
      <c r="T441" s="11" t="inlineStr">
        <is>
          <t>B · INTEGRANTE</t>
        </is>
      </c>
      <c r="U441" s="11" t="inlineStr">
        <is>
          <t>DEL BANCO (se hereda)</t>
        </is>
      </c>
      <c r="V441" s="11" t="inlineStr">
        <is>
          <t>9152 · INDUSTRIA Y MANUFACTURA</t>
        </is>
      </c>
      <c r="W441" s="12" t="n"/>
      <c r="X441" s="12" t="n"/>
    </row>
    <row r="442" ht="15" customHeight="1">
      <c r="C442" t="inlineStr">
        <is>
          <t>Actividad económica / giro mercantil</t>
        </is>
      </c>
      <c r="D442" t="inlineStr">
        <is>
          <t>F12</t>
        </is>
      </c>
      <c r="E442" t="inlineStr">
        <is>
          <t>INHERENTE</t>
        </is>
      </c>
      <c r="F442" t="inlineStr">
        <is>
          <t>FABRICACION DE OTROS ARTICULOS DE ALGODON</t>
        </is>
      </c>
      <c r="G442" t="n">
        <v>2394039</v>
      </c>
      <c r="H442" t="n">
        <v>1</v>
      </c>
      <c r="I442" t="n">
        <v>1</v>
      </c>
      <c r="J442" t="n">
        <v>8</v>
      </c>
      <c r="K442" t="n">
        <v>8</v>
      </c>
      <c r="L442" t="n">
        <v>8</v>
      </c>
      <c r="M442" t="n">
        <v>8</v>
      </c>
      <c r="N442" t="n">
        <v>8</v>
      </c>
      <c r="O442" t="n">
        <v>40</v>
      </c>
      <c r="P442" t="n">
        <v>8</v>
      </c>
      <c r="R442" s="9" t="n">
        <v>0.08</v>
      </c>
      <c r="S442" s="10" t="inlineStr">
        <is>
          <t>SÍ — integrante</t>
        </is>
      </c>
      <c r="T442" s="11" t="inlineStr">
        <is>
          <t>B · INTEGRANTE</t>
        </is>
      </c>
      <c r="U442" s="11" t="inlineStr">
        <is>
          <t>DEL BANCO (se hereda)</t>
        </is>
      </c>
      <c r="V442" s="11" t="inlineStr">
        <is>
          <t>9152 · INDUSTRIA Y MANUFACTURA</t>
        </is>
      </c>
      <c r="W442" s="12" t="n"/>
      <c r="X442" s="12" t="n"/>
    </row>
    <row r="443" ht="15" customHeight="1">
      <c r="C443" t="inlineStr">
        <is>
          <t>Actividad económica / giro mercantil</t>
        </is>
      </c>
      <c r="D443" t="inlineStr">
        <is>
          <t>F12</t>
        </is>
      </c>
      <c r="E443" t="inlineStr">
        <is>
          <t>INHERENTE</t>
        </is>
      </c>
      <c r="F443" t="inlineStr">
        <is>
          <t>FABRICACIÓN DE PRENDAS DE VESTIR Y OTROS ARTÍCULOS CONFECCIONADOS CON TEXTILES Y OTROS MATERIALES EXCEPTO CALZADO</t>
        </is>
      </c>
      <c r="G443" t="n">
        <v>2400000</v>
      </c>
      <c r="H443" t="n">
        <v>2</v>
      </c>
      <c r="I443" t="n">
        <v>2</v>
      </c>
      <c r="J443" t="n">
        <v>8</v>
      </c>
      <c r="K443" t="n">
        <v>16</v>
      </c>
      <c r="L443" t="n">
        <v>16</v>
      </c>
      <c r="M443" t="n">
        <v>16</v>
      </c>
      <c r="N443" t="n">
        <v>16</v>
      </c>
      <c r="O443" t="n">
        <v>40</v>
      </c>
      <c r="P443" t="n">
        <v>8</v>
      </c>
      <c r="R443" s="9" t="n">
        <v>0.08</v>
      </c>
      <c r="S443" s="10" t="inlineStr">
        <is>
          <t>SÍ — integrante</t>
        </is>
      </c>
      <c r="T443" s="11" t="inlineStr">
        <is>
          <t>B · INTEGRANTE</t>
        </is>
      </c>
      <c r="U443" s="11" t="inlineStr">
        <is>
          <t>DEL BANCO (se hereda)</t>
        </is>
      </c>
      <c r="V443" s="11" t="inlineStr">
        <is>
          <t>9152 · INDUSTRIA Y MANUFACTURA</t>
        </is>
      </c>
      <c r="W443" s="12" t="n"/>
      <c r="X443" s="12" t="n"/>
    </row>
    <row r="444" ht="15" customHeight="1">
      <c r="C444" t="inlineStr">
        <is>
          <t>Actividad económica / giro mercantil</t>
        </is>
      </c>
      <c r="D444" t="inlineStr">
        <is>
          <t>F12</t>
        </is>
      </c>
      <c r="E444" t="inlineStr">
        <is>
          <t>INHERENTE</t>
        </is>
      </c>
      <c r="F444" t="inlineStr">
        <is>
          <t>FABRICACION DE VESTIDOS Y OTRAS PRENDAS EXTERIORES DE VESTIR PARA DAMA</t>
        </is>
      </c>
      <c r="G444" t="n">
        <v>2411015</v>
      </c>
      <c r="H444" t="n">
        <v>2</v>
      </c>
      <c r="I444" t="n">
        <v>2</v>
      </c>
      <c r="J444" t="n">
        <v>8</v>
      </c>
      <c r="K444" t="n">
        <v>16</v>
      </c>
      <c r="L444" t="n">
        <v>16</v>
      </c>
      <c r="M444" t="n">
        <v>16</v>
      </c>
      <c r="N444" t="n">
        <v>16</v>
      </c>
      <c r="O444" t="n">
        <v>40</v>
      </c>
      <c r="P444" t="n">
        <v>8</v>
      </c>
      <c r="R444" s="9" t="n">
        <v>0.08</v>
      </c>
      <c r="S444" s="10" t="inlineStr">
        <is>
          <t>SÍ — integrante</t>
        </is>
      </c>
      <c r="T444" s="11" t="inlineStr">
        <is>
          <t>B · INTEGRANTE</t>
        </is>
      </c>
      <c r="U444" s="11" t="inlineStr">
        <is>
          <t>DEL BANCO (se hereda)</t>
        </is>
      </c>
      <c r="V444" s="11" t="inlineStr">
        <is>
          <t>9152 · INDUSTRIA Y MANUFACTURA</t>
        </is>
      </c>
      <c r="W444" s="12" t="n"/>
      <c r="X444" s="12" t="n"/>
    </row>
    <row r="445" ht="15" customHeight="1">
      <c r="C445" t="inlineStr">
        <is>
          <t>Actividad económica / giro mercantil</t>
        </is>
      </c>
      <c r="D445" t="inlineStr">
        <is>
          <t>F12</t>
        </is>
      </c>
      <c r="E445" t="inlineStr">
        <is>
          <t>INHERENTE</t>
        </is>
      </c>
      <c r="F445" t="inlineStr">
        <is>
          <t>TALLER DE CONFECCION DE VESTIDOS</t>
        </is>
      </c>
      <c r="G445" t="n">
        <v>2411023</v>
      </c>
      <c r="H445" t="n">
        <v>2</v>
      </c>
      <c r="I445" t="n">
        <v>2</v>
      </c>
      <c r="J445" t="n">
        <v>8</v>
      </c>
      <c r="K445" t="n">
        <v>16</v>
      </c>
      <c r="L445" t="n">
        <v>16</v>
      </c>
      <c r="M445" t="n">
        <v>16</v>
      </c>
      <c r="N445" t="n">
        <v>16</v>
      </c>
      <c r="O445" t="n">
        <v>40</v>
      </c>
      <c r="P445" t="n">
        <v>8</v>
      </c>
      <c r="R445" s="9" t="n">
        <v>0.08</v>
      </c>
      <c r="S445" s="10" t="inlineStr">
        <is>
          <t>SÍ — integrante</t>
        </is>
      </c>
      <c r="T445" s="11" t="inlineStr">
        <is>
          <t>B · INTEGRANTE</t>
        </is>
      </c>
      <c r="U445" s="11" t="inlineStr">
        <is>
          <t>DEL BANCO (se hereda)</t>
        </is>
      </c>
      <c r="V445" s="11" t="inlineStr">
        <is>
          <t>9152 · INDUSTRIA Y MANUFACTURA</t>
        </is>
      </c>
      <c r="W445" s="12" t="n"/>
      <c r="X445" s="12" t="n"/>
    </row>
    <row r="446" ht="15" customHeight="1">
      <c r="C446" t="inlineStr">
        <is>
          <t>Actividad económica / giro mercantil</t>
        </is>
      </c>
      <c r="D446" t="inlineStr">
        <is>
          <t>F12</t>
        </is>
      </c>
      <c r="E446" t="inlineStr">
        <is>
          <t>INHERENTE</t>
        </is>
      </c>
      <c r="F446" t="inlineStr">
        <is>
          <t>FABRICACION DE OTRAS PRENDAS EXTERIORES DE VESTIR PARA CABALLERO</t>
        </is>
      </c>
      <c r="G446" t="n">
        <v>2412013</v>
      </c>
      <c r="H446" t="n">
        <v>2</v>
      </c>
      <c r="I446" t="n">
        <v>2</v>
      </c>
      <c r="J446" t="n">
        <v>8</v>
      </c>
      <c r="K446" t="n">
        <v>16</v>
      </c>
      <c r="L446" t="n">
        <v>16</v>
      </c>
      <c r="M446" t="n">
        <v>16</v>
      </c>
      <c r="N446" t="n">
        <v>16</v>
      </c>
      <c r="O446" t="n">
        <v>40</v>
      </c>
      <c r="P446" t="n">
        <v>8</v>
      </c>
      <c r="R446" s="9" t="n">
        <v>0.08</v>
      </c>
      <c r="S446" s="10" t="inlineStr">
        <is>
          <t>SÍ — integrante</t>
        </is>
      </c>
      <c r="T446" s="11" t="inlineStr">
        <is>
          <t>B · INTEGRANTE</t>
        </is>
      </c>
      <c r="U446" s="11" t="inlineStr">
        <is>
          <t>DEL BANCO (se hereda)</t>
        </is>
      </c>
      <c r="V446" s="11" t="inlineStr">
        <is>
          <t>9152 · INDUSTRIA Y MANUFACTURA</t>
        </is>
      </c>
      <c r="W446" s="12" t="n"/>
      <c r="X446" s="12" t="n"/>
    </row>
    <row r="447" ht="15" customHeight="1">
      <c r="C447" t="inlineStr">
        <is>
          <t>Actividad económica / giro mercantil</t>
        </is>
      </c>
      <c r="D447" t="inlineStr">
        <is>
          <t>F12</t>
        </is>
      </c>
      <c r="E447" t="inlineStr">
        <is>
          <t>INHERENTE</t>
        </is>
      </c>
      <c r="F447" t="inlineStr">
        <is>
          <t>FABRICACION DE TRAJES PARA CABALLERO</t>
        </is>
      </c>
      <c r="G447" t="n">
        <v>2412021</v>
      </c>
      <c r="H447" t="n">
        <v>1</v>
      </c>
      <c r="I447" t="n">
        <v>1</v>
      </c>
      <c r="J447" t="n">
        <v>8</v>
      </c>
      <c r="K447" t="n">
        <v>8</v>
      </c>
      <c r="L447" t="n">
        <v>8</v>
      </c>
      <c r="M447" t="n">
        <v>8</v>
      </c>
      <c r="N447" t="n">
        <v>8</v>
      </c>
      <c r="O447" t="n">
        <v>40</v>
      </c>
      <c r="P447" t="n">
        <v>8</v>
      </c>
      <c r="R447" s="9" t="n">
        <v>0.08</v>
      </c>
      <c r="S447" s="10" t="inlineStr">
        <is>
          <t>SÍ — integrante</t>
        </is>
      </c>
      <c r="T447" s="11" t="inlineStr">
        <is>
          <t>B · INTEGRANTE</t>
        </is>
      </c>
      <c r="U447" s="11" t="inlineStr">
        <is>
          <t>DEL BANCO (se hereda)</t>
        </is>
      </c>
      <c r="V447" s="11" t="inlineStr">
        <is>
          <t>9152 · INDUSTRIA Y MANUFACTURA</t>
        </is>
      </c>
      <c r="W447" s="12" t="n"/>
      <c r="X447" s="12" t="n"/>
    </row>
    <row r="448" ht="15" customHeight="1">
      <c r="C448" t="inlineStr">
        <is>
          <t>Actividad económica / giro mercantil</t>
        </is>
      </c>
      <c r="D448" t="inlineStr">
        <is>
          <t>F12</t>
        </is>
      </c>
      <c r="E448" t="inlineStr">
        <is>
          <t>INHERENTE</t>
        </is>
      </c>
      <c r="F448" t="inlineStr">
        <is>
          <t>TALLER DE SASTRERIA</t>
        </is>
      </c>
      <c r="G448" t="n">
        <v>2412039</v>
      </c>
      <c r="H448" t="n">
        <v>1</v>
      </c>
      <c r="I448" t="n">
        <v>1</v>
      </c>
      <c r="J448" t="n">
        <v>8</v>
      </c>
      <c r="K448" t="n">
        <v>8</v>
      </c>
      <c r="L448" t="n">
        <v>8</v>
      </c>
      <c r="M448" t="n">
        <v>8</v>
      </c>
      <c r="N448" t="n">
        <v>8</v>
      </c>
      <c r="O448" t="n">
        <v>40</v>
      </c>
      <c r="P448" t="n">
        <v>8</v>
      </c>
      <c r="R448" s="9" t="n">
        <v>0.08</v>
      </c>
      <c r="S448" s="10" t="inlineStr">
        <is>
          <t>SÍ — integrante</t>
        </is>
      </c>
      <c r="T448" s="11" t="inlineStr">
        <is>
          <t>B · INTEGRANTE</t>
        </is>
      </c>
      <c r="U448" s="11" t="inlineStr">
        <is>
          <t>DEL BANCO (se hereda)</t>
        </is>
      </c>
      <c r="V448" s="11" t="inlineStr">
        <is>
          <t>9152 · INDUSTRIA Y MANUFACTURA</t>
        </is>
      </c>
      <c r="W448" s="12" t="n"/>
      <c r="X448" s="12" t="n"/>
    </row>
    <row r="449" ht="15" customHeight="1">
      <c r="C449" t="inlineStr">
        <is>
          <t>Actividad económica / giro mercantil</t>
        </is>
      </c>
      <c r="D449" t="inlineStr">
        <is>
          <t>F12</t>
        </is>
      </c>
      <c r="E449" t="inlineStr">
        <is>
          <t>INHERENTE</t>
        </is>
      </c>
      <c r="F449" t="inlineStr">
        <is>
          <t>FABRICACION DE UNIFORMES</t>
        </is>
      </c>
      <c r="G449" t="n">
        <v>2413011</v>
      </c>
      <c r="H449" t="n">
        <v>1</v>
      </c>
      <c r="I449" t="n">
        <v>1</v>
      </c>
      <c r="J449" t="n">
        <v>8</v>
      </c>
      <c r="K449" t="n">
        <v>8</v>
      </c>
      <c r="L449" t="n">
        <v>8</v>
      </c>
      <c r="M449" t="n">
        <v>8</v>
      </c>
      <c r="N449" t="n">
        <v>8</v>
      </c>
      <c r="O449" t="n">
        <v>40</v>
      </c>
      <c r="P449" t="n">
        <v>8</v>
      </c>
      <c r="R449" s="9" t="n">
        <v>0.08</v>
      </c>
      <c r="S449" s="10" t="inlineStr">
        <is>
          <t>SÍ — integrante</t>
        </is>
      </c>
      <c r="T449" s="11" t="inlineStr">
        <is>
          <t>B · INTEGRANTE</t>
        </is>
      </c>
      <c r="U449" s="11" t="inlineStr">
        <is>
          <t>DEL BANCO (se hereda)</t>
        </is>
      </c>
      <c r="V449" s="11" t="inlineStr">
        <is>
          <t>9152 · INDUSTRIA Y MANUFACTURA</t>
        </is>
      </c>
      <c r="W449" s="12" t="n"/>
      <c r="X449" s="12" t="n"/>
    </row>
    <row r="450" ht="15" customHeight="1">
      <c r="C450" t="inlineStr">
        <is>
          <t>Actividad económica / giro mercantil</t>
        </is>
      </c>
      <c r="D450" t="inlineStr">
        <is>
          <t>F12</t>
        </is>
      </c>
      <c r="E450" t="inlineStr">
        <is>
          <t>INHERENTE</t>
        </is>
      </c>
      <c r="F450" t="inlineStr">
        <is>
          <t>FABRICACION DE CAMISAS</t>
        </is>
      </c>
      <c r="G450" t="n">
        <v>2414019</v>
      </c>
      <c r="H450" t="n">
        <v>2</v>
      </c>
      <c r="I450" t="n">
        <v>2</v>
      </c>
      <c r="J450" t="n">
        <v>8</v>
      </c>
      <c r="K450" t="n">
        <v>16</v>
      </c>
      <c r="L450" t="n">
        <v>16</v>
      </c>
      <c r="M450" t="n">
        <v>16</v>
      </c>
      <c r="N450" t="n">
        <v>16</v>
      </c>
      <c r="O450" t="n">
        <v>40</v>
      </c>
      <c r="P450" t="n">
        <v>8</v>
      </c>
      <c r="R450" s="9" t="n">
        <v>0.08</v>
      </c>
      <c r="S450" s="10" t="inlineStr">
        <is>
          <t>SÍ — integrante</t>
        </is>
      </c>
      <c r="T450" s="11" t="inlineStr">
        <is>
          <t>B · INTEGRANTE</t>
        </is>
      </c>
      <c r="U450" s="11" t="inlineStr">
        <is>
          <t>DEL BANCO (se hereda)</t>
        </is>
      </c>
      <c r="V450" s="11" t="inlineStr">
        <is>
          <t>9152 · INDUSTRIA Y MANUFACTURA</t>
        </is>
      </c>
      <c r="W450" s="12" t="n"/>
      <c r="X450" s="12" t="n"/>
    </row>
    <row r="451" ht="15" customHeight="1">
      <c r="C451" t="inlineStr">
        <is>
          <t>Actividad económica / giro mercantil</t>
        </is>
      </c>
      <c r="D451" t="inlineStr">
        <is>
          <t>F12</t>
        </is>
      </c>
      <c r="E451" t="inlineStr">
        <is>
          <t>INHERENTE</t>
        </is>
      </c>
      <c r="F451" t="inlineStr">
        <is>
          <t>FABRICACION DE OTRAS PRENDAS EXTERIORES DE VESTIR PARA NIÑO</t>
        </is>
      </c>
      <c r="G451" t="n">
        <v>2415017</v>
      </c>
      <c r="H451" t="n">
        <v>2</v>
      </c>
      <c r="I451" t="n">
        <v>2</v>
      </c>
      <c r="J451" t="n">
        <v>8</v>
      </c>
      <c r="K451" t="n">
        <v>16</v>
      </c>
      <c r="L451" t="n">
        <v>16</v>
      </c>
      <c r="M451" t="n">
        <v>16</v>
      </c>
      <c r="N451" t="n">
        <v>16</v>
      </c>
      <c r="O451" t="n">
        <v>40</v>
      </c>
      <c r="P451" t="n">
        <v>8</v>
      </c>
      <c r="R451" s="9" t="n">
        <v>0.08</v>
      </c>
      <c r="S451" s="10" t="inlineStr">
        <is>
          <t>SÍ — integrante</t>
        </is>
      </c>
      <c r="T451" s="11" t="inlineStr">
        <is>
          <t>B · INTEGRANTE</t>
        </is>
      </c>
      <c r="U451" s="11" t="inlineStr">
        <is>
          <t>DEL BANCO (se hereda)</t>
        </is>
      </c>
      <c r="V451" s="11" t="inlineStr">
        <is>
          <t>9152 · INDUSTRIA Y MANUFACTURA</t>
        </is>
      </c>
      <c r="W451" s="12" t="n"/>
      <c r="X451" s="12" t="n"/>
    </row>
    <row r="452" ht="15" customHeight="1">
      <c r="C452" t="inlineStr">
        <is>
          <t>Actividad económica / giro mercantil</t>
        </is>
      </c>
      <c r="D452" t="inlineStr">
        <is>
          <t>F12</t>
        </is>
      </c>
      <c r="E452" t="inlineStr">
        <is>
          <t>INHERENTE</t>
        </is>
      </c>
      <c r="F452" t="inlineStr">
        <is>
          <t>FABRICACION DE CORBATAS</t>
        </is>
      </c>
      <c r="G452" t="n">
        <v>2416015</v>
      </c>
      <c r="H452" t="n">
        <v>1</v>
      </c>
      <c r="I452" t="n">
        <v>1</v>
      </c>
      <c r="J452" t="n">
        <v>8</v>
      </c>
      <c r="K452" t="n">
        <v>8</v>
      </c>
      <c r="L452" t="n">
        <v>8</v>
      </c>
      <c r="M452" t="n">
        <v>8</v>
      </c>
      <c r="N452" t="n">
        <v>8</v>
      </c>
      <c r="O452" t="n">
        <v>40</v>
      </c>
      <c r="P452" t="n">
        <v>8</v>
      </c>
      <c r="R452" s="9" t="n">
        <v>0.08</v>
      </c>
      <c r="S452" s="10" t="inlineStr">
        <is>
          <t>SÍ — integrante</t>
        </is>
      </c>
      <c r="T452" s="11" t="inlineStr">
        <is>
          <t>B · INTEGRANTE</t>
        </is>
      </c>
      <c r="U452" s="11" t="inlineStr">
        <is>
          <t>DEL BANCO (se hereda)</t>
        </is>
      </c>
      <c r="V452" s="11" t="inlineStr">
        <is>
          <t>9152 · INDUSTRIA Y MANUFACTURA</t>
        </is>
      </c>
      <c r="W452" s="12" t="n"/>
      <c r="X452" s="12" t="n"/>
    </row>
    <row r="453" ht="15" customHeight="1">
      <c r="C453" t="inlineStr">
        <is>
          <t>Actividad económica / giro mercantil</t>
        </is>
      </c>
      <c r="D453" t="inlineStr">
        <is>
          <t>F12</t>
        </is>
      </c>
      <c r="E453" t="inlineStr">
        <is>
          <t>INHERENTE</t>
        </is>
      </c>
      <c r="F453" t="inlineStr">
        <is>
          <t>FABRICACION DE GUANTES</t>
        </is>
      </c>
      <c r="G453" t="n">
        <v>2416023</v>
      </c>
      <c r="H453" t="n">
        <v>1</v>
      </c>
      <c r="I453" t="n">
        <v>1</v>
      </c>
      <c r="J453" t="n">
        <v>8</v>
      </c>
      <c r="K453" t="n">
        <v>8</v>
      </c>
      <c r="L453" t="n">
        <v>8</v>
      </c>
      <c r="M453" t="n">
        <v>8</v>
      </c>
      <c r="N453" t="n">
        <v>8</v>
      </c>
      <c r="O453" t="n">
        <v>40</v>
      </c>
      <c r="P453" t="n">
        <v>8</v>
      </c>
      <c r="R453" s="9" t="n">
        <v>0.08</v>
      </c>
      <c r="S453" s="10" t="inlineStr">
        <is>
          <t>SÍ — integrante</t>
        </is>
      </c>
      <c r="T453" s="11" t="inlineStr">
        <is>
          <t>B · INTEGRANTE</t>
        </is>
      </c>
      <c r="U453" s="11" t="inlineStr">
        <is>
          <t>DEL BANCO (se hereda)</t>
        </is>
      </c>
      <c r="V453" s="11" t="inlineStr">
        <is>
          <t>9152 · INDUSTRIA Y MANUFACTURA</t>
        </is>
      </c>
      <c r="W453" s="12" t="n"/>
      <c r="X453" s="12" t="n"/>
    </row>
    <row r="454" ht="15" customHeight="1">
      <c r="C454" t="inlineStr">
        <is>
          <t>Actividad económica / giro mercantil</t>
        </is>
      </c>
      <c r="D454" t="inlineStr">
        <is>
          <t>F12</t>
        </is>
      </c>
      <c r="E454" t="inlineStr">
        <is>
          <t>INHERENTE</t>
        </is>
      </c>
      <c r="F454" t="inlineStr">
        <is>
          <t>FABRICACION DE PAÑUELOS PAÑOLETAS Y MASCADAS</t>
        </is>
      </c>
      <c r="G454" t="n">
        <v>2416031</v>
      </c>
      <c r="H454" t="n">
        <v>1</v>
      </c>
      <c r="I454" t="n">
        <v>1</v>
      </c>
      <c r="J454" t="n">
        <v>8</v>
      </c>
      <c r="K454" t="n">
        <v>8</v>
      </c>
      <c r="L454" t="n">
        <v>8</v>
      </c>
      <c r="M454" t="n">
        <v>8</v>
      </c>
      <c r="N454" t="n">
        <v>8</v>
      </c>
      <c r="O454" t="n">
        <v>40</v>
      </c>
      <c r="P454" t="n">
        <v>8</v>
      </c>
      <c r="R454" s="9" t="n">
        <v>0.08</v>
      </c>
      <c r="S454" s="10" t="inlineStr">
        <is>
          <t>SÍ — integrante</t>
        </is>
      </c>
      <c r="T454" s="11" t="inlineStr">
        <is>
          <t>B · INTEGRANTE</t>
        </is>
      </c>
      <c r="U454" s="11" t="inlineStr">
        <is>
          <t>DEL BANCO (se hereda)</t>
        </is>
      </c>
      <c r="V454" s="11" t="inlineStr">
        <is>
          <t>9152 · INDUSTRIA Y MANUFACTURA</t>
        </is>
      </c>
      <c r="W454" s="12" t="n"/>
      <c r="X454" s="12" t="n"/>
    </row>
    <row r="455" ht="15" customHeight="1">
      <c r="C455" t="inlineStr">
        <is>
          <t>Actividad económica / giro mercantil</t>
        </is>
      </c>
      <c r="D455" t="inlineStr">
        <is>
          <t>F12</t>
        </is>
      </c>
      <c r="E455" t="inlineStr">
        <is>
          <t>INHERENTE</t>
        </is>
      </c>
      <c r="F455" t="inlineStr">
        <is>
          <t>FABRICACION DE CACHUCHAS Y GORRAS</t>
        </is>
      </c>
      <c r="G455" t="n">
        <v>2417013</v>
      </c>
      <c r="H455" t="n">
        <v>1</v>
      </c>
      <c r="I455" t="n">
        <v>1</v>
      </c>
      <c r="J455" t="n">
        <v>8</v>
      </c>
      <c r="K455" t="n">
        <v>8</v>
      </c>
      <c r="L455" t="n">
        <v>8</v>
      </c>
      <c r="M455" t="n">
        <v>8</v>
      </c>
      <c r="N455" t="n">
        <v>8</v>
      </c>
      <c r="O455" t="n">
        <v>40</v>
      </c>
      <c r="P455" t="n">
        <v>8</v>
      </c>
      <c r="R455" s="9" t="n">
        <v>0.08</v>
      </c>
      <c r="S455" s="10" t="inlineStr">
        <is>
          <t>SÍ — integrante</t>
        </is>
      </c>
      <c r="T455" s="11" t="inlineStr">
        <is>
          <t>B · INTEGRANTE</t>
        </is>
      </c>
      <c r="U455" s="11" t="inlineStr">
        <is>
          <t>DEL BANCO (se hereda)</t>
        </is>
      </c>
      <c r="V455" s="11" t="inlineStr">
        <is>
          <t>9152 · INDUSTRIA Y MANUFACTURA</t>
        </is>
      </c>
      <c r="W455" s="12" t="n"/>
      <c r="X455" s="12" t="n"/>
    </row>
    <row r="456" ht="15" customHeight="1">
      <c r="C456" t="inlineStr">
        <is>
          <t>Actividad económica / giro mercantil</t>
        </is>
      </c>
      <c r="D456" t="inlineStr">
        <is>
          <t>F12</t>
        </is>
      </c>
      <c r="E456" t="inlineStr">
        <is>
          <t>INHERENTE</t>
        </is>
      </c>
      <c r="F456" t="inlineStr">
        <is>
          <t>FABRICACION DE SOMBREROS EXCEPTO DE PALMA</t>
        </is>
      </c>
      <c r="G456" t="n">
        <v>2417021</v>
      </c>
      <c r="H456" t="n">
        <v>1</v>
      </c>
      <c r="I456" t="n">
        <v>1</v>
      </c>
      <c r="J456" t="n">
        <v>8</v>
      </c>
      <c r="K456" t="n">
        <v>8</v>
      </c>
      <c r="L456" t="n">
        <v>8</v>
      </c>
      <c r="M456" t="n">
        <v>8</v>
      </c>
      <c r="N456" t="n">
        <v>8</v>
      </c>
      <c r="O456" t="n">
        <v>40</v>
      </c>
      <c r="P456" t="n">
        <v>8</v>
      </c>
      <c r="R456" s="9" t="n">
        <v>0.08</v>
      </c>
      <c r="S456" s="10" t="inlineStr">
        <is>
          <t>SÍ — integrante</t>
        </is>
      </c>
      <c r="T456" s="11" t="inlineStr">
        <is>
          <t>B · INTEGRANTE</t>
        </is>
      </c>
      <c r="U456" s="11" t="inlineStr">
        <is>
          <t>DEL BANCO (se hereda)</t>
        </is>
      </c>
      <c r="V456" s="11" t="inlineStr">
        <is>
          <t>9152 · INDUSTRIA Y MANUFACTURA</t>
        </is>
      </c>
      <c r="W456" s="12" t="n"/>
      <c r="X456" s="12" t="n"/>
    </row>
    <row r="457" ht="15" customHeight="1">
      <c r="C457" t="inlineStr">
        <is>
          <t>Actividad económica / giro mercantil</t>
        </is>
      </c>
      <c r="D457" t="inlineStr">
        <is>
          <t>F12</t>
        </is>
      </c>
      <c r="E457" t="inlineStr">
        <is>
          <t>INHERENTE</t>
        </is>
      </c>
      <c r="F457" t="inlineStr">
        <is>
          <t>FABRICACION DE SOMBREROS DE PALMA</t>
        </is>
      </c>
      <c r="G457" t="n">
        <v>2418011</v>
      </c>
      <c r="H457" t="n">
        <v>1</v>
      </c>
      <c r="I457" t="n">
        <v>1</v>
      </c>
      <c r="J457" t="n">
        <v>8</v>
      </c>
      <c r="K457" t="n">
        <v>8</v>
      </c>
      <c r="L457" t="n">
        <v>8</v>
      </c>
      <c r="M457" t="n">
        <v>8</v>
      </c>
      <c r="N457" t="n">
        <v>8</v>
      </c>
      <c r="O457" t="n">
        <v>40</v>
      </c>
      <c r="P457" t="n">
        <v>8</v>
      </c>
      <c r="R457" s="9" t="n">
        <v>0.08</v>
      </c>
      <c r="S457" s="10" t="inlineStr">
        <is>
          <t>SÍ — integrante</t>
        </is>
      </c>
      <c r="T457" s="11" t="inlineStr">
        <is>
          <t>B · INTEGRANTE</t>
        </is>
      </c>
      <c r="U457" s="11" t="inlineStr">
        <is>
          <t>DEL BANCO (se hereda)</t>
        </is>
      </c>
      <c r="V457" s="11" t="inlineStr">
        <is>
          <t>9152 · INDUSTRIA Y MANUFACTURA</t>
        </is>
      </c>
      <c r="W457" s="12" t="n"/>
      <c r="X457" s="12" t="n"/>
    </row>
    <row r="458" ht="15" customHeight="1">
      <c r="C458" t="inlineStr">
        <is>
          <t>Actividad económica / giro mercantil</t>
        </is>
      </c>
      <c r="D458" t="inlineStr">
        <is>
          <t>F12</t>
        </is>
      </c>
      <c r="E458" t="inlineStr">
        <is>
          <t>INHERENTE</t>
        </is>
      </c>
      <c r="F458" t="inlineStr">
        <is>
          <t>FABRICACION DE CHAMARRAS Y ABRIGOS</t>
        </is>
      </c>
      <c r="G458" t="n">
        <v>2419019</v>
      </c>
      <c r="H458" t="n">
        <v>1</v>
      </c>
      <c r="I458" t="n">
        <v>1</v>
      </c>
      <c r="J458" t="n">
        <v>8</v>
      </c>
      <c r="K458" t="n">
        <v>8</v>
      </c>
      <c r="L458" t="n">
        <v>8</v>
      </c>
      <c r="M458" t="n">
        <v>8</v>
      </c>
      <c r="N458" t="n">
        <v>8</v>
      </c>
      <c r="O458" t="n">
        <v>40</v>
      </c>
      <c r="P458" t="n">
        <v>8</v>
      </c>
      <c r="R458" s="9" t="n">
        <v>0.08</v>
      </c>
      <c r="S458" s="10" t="inlineStr">
        <is>
          <t>SÍ — integrante</t>
        </is>
      </c>
      <c r="T458" s="11" t="inlineStr">
        <is>
          <t>B · INTEGRANTE</t>
        </is>
      </c>
      <c r="U458" s="11" t="inlineStr">
        <is>
          <t>DEL BANCO (se hereda)</t>
        </is>
      </c>
      <c r="V458" s="11" t="inlineStr">
        <is>
          <t>9152 · INDUSTRIA Y MANUFACTURA</t>
        </is>
      </c>
      <c r="W458" s="12" t="n"/>
      <c r="X458" s="12" t="n"/>
    </row>
    <row r="459" ht="15" customHeight="1">
      <c r="C459" t="inlineStr">
        <is>
          <t>Actividad económica / giro mercantil</t>
        </is>
      </c>
      <c r="D459" t="inlineStr">
        <is>
          <t>F12</t>
        </is>
      </c>
      <c r="E459" t="inlineStr">
        <is>
          <t>INHERENTE</t>
        </is>
      </c>
      <c r="F459" t="inlineStr">
        <is>
          <t>FABRICACION DE IMPERMEABLES</t>
        </is>
      </c>
      <c r="G459" t="n">
        <v>2419027</v>
      </c>
      <c r="H459" t="n">
        <v>1</v>
      </c>
      <c r="I459" t="n">
        <v>1</v>
      </c>
      <c r="J459" t="n">
        <v>8</v>
      </c>
      <c r="K459" t="n">
        <v>8</v>
      </c>
      <c r="L459" t="n">
        <v>8</v>
      </c>
      <c r="M459" t="n">
        <v>8</v>
      </c>
      <c r="N459" t="n">
        <v>8</v>
      </c>
      <c r="O459" t="n">
        <v>40</v>
      </c>
      <c r="P459" t="n">
        <v>8</v>
      </c>
      <c r="R459" s="9" t="n">
        <v>0.08</v>
      </c>
      <c r="S459" s="10" t="inlineStr">
        <is>
          <t>SÍ — integrante</t>
        </is>
      </c>
      <c r="T459" s="11" t="inlineStr">
        <is>
          <t>B · INTEGRANTE</t>
        </is>
      </c>
      <c r="U459" s="11" t="inlineStr">
        <is>
          <t>DEL BANCO (se hereda)</t>
        </is>
      </c>
      <c r="V459" s="11" t="inlineStr">
        <is>
          <t>9152 · INDUSTRIA Y MANUFACTURA</t>
        </is>
      </c>
      <c r="W459" s="12" t="n"/>
      <c r="X459" s="12" t="n"/>
    </row>
    <row r="460" ht="15" customHeight="1">
      <c r="C460" t="inlineStr">
        <is>
          <t>Actividad económica / giro mercantil</t>
        </is>
      </c>
      <c r="D460" t="inlineStr">
        <is>
          <t>F12</t>
        </is>
      </c>
      <c r="E460" t="inlineStr">
        <is>
          <t>INHERENTE</t>
        </is>
      </c>
      <c r="F460" t="inlineStr">
        <is>
          <t>FABRICACION DE TIRANTES</t>
        </is>
      </c>
      <c r="G460" t="n">
        <v>2419035</v>
      </c>
      <c r="H460" t="n">
        <v>1</v>
      </c>
      <c r="I460" t="n">
        <v>1</v>
      </c>
      <c r="J460" t="n">
        <v>8</v>
      </c>
      <c r="K460" t="n">
        <v>8</v>
      </c>
      <c r="L460" t="n">
        <v>8</v>
      </c>
      <c r="M460" t="n">
        <v>8</v>
      </c>
      <c r="N460" t="n">
        <v>8</v>
      </c>
      <c r="O460" t="n">
        <v>40</v>
      </c>
      <c r="P460" t="n">
        <v>8</v>
      </c>
      <c r="R460" s="9" t="n">
        <v>0.08</v>
      </c>
      <c r="S460" s="10" t="inlineStr">
        <is>
          <t>SÍ — integrante</t>
        </is>
      </c>
      <c r="T460" s="11" t="inlineStr">
        <is>
          <t>B · INTEGRANTE</t>
        </is>
      </c>
      <c r="U460" s="11" t="inlineStr">
        <is>
          <t>DEL BANCO (se hereda)</t>
        </is>
      </c>
      <c r="V460" s="11" t="inlineStr">
        <is>
          <t>9152 · INDUSTRIA Y MANUFACTURA</t>
        </is>
      </c>
      <c r="W460" s="12" t="n"/>
      <c r="X460" s="12" t="n"/>
    </row>
    <row r="461" ht="15" customHeight="1">
      <c r="C461" t="inlineStr">
        <is>
          <t>Actividad económica / giro mercantil</t>
        </is>
      </c>
      <c r="D461" t="inlineStr">
        <is>
          <t>F12</t>
        </is>
      </c>
      <c r="E461" t="inlineStr">
        <is>
          <t>INHERENTE</t>
        </is>
      </c>
      <c r="F461" t="inlineStr">
        <is>
          <t>FABRICACION DE MANTONES Y CHALINAS</t>
        </is>
      </c>
      <c r="G461" t="n">
        <v>2419043</v>
      </c>
      <c r="H461" t="n">
        <v>1</v>
      </c>
      <c r="I461" t="n">
        <v>1</v>
      </c>
      <c r="J461" t="n">
        <v>8</v>
      </c>
      <c r="K461" t="n">
        <v>8</v>
      </c>
      <c r="L461" t="n">
        <v>8</v>
      </c>
      <c r="M461" t="n">
        <v>8</v>
      </c>
      <c r="N461" t="n">
        <v>8</v>
      </c>
      <c r="O461" t="n">
        <v>40</v>
      </c>
      <c r="P461" t="n">
        <v>8</v>
      </c>
      <c r="R461" s="9" t="n">
        <v>0.08</v>
      </c>
      <c r="S461" s="10" t="inlineStr">
        <is>
          <t>SÍ — integrante</t>
        </is>
      </c>
      <c r="T461" s="11" t="inlineStr">
        <is>
          <t>B · INTEGRANTE</t>
        </is>
      </c>
      <c r="U461" s="11" t="inlineStr">
        <is>
          <t>DEL BANCO (se hereda)</t>
        </is>
      </c>
      <c r="V461" s="11" t="inlineStr">
        <is>
          <t>9152 · INDUSTRIA Y MANUFACTURA</t>
        </is>
      </c>
      <c r="W461" s="12" t="n"/>
      <c r="X461" s="12" t="n"/>
    </row>
    <row r="462" ht="15" customHeight="1">
      <c r="C462" t="inlineStr">
        <is>
          <t>Actividad económica / giro mercantil</t>
        </is>
      </c>
      <c r="D462" t="inlineStr">
        <is>
          <t>F12</t>
        </is>
      </c>
      <c r="E462" t="inlineStr">
        <is>
          <t>INHERENTE</t>
        </is>
      </c>
      <c r="F462" t="inlineStr">
        <is>
          <t>FABRICACION DE REBOZOS Y CINTURONES TEJIDOS DE HILO</t>
        </is>
      </c>
      <c r="G462" t="n">
        <v>2419051</v>
      </c>
      <c r="H462" t="n">
        <v>1</v>
      </c>
      <c r="I462" t="n">
        <v>1</v>
      </c>
      <c r="J462" t="n">
        <v>8</v>
      </c>
      <c r="K462" t="n">
        <v>8</v>
      </c>
      <c r="L462" t="n">
        <v>8</v>
      </c>
      <c r="M462" t="n">
        <v>8</v>
      </c>
      <c r="N462" t="n">
        <v>8</v>
      </c>
      <c r="O462" t="n">
        <v>40</v>
      </c>
      <c r="P462" t="n">
        <v>8</v>
      </c>
      <c r="R462" s="9" t="n">
        <v>0.08</v>
      </c>
      <c r="S462" s="10" t="inlineStr">
        <is>
          <t>SÍ — integrante</t>
        </is>
      </c>
      <c r="T462" s="11" t="inlineStr">
        <is>
          <t>B · INTEGRANTE</t>
        </is>
      </c>
      <c r="U462" s="11" t="inlineStr">
        <is>
          <t>DEL BANCO (se hereda)</t>
        </is>
      </c>
      <c r="V462" s="11" t="inlineStr">
        <is>
          <t>9152 · INDUSTRIA Y MANUFACTURA</t>
        </is>
      </c>
      <c r="W462" s="12" t="n"/>
      <c r="X462" s="12" t="n"/>
    </row>
    <row r="463" ht="15" customHeight="1">
      <c r="C463" t="inlineStr">
        <is>
          <t>Actividad económica / giro mercantil</t>
        </is>
      </c>
      <c r="D463" t="inlineStr">
        <is>
          <t>F12</t>
        </is>
      </c>
      <c r="E463" t="inlineStr">
        <is>
          <t>INHERENTE</t>
        </is>
      </c>
      <c r="F463" t="inlineStr">
        <is>
          <t>FABRICACION DE ROPA CON PIEL</t>
        </is>
      </c>
      <c r="G463" t="n">
        <v>2419069</v>
      </c>
      <c r="H463" t="n">
        <v>1</v>
      </c>
      <c r="I463" t="n">
        <v>1</v>
      </c>
      <c r="J463" t="n">
        <v>8</v>
      </c>
      <c r="K463" t="n">
        <v>8</v>
      </c>
      <c r="L463" t="n">
        <v>8</v>
      </c>
      <c r="M463" t="n">
        <v>8</v>
      </c>
      <c r="N463" t="n">
        <v>8</v>
      </c>
      <c r="O463" t="n">
        <v>40</v>
      </c>
      <c r="P463" t="n">
        <v>8</v>
      </c>
      <c r="R463" s="9" t="n">
        <v>0.08</v>
      </c>
      <c r="S463" s="10" t="inlineStr">
        <is>
          <t>SÍ — integrante</t>
        </is>
      </c>
      <c r="T463" s="11" t="inlineStr">
        <is>
          <t>B · INTEGRANTE</t>
        </is>
      </c>
      <c r="U463" s="11" t="inlineStr">
        <is>
          <t>DEL BANCO (se hereda)</t>
        </is>
      </c>
      <c r="V463" s="11" t="inlineStr">
        <is>
          <t>9152 · INDUSTRIA Y MANUFACTURA</t>
        </is>
      </c>
      <c r="W463" s="12" t="n"/>
      <c r="X463" s="12" t="n"/>
    </row>
    <row r="464" ht="15" customHeight="1">
      <c r="C464" t="inlineStr">
        <is>
          <t>Actividad económica / giro mercantil</t>
        </is>
      </c>
      <c r="D464" t="inlineStr">
        <is>
          <t>F12</t>
        </is>
      </c>
      <c r="E464" t="inlineStr">
        <is>
          <t>INHERENTE</t>
        </is>
      </c>
      <c r="F464" t="inlineStr">
        <is>
          <t>FABRICACION DE CORSETERIA Y ROPA INTERIOR PARA DAMA</t>
        </is>
      </c>
      <c r="G464" t="n">
        <v>2421014</v>
      </c>
      <c r="H464" t="n">
        <v>1</v>
      </c>
      <c r="I464" t="n">
        <v>1</v>
      </c>
      <c r="J464" t="n">
        <v>8</v>
      </c>
      <c r="K464" t="n">
        <v>8</v>
      </c>
      <c r="L464" t="n">
        <v>8</v>
      </c>
      <c r="M464" t="n">
        <v>8</v>
      </c>
      <c r="N464" t="n">
        <v>8</v>
      </c>
      <c r="O464" t="n">
        <v>40</v>
      </c>
      <c r="P464" t="n">
        <v>8</v>
      </c>
      <c r="R464" s="9" t="n">
        <v>0.08</v>
      </c>
      <c r="S464" s="10" t="inlineStr">
        <is>
          <t>SÍ — integrante</t>
        </is>
      </c>
      <c r="T464" s="11" t="inlineStr">
        <is>
          <t>B · INTEGRANTE</t>
        </is>
      </c>
      <c r="U464" s="11" t="inlineStr">
        <is>
          <t>DEL BANCO (se hereda)</t>
        </is>
      </c>
      <c r="V464" s="11" t="inlineStr">
        <is>
          <t>9152 · INDUSTRIA Y MANUFACTURA</t>
        </is>
      </c>
      <c r="W464" s="12" t="n"/>
      <c r="X464" s="12" t="n"/>
    </row>
    <row r="465" ht="15" customHeight="1">
      <c r="C465" t="inlineStr">
        <is>
          <t>Actividad económica / giro mercantil</t>
        </is>
      </c>
      <c r="D465" t="inlineStr">
        <is>
          <t>F12</t>
        </is>
      </c>
      <c r="E465" t="inlineStr">
        <is>
          <t>INHERENTE</t>
        </is>
      </c>
      <c r="F465" t="inlineStr">
        <is>
          <t>FABRICACION DE ROPA INTERIOR PARA CABALLERO</t>
        </is>
      </c>
      <c r="G465" t="n">
        <v>2429018</v>
      </c>
      <c r="H465" t="n">
        <v>1</v>
      </c>
      <c r="I465" t="n">
        <v>1</v>
      </c>
      <c r="J465" t="n">
        <v>8</v>
      </c>
      <c r="K465" t="n">
        <v>8</v>
      </c>
      <c r="L465" t="n">
        <v>8</v>
      </c>
      <c r="M465" t="n">
        <v>8</v>
      </c>
      <c r="N465" t="n">
        <v>8</v>
      </c>
      <c r="O465" t="n">
        <v>40</v>
      </c>
      <c r="P465" t="n">
        <v>8</v>
      </c>
      <c r="R465" s="9" t="n">
        <v>0.08</v>
      </c>
      <c r="S465" s="10" t="inlineStr">
        <is>
          <t>SÍ — integrante</t>
        </is>
      </c>
      <c r="T465" s="11" t="inlineStr">
        <is>
          <t>B · INTEGRANTE</t>
        </is>
      </c>
      <c r="U465" s="11" t="inlineStr">
        <is>
          <t>DEL BANCO (se hereda)</t>
        </is>
      </c>
      <c r="V465" s="11" t="inlineStr">
        <is>
          <t>9152 · INDUSTRIA Y MANUFACTURA</t>
        </is>
      </c>
      <c r="W465" s="12" t="n"/>
      <c r="X465" s="12" t="n"/>
    </row>
    <row r="466" ht="15" customHeight="1">
      <c r="C466" t="inlineStr">
        <is>
          <t>Actividad económica / giro mercantil</t>
        </is>
      </c>
      <c r="D466" t="inlineStr">
        <is>
          <t>F12</t>
        </is>
      </c>
      <c r="E466" t="inlineStr">
        <is>
          <t>INHERENTE</t>
        </is>
      </c>
      <c r="F466" t="inlineStr">
        <is>
          <t>FABRICACION DE SABANAS</t>
        </is>
      </c>
      <c r="G466" t="n">
        <v>2431013</v>
      </c>
      <c r="H466" t="n">
        <v>1</v>
      </c>
      <c r="I466" t="n">
        <v>1</v>
      </c>
      <c r="J466" t="n">
        <v>8</v>
      </c>
      <c r="K466" t="n">
        <v>8</v>
      </c>
      <c r="L466" t="n">
        <v>8</v>
      </c>
      <c r="M466" t="n">
        <v>8</v>
      </c>
      <c r="N466" t="n">
        <v>8</v>
      </c>
      <c r="O466" t="n">
        <v>40</v>
      </c>
      <c r="P466" t="n">
        <v>8</v>
      </c>
      <c r="R466" s="9" t="n">
        <v>0.08</v>
      </c>
      <c r="S466" s="10" t="inlineStr">
        <is>
          <t>SÍ — integrante</t>
        </is>
      </c>
      <c r="T466" s="11" t="inlineStr">
        <is>
          <t>B · INTEGRANTE</t>
        </is>
      </c>
      <c r="U466" s="11" t="inlineStr">
        <is>
          <t>DEL BANCO (se hereda)</t>
        </is>
      </c>
      <c r="V466" s="11" t="inlineStr">
        <is>
          <t>9152 · INDUSTRIA Y MANUFACTURA</t>
        </is>
      </c>
      <c r="W466" s="12" t="n"/>
      <c r="X466" s="12" t="n"/>
    </row>
    <row r="467" ht="15" customHeight="1">
      <c r="C467" t="inlineStr">
        <is>
          <t>Actividad económica / giro mercantil</t>
        </is>
      </c>
      <c r="D467" t="inlineStr">
        <is>
          <t>F12</t>
        </is>
      </c>
      <c r="E467" t="inlineStr">
        <is>
          <t>INHERENTE</t>
        </is>
      </c>
      <c r="F467" t="inlineStr">
        <is>
          <t>FABRICACION DE CORTINAS DE TELA Y MANTELERIA</t>
        </is>
      </c>
      <c r="G467" t="n">
        <v>2431021</v>
      </c>
      <c r="H467" t="n">
        <v>1</v>
      </c>
      <c r="I467" t="n">
        <v>1</v>
      </c>
      <c r="J467" t="n">
        <v>8</v>
      </c>
      <c r="K467" t="n">
        <v>8</v>
      </c>
      <c r="L467" t="n">
        <v>8</v>
      </c>
      <c r="M467" t="n">
        <v>8</v>
      </c>
      <c r="N467" t="n">
        <v>8</v>
      </c>
      <c r="O467" t="n">
        <v>40</v>
      </c>
      <c r="P467" t="n">
        <v>8</v>
      </c>
      <c r="R467" s="9" t="n">
        <v>0.08</v>
      </c>
      <c r="S467" s="10" t="inlineStr">
        <is>
          <t>SÍ — integrante</t>
        </is>
      </c>
      <c r="T467" s="11" t="inlineStr">
        <is>
          <t>B · INTEGRANTE</t>
        </is>
      </c>
      <c r="U467" s="11" t="inlineStr">
        <is>
          <t>DEL BANCO (se hereda)</t>
        </is>
      </c>
      <c r="V467" s="11" t="inlineStr">
        <is>
          <t>9152 · INDUSTRIA Y MANUFACTURA</t>
        </is>
      </c>
      <c r="W467" s="12" t="n"/>
      <c r="X467" s="12" t="n"/>
    </row>
    <row r="468" ht="15" customHeight="1">
      <c r="C468" t="inlineStr">
        <is>
          <t>Actividad económica / giro mercantil</t>
        </is>
      </c>
      <c r="D468" t="inlineStr">
        <is>
          <t>F12</t>
        </is>
      </c>
      <c r="E468" t="inlineStr">
        <is>
          <t>INHERENTE</t>
        </is>
      </c>
      <c r="F468" t="inlineStr">
        <is>
          <t>FABRICACION DE CUBRE ASIENTOS PARA VEHICULOS</t>
        </is>
      </c>
      <c r="G468" t="n">
        <v>2432011</v>
      </c>
      <c r="H468" t="n">
        <v>1</v>
      </c>
      <c r="I468" t="n">
        <v>1</v>
      </c>
      <c r="J468" t="n">
        <v>8</v>
      </c>
      <c r="K468" t="n">
        <v>8</v>
      </c>
      <c r="L468" t="n">
        <v>8</v>
      </c>
      <c r="M468" t="n">
        <v>8</v>
      </c>
      <c r="N468" t="n">
        <v>8</v>
      </c>
      <c r="O468" t="n">
        <v>40</v>
      </c>
      <c r="P468" t="n">
        <v>8</v>
      </c>
      <c r="R468" s="9" t="n">
        <v>0.08</v>
      </c>
      <c r="S468" s="10" t="inlineStr">
        <is>
          <t>SÍ — integrante</t>
        </is>
      </c>
      <c r="T468" s="11" t="inlineStr">
        <is>
          <t>B · INTEGRANTE</t>
        </is>
      </c>
      <c r="U468" s="11" t="inlineStr">
        <is>
          <t>DEL BANCO (se hereda)</t>
        </is>
      </c>
      <c r="V468" s="11" t="inlineStr">
        <is>
          <t>9152 · INDUSTRIA Y MANUFACTURA</t>
        </is>
      </c>
      <c r="W468" s="12" t="n"/>
      <c r="X468" s="12" t="n"/>
    </row>
    <row r="469" ht="15" customHeight="1">
      <c r="C469" t="inlineStr">
        <is>
          <t>Actividad económica / giro mercantil</t>
        </is>
      </c>
      <c r="D469" t="inlineStr">
        <is>
          <t>F12</t>
        </is>
      </c>
      <c r="E469" t="inlineStr">
        <is>
          <t>INHERENTE</t>
        </is>
      </c>
      <c r="F469" t="inlineStr">
        <is>
          <t>FABRICACION DE TAPICES PLASTICOS</t>
        </is>
      </c>
      <c r="G469" t="n">
        <v>2432029</v>
      </c>
      <c r="H469" t="n">
        <v>1</v>
      </c>
      <c r="I469" t="n">
        <v>1</v>
      </c>
      <c r="J469" t="n">
        <v>8</v>
      </c>
      <c r="K469" t="n">
        <v>8</v>
      </c>
      <c r="L469" t="n">
        <v>8</v>
      </c>
      <c r="M469" t="n">
        <v>8</v>
      </c>
      <c r="N469" t="n">
        <v>8</v>
      </c>
      <c r="O469" t="n">
        <v>40</v>
      </c>
      <c r="P469" t="n">
        <v>8</v>
      </c>
      <c r="R469" s="9" t="n">
        <v>0.08</v>
      </c>
      <c r="S469" s="10" t="inlineStr">
        <is>
          <t>SÍ — integrante</t>
        </is>
      </c>
      <c r="T469" s="11" t="inlineStr">
        <is>
          <t>B · INTEGRANTE</t>
        </is>
      </c>
      <c r="U469" s="11" t="inlineStr">
        <is>
          <t>DEL BANCO (se hereda)</t>
        </is>
      </c>
      <c r="V469" s="11" t="inlineStr">
        <is>
          <t>9152 · INDUSTRIA Y MANUFACTURA</t>
        </is>
      </c>
      <c r="W469" s="12" t="n"/>
      <c r="X469" s="12" t="n"/>
    </row>
    <row r="470" ht="15" customHeight="1">
      <c r="C470" t="inlineStr">
        <is>
          <t>Actividad económica / giro mercantil</t>
        </is>
      </c>
      <c r="D470" t="inlineStr">
        <is>
          <t>F12</t>
        </is>
      </c>
      <c r="E470" t="inlineStr">
        <is>
          <t>INHERENTE</t>
        </is>
      </c>
      <c r="F470" t="inlineStr">
        <is>
          <t>FABRICACION DE ALGODON ABSORBENTE VENDAS TELA ADHESIVA Y PRODUCTOS SIMILARES</t>
        </is>
      </c>
      <c r="G470" t="n">
        <v>2433019</v>
      </c>
      <c r="H470" t="n">
        <v>1</v>
      </c>
      <c r="I470" t="n">
        <v>1</v>
      </c>
      <c r="J470" t="n">
        <v>8</v>
      </c>
      <c r="K470" t="n">
        <v>8</v>
      </c>
      <c r="L470" t="n">
        <v>8</v>
      </c>
      <c r="M470" t="n">
        <v>8</v>
      </c>
      <c r="N470" t="n">
        <v>8</v>
      </c>
      <c r="O470" t="n">
        <v>40</v>
      </c>
      <c r="P470" t="n">
        <v>8</v>
      </c>
      <c r="R470" s="9" t="n">
        <v>0.08</v>
      </c>
      <c r="S470" s="10" t="inlineStr">
        <is>
          <t>SÍ — integrante</t>
        </is>
      </c>
      <c r="T470" s="11" t="inlineStr">
        <is>
          <t>B · INTEGRANTE</t>
        </is>
      </c>
      <c r="U470" s="11" t="inlineStr">
        <is>
          <t>DEL BANCO (se hereda)</t>
        </is>
      </c>
      <c r="V470" s="11" t="inlineStr">
        <is>
          <t>9152 · INDUSTRIA Y MANUFACTURA</t>
        </is>
      </c>
      <c r="W470" s="12" t="n"/>
      <c r="X470" s="12" t="n"/>
    </row>
    <row r="471" ht="15" customHeight="1">
      <c r="C471" t="inlineStr">
        <is>
          <t>Actividad económica / giro mercantil</t>
        </is>
      </c>
      <c r="D471" t="inlineStr">
        <is>
          <t>F12</t>
        </is>
      </c>
      <c r="E471" t="inlineStr">
        <is>
          <t>INHERENTE</t>
        </is>
      </c>
      <c r="F471" t="inlineStr">
        <is>
          <t>FABRICACION DE ARTICULOS BORDADOS Y DESHILADOS</t>
        </is>
      </c>
      <c r="G471" t="n">
        <v>2434017</v>
      </c>
      <c r="H471" t="n">
        <v>1</v>
      </c>
      <c r="I471" t="n">
        <v>1</v>
      </c>
      <c r="J471" t="n">
        <v>8</v>
      </c>
      <c r="K471" t="n">
        <v>8</v>
      </c>
      <c r="L471" t="n">
        <v>8</v>
      </c>
      <c r="M471" t="n">
        <v>8</v>
      </c>
      <c r="N471" t="n">
        <v>8</v>
      </c>
      <c r="O471" t="n">
        <v>40</v>
      </c>
      <c r="P471" t="n">
        <v>8</v>
      </c>
      <c r="R471" s="9" t="n">
        <v>0.08</v>
      </c>
      <c r="S471" s="10" t="inlineStr">
        <is>
          <t>SÍ — integrante</t>
        </is>
      </c>
      <c r="T471" s="11" t="inlineStr">
        <is>
          <t>B · INTEGRANTE</t>
        </is>
      </c>
      <c r="U471" s="11" t="inlineStr">
        <is>
          <t>DEL BANCO (se hereda)</t>
        </is>
      </c>
      <c r="V471" s="11" t="inlineStr">
        <is>
          <t>9152 · INDUSTRIA Y MANUFACTURA</t>
        </is>
      </c>
      <c r="W471" s="12" t="n"/>
      <c r="X471" s="12" t="n"/>
    </row>
    <row r="472" ht="15" customHeight="1">
      <c r="C472" t="inlineStr">
        <is>
          <t>Actividad económica / giro mercantil</t>
        </is>
      </c>
      <c r="D472" t="inlineStr">
        <is>
          <t>F12</t>
        </is>
      </c>
      <c r="E472" t="inlineStr">
        <is>
          <t>INHERENTE</t>
        </is>
      </c>
      <c r="F472" t="inlineStr">
        <is>
          <t>FORRADO DE BOTONES Y HEBILLAS</t>
        </is>
      </c>
      <c r="G472" t="n">
        <v>2434025</v>
      </c>
      <c r="H472" t="n">
        <v>1</v>
      </c>
      <c r="I472" t="n">
        <v>1</v>
      </c>
      <c r="J472" t="n">
        <v>8</v>
      </c>
      <c r="K472" t="n">
        <v>8</v>
      </c>
      <c r="L472" t="n">
        <v>8</v>
      </c>
      <c r="M472" t="n">
        <v>8</v>
      </c>
      <c r="N472" t="n">
        <v>8</v>
      </c>
      <c r="O472" t="n">
        <v>40</v>
      </c>
      <c r="P472" t="n">
        <v>8</v>
      </c>
      <c r="R472" s="9" t="n">
        <v>0.08</v>
      </c>
      <c r="S472" s="10" t="inlineStr">
        <is>
          <t>SÍ — integrante</t>
        </is>
      </c>
      <c r="T472" s="11" t="inlineStr">
        <is>
          <t>B · INTEGRANTE</t>
        </is>
      </c>
      <c r="U472" s="11" t="inlineStr">
        <is>
          <t>DEL BANCO (se hereda)</t>
        </is>
      </c>
      <c r="V472" s="11" t="inlineStr">
        <is>
          <t>9154 · OTRAS ACTIVIDADES NO CLASIFICADAS</t>
        </is>
      </c>
      <c r="W472" s="12" t="n"/>
      <c r="X472" s="12" t="n"/>
    </row>
    <row r="473" ht="15" customHeight="1">
      <c r="C473" t="inlineStr">
        <is>
          <t>Actividad económica / giro mercantil</t>
        </is>
      </c>
      <c r="D473" t="inlineStr">
        <is>
          <t>F12</t>
        </is>
      </c>
      <c r="E473" t="inlineStr">
        <is>
          <t>INHERENTE</t>
        </is>
      </c>
      <c r="F473" t="inlineStr">
        <is>
          <t>FABRICACION DE BANDERAS Y ADORNOS DE TELA</t>
        </is>
      </c>
      <c r="G473" t="n">
        <v>2439017</v>
      </c>
      <c r="H473" t="n">
        <v>1</v>
      </c>
      <c r="I473" t="n">
        <v>1</v>
      </c>
      <c r="J473" t="n">
        <v>8</v>
      </c>
      <c r="K473" t="n">
        <v>8</v>
      </c>
      <c r="L473" t="n">
        <v>8</v>
      </c>
      <c r="M473" t="n">
        <v>8</v>
      </c>
      <c r="N473" t="n">
        <v>8</v>
      </c>
      <c r="O473" t="n">
        <v>40</v>
      </c>
      <c r="P473" t="n">
        <v>8</v>
      </c>
      <c r="R473" s="9" t="n">
        <v>0.08</v>
      </c>
      <c r="S473" s="10" t="inlineStr">
        <is>
          <t>SÍ — integrante</t>
        </is>
      </c>
      <c r="T473" s="11" t="inlineStr">
        <is>
          <t>B · INTEGRANTE</t>
        </is>
      </c>
      <c r="U473" s="11" t="inlineStr">
        <is>
          <t>DEL BANCO (se hereda)</t>
        </is>
      </c>
      <c r="V473" s="11" t="inlineStr">
        <is>
          <t>9152 · INDUSTRIA Y MANUFACTURA</t>
        </is>
      </c>
      <c r="W473" s="12" t="n"/>
      <c r="X473" s="12" t="n"/>
    </row>
    <row r="474" ht="15" customHeight="1">
      <c r="C474" t="inlineStr">
        <is>
          <t>Actividad económica / giro mercantil</t>
        </is>
      </c>
      <c r="D474" t="inlineStr">
        <is>
          <t>F12</t>
        </is>
      </c>
      <c r="E474" t="inlineStr">
        <is>
          <t>INHERENTE</t>
        </is>
      </c>
      <c r="F474" t="inlineStr">
        <is>
          <t>FABRICACION DE COSTALES</t>
        </is>
      </c>
      <c r="G474" t="n">
        <v>2439025</v>
      </c>
      <c r="H474" t="n">
        <v>1</v>
      </c>
      <c r="I474" t="n">
        <v>1</v>
      </c>
      <c r="J474" t="n">
        <v>8</v>
      </c>
      <c r="K474" t="n">
        <v>8</v>
      </c>
      <c r="L474" t="n">
        <v>8</v>
      </c>
      <c r="M474" t="n">
        <v>8</v>
      </c>
      <c r="N474" t="n">
        <v>8</v>
      </c>
      <c r="O474" t="n">
        <v>40</v>
      </c>
      <c r="P474" t="n">
        <v>8</v>
      </c>
      <c r="R474" s="9" t="n">
        <v>0.08</v>
      </c>
      <c r="S474" s="10" t="inlineStr">
        <is>
          <t>SÍ — integrante</t>
        </is>
      </c>
      <c r="T474" s="11" t="inlineStr">
        <is>
          <t>B · INTEGRANTE</t>
        </is>
      </c>
      <c r="U474" s="11" t="inlineStr">
        <is>
          <t>DEL BANCO (se hereda)</t>
        </is>
      </c>
      <c r="V474" s="11" t="inlineStr">
        <is>
          <t>9152 · INDUSTRIA Y MANUFACTURA</t>
        </is>
      </c>
      <c r="W474" s="12" t="n"/>
      <c r="X474" s="12" t="n"/>
    </row>
    <row r="475" ht="15" customHeight="1">
      <c r="C475" t="inlineStr">
        <is>
          <t>Actividad económica / giro mercantil</t>
        </is>
      </c>
      <c r="D475" t="inlineStr">
        <is>
          <t>F12</t>
        </is>
      </c>
      <c r="E475" t="inlineStr">
        <is>
          <t>INHERENTE</t>
        </is>
      </c>
      <c r="F475" t="inlineStr">
        <is>
          <t>FABRICACIÓN DE CALZADO E INDUSTRIA DEL CUERO</t>
        </is>
      </c>
      <c r="G475" t="n">
        <v>2500008</v>
      </c>
      <c r="H475" t="n">
        <v>2</v>
      </c>
      <c r="I475" t="n">
        <v>2</v>
      </c>
      <c r="J475" t="n">
        <v>8</v>
      </c>
      <c r="K475" t="n">
        <v>16</v>
      </c>
      <c r="L475" t="n">
        <v>16</v>
      </c>
      <c r="M475" t="n">
        <v>16</v>
      </c>
      <c r="N475" t="n">
        <v>16</v>
      </c>
      <c r="O475" t="n">
        <v>40</v>
      </c>
      <c r="P475" t="n">
        <v>8</v>
      </c>
      <c r="R475" s="9" t="n">
        <v>0.08</v>
      </c>
      <c r="S475" s="10" t="inlineStr">
        <is>
          <t>SÍ — integrante</t>
        </is>
      </c>
      <c r="T475" s="11" t="inlineStr">
        <is>
          <t>B · INTEGRANTE</t>
        </is>
      </c>
      <c r="U475" s="11" t="inlineStr">
        <is>
          <t>DEL BANCO (se hereda)</t>
        </is>
      </c>
      <c r="V475" s="11" t="inlineStr">
        <is>
          <t>9152 · INDUSTRIA Y MANUFACTURA</t>
        </is>
      </c>
      <c r="W475" s="12" t="n"/>
      <c r="X475" s="12" t="n"/>
    </row>
    <row r="476" ht="15" customHeight="1">
      <c r="C476" t="inlineStr">
        <is>
          <t>Actividad económica / giro mercantil</t>
        </is>
      </c>
      <c r="D476" t="inlineStr">
        <is>
          <t>F12</t>
        </is>
      </c>
      <c r="E476" t="inlineStr">
        <is>
          <t>INHERENTE</t>
        </is>
      </c>
      <c r="F476" t="inlineStr">
        <is>
          <t>FABRICACION DE CALZADO PARA DEPORTE EXCEPTO DE PLASTICO Y HULE</t>
        </is>
      </c>
      <c r="G476" t="n">
        <v>2511013</v>
      </c>
      <c r="H476" t="n">
        <v>1</v>
      </c>
      <c r="I476" t="n">
        <v>1</v>
      </c>
      <c r="J476" t="n">
        <v>8</v>
      </c>
      <c r="K476" t="n">
        <v>8</v>
      </c>
      <c r="L476" t="n">
        <v>8</v>
      </c>
      <c r="M476" t="n">
        <v>8</v>
      </c>
      <c r="N476" t="n">
        <v>8</v>
      </c>
      <c r="O476" t="n">
        <v>40</v>
      </c>
      <c r="P476" t="n">
        <v>8</v>
      </c>
      <c r="R476" s="9" t="n">
        <v>0.08</v>
      </c>
      <c r="S476" s="10" t="inlineStr">
        <is>
          <t>SÍ — integrante</t>
        </is>
      </c>
      <c r="T476" s="11" t="inlineStr">
        <is>
          <t>B · INTEGRANTE</t>
        </is>
      </c>
      <c r="U476" s="11" t="inlineStr">
        <is>
          <t>DEL BANCO (se hereda)</t>
        </is>
      </c>
      <c r="V476" s="11" t="inlineStr">
        <is>
          <t>9151 · SECTOR PRIMARIO (agropecuario, pesca, forestal, minería)</t>
        </is>
      </c>
      <c r="W476" s="12" t="n"/>
      <c r="X476" s="12" t="n"/>
    </row>
    <row r="477" ht="15" customHeight="1">
      <c r="C477" t="inlineStr">
        <is>
          <t>Actividad económica / giro mercantil</t>
        </is>
      </c>
      <c r="D477" t="inlineStr">
        <is>
          <t>F12</t>
        </is>
      </c>
      <c r="E477" t="inlineStr">
        <is>
          <t>INHERENTE</t>
        </is>
      </c>
      <c r="F477" t="inlineStr">
        <is>
          <t>FABRICACION DE ALPARGATAS BABUCHAS Y PANTUFLAS</t>
        </is>
      </c>
      <c r="G477" t="n">
        <v>2512011</v>
      </c>
      <c r="H477" t="n">
        <v>1</v>
      </c>
      <c r="I477" t="n">
        <v>1</v>
      </c>
      <c r="J477" t="n">
        <v>8</v>
      </c>
      <c r="K477" t="n">
        <v>8</v>
      </c>
      <c r="L477" t="n">
        <v>8</v>
      </c>
      <c r="M477" t="n">
        <v>8</v>
      </c>
      <c r="N477" t="n">
        <v>8</v>
      </c>
      <c r="O477" t="n">
        <v>40</v>
      </c>
      <c r="P477" t="n">
        <v>8</v>
      </c>
      <c r="R477" s="9" t="n">
        <v>0.08</v>
      </c>
      <c r="S477" s="10" t="inlineStr">
        <is>
          <t>SÍ — integrante</t>
        </is>
      </c>
      <c r="T477" s="11" t="inlineStr">
        <is>
          <t>B · INTEGRANTE</t>
        </is>
      </c>
      <c r="U477" s="11" t="inlineStr">
        <is>
          <t>DEL BANCO (se hereda)</t>
        </is>
      </c>
      <c r="V477" s="11" t="inlineStr">
        <is>
          <t>9152 · INDUSTRIA Y MANUFACTURA</t>
        </is>
      </c>
      <c r="W477" s="12" t="n"/>
      <c r="X477" s="12" t="n"/>
    </row>
    <row r="478" ht="15" customHeight="1">
      <c r="C478" t="inlineStr">
        <is>
          <t>Actividad económica / giro mercantil</t>
        </is>
      </c>
      <c r="D478" t="inlineStr">
        <is>
          <t>F12</t>
        </is>
      </c>
      <c r="E478" t="inlineStr">
        <is>
          <t>INHERENTE</t>
        </is>
      </c>
      <c r="F478" t="inlineStr">
        <is>
          <t>FABRICACION DE GUARACHES Y SANDALIAS</t>
        </is>
      </c>
      <c r="G478" t="n">
        <v>2512029</v>
      </c>
      <c r="H478" t="n">
        <v>1</v>
      </c>
      <c r="I478" t="n">
        <v>1</v>
      </c>
      <c r="J478" t="n">
        <v>8</v>
      </c>
      <c r="K478" t="n">
        <v>8</v>
      </c>
      <c r="L478" t="n">
        <v>8</v>
      </c>
      <c r="M478" t="n">
        <v>8</v>
      </c>
      <c r="N478" t="n">
        <v>8</v>
      </c>
      <c r="O478" t="n">
        <v>40</v>
      </c>
      <c r="P478" t="n">
        <v>8</v>
      </c>
      <c r="R478" s="9" t="n">
        <v>0.08</v>
      </c>
      <c r="S478" s="10" t="inlineStr">
        <is>
          <t>SÍ — integrante</t>
        </is>
      </c>
      <c r="T478" s="11" t="inlineStr">
        <is>
          <t>B · INTEGRANTE</t>
        </is>
      </c>
      <c r="U478" s="11" t="inlineStr">
        <is>
          <t>DEL BANCO (se hereda)</t>
        </is>
      </c>
      <c r="V478" s="11" t="inlineStr">
        <is>
          <t>9152 · INDUSTRIA Y MANUFACTURA</t>
        </is>
      </c>
      <c r="W478" s="12" t="n"/>
      <c r="X478" s="12" t="n"/>
    </row>
    <row r="479" ht="15" customHeight="1">
      <c r="C479" t="inlineStr">
        <is>
          <t>Actividad económica / giro mercantil</t>
        </is>
      </c>
      <c r="D479" t="inlineStr">
        <is>
          <t>F12</t>
        </is>
      </c>
      <c r="E479" t="inlineStr">
        <is>
          <t>INHERENTE</t>
        </is>
      </c>
      <c r="F479" t="inlineStr">
        <is>
          <t>FABRICACION DE CALZADO DE CUERO O PIEL</t>
        </is>
      </c>
      <c r="G479" t="n">
        <v>2519017</v>
      </c>
      <c r="H479" t="n">
        <v>1</v>
      </c>
      <c r="I479" t="n">
        <v>1</v>
      </c>
      <c r="J479" t="n">
        <v>8</v>
      </c>
      <c r="K479" t="n">
        <v>8</v>
      </c>
      <c r="L479" t="n">
        <v>8</v>
      </c>
      <c r="M479" t="n">
        <v>8</v>
      </c>
      <c r="N479" t="n">
        <v>8</v>
      </c>
      <c r="O479" t="n">
        <v>40</v>
      </c>
      <c r="P479" t="n">
        <v>8</v>
      </c>
      <c r="R479" s="9" t="n">
        <v>0.08</v>
      </c>
      <c r="S479" s="10" t="inlineStr">
        <is>
          <t>SÍ — integrante</t>
        </is>
      </c>
      <c r="T479" s="11" t="inlineStr">
        <is>
          <t>B · INTEGRANTE</t>
        </is>
      </c>
      <c r="U479" s="11" t="inlineStr">
        <is>
          <t>DEL BANCO (se hereda)</t>
        </is>
      </c>
      <c r="V479" s="11" t="inlineStr">
        <is>
          <t>9152 · INDUSTRIA Y MANUFACTURA</t>
        </is>
      </c>
      <c r="W479" s="12" t="n"/>
      <c r="X479" s="12" t="n"/>
    </row>
    <row r="480" ht="15" customHeight="1">
      <c r="C480" t="inlineStr">
        <is>
          <t>Actividad económica / giro mercantil</t>
        </is>
      </c>
      <c r="D480" t="inlineStr">
        <is>
          <t>F12</t>
        </is>
      </c>
      <c r="E480" t="inlineStr">
        <is>
          <t>INHERENTE</t>
        </is>
      </c>
      <c r="F480" t="inlineStr">
        <is>
          <t>CURTIDURIA</t>
        </is>
      </c>
      <c r="G480" t="n">
        <v>2521012</v>
      </c>
      <c r="H480" t="n">
        <v>1</v>
      </c>
      <c r="I480" t="n">
        <v>1</v>
      </c>
      <c r="J480" t="n">
        <v>8</v>
      </c>
      <c r="K480" t="n">
        <v>8</v>
      </c>
      <c r="L480" t="n">
        <v>8</v>
      </c>
      <c r="M480" t="n">
        <v>8</v>
      </c>
      <c r="N480" t="n">
        <v>8</v>
      </c>
      <c r="O480" t="n">
        <v>40</v>
      </c>
      <c r="P480" t="n">
        <v>8</v>
      </c>
      <c r="R480" s="9" t="n">
        <v>0.08</v>
      </c>
      <c r="S480" s="10" t="inlineStr">
        <is>
          <t>SÍ — integrante</t>
        </is>
      </c>
      <c r="T480" s="11" t="inlineStr">
        <is>
          <t>B · INTEGRANTE</t>
        </is>
      </c>
      <c r="U480" s="11" t="inlineStr">
        <is>
          <t>DEL BANCO (se hereda)</t>
        </is>
      </c>
      <c r="V480" s="11" t="inlineStr">
        <is>
          <t>9152 · INDUSTRIA Y MANUFACTURA</t>
        </is>
      </c>
      <c r="W480" s="12" t="n"/>
      <c r="X480" s="12" t="n"/>
    </row>
    <row r="481" ht="15" customHeight="1">
      <c r="C481" t="inlineStr">
        <is>
          <t>Actividad económica / giro mercantil</t>
        </is>
      </c>
      <c r="D481" t="inlineStr">
        <is>
          <t>F12</t>
        </is>
      </c>
      <c r="E481" t="inlineStr">
        <is>
          <t>INHERENTE</t>
        </is>
      </c>
      <c r="F481" t="inlineStr">
        <is>
          <t>PREPARACION DE VISCERAS PARA INDUSTRIAS NO ALIMENTICIAS</t>
        </is>
      </c>
      <c r="G481" t="n">
        <v>2521020</v>
      </c>
      <c r="H481" t="n">
        <v>1</v>
      </c>
      <c r="I481" t="n">
        <v>1</v>
      </c>
      <c r="J481" t="n">
        <v>8</v>
      </c>
      <c r="K481" t="n">
        <v>8</v>
      </c>
      <c r="L481" t="n">
        <v>8</v>
      </c>
      <c r="M481" t="n">
        <v>8</v>
      </c>
      <c r="N481" t="n">
        <v>8</v>
      </c>
      <c r="O481" t="n">
        <v>40</v>
      </c>
      <c r="P481" t="n">
        <v>8</v>
      </c>
      <c r="R481" s="9" t="n">
        <v>0.08</v>
      </c>
      <c r="S481" s="10" t="inlineStr">
        <is>
          <t>SÍ — integrante</t>
        </is>
      </c>
      <c r="T481" s="11" t="inlineStr">
        <is>
          <t>B · INTEGRANTE</t>
        </is>
      </c>
      <c r="U481" s="11" t="inlineStr">
        <is>
          <t>DEL BANCO (se hereda)</t>
        </is>
      </c>
      <c r="V481" s="11" t="inlineStr">
        <is>
          <t>9152 · INDUSTRIA Y MANUFACTURA</t>
        </is>
      </c>
      <c r="W481" s="12" t="n"/>
      <c r="X481" s="12" t="n"/>
    </row>
    <row r="482" ht="15" customHeight="1">
      <c r="C482" t="inlineStr">
        <is>
          <t>Actividad económica / giro mercantil</t>
        </is>
      </c>
      <c r="D482" t="inlineStr">
        <is>
          <t>F12</t>
        </is>
      </c>
      <c r="E482" t="inlineStr">
        <is>
          <t>INHERENTE</t>
        </is>
      </c>
      <c r="F482" t="inlineStr">
        <is>
          <t>FABRICACION DE CEPILLOS Y PLUMEROS</t>
        </is>
      </c>
      <c r="G482" t="n">
        <v>2529016</v>
      </c>
      <c r="H482" t="n">
        <v>1</v>
      </c>
      <c r="I482" t="n">
        <v>1</v>
      </c>
      <c r="J482" t="n">
        <v>8</v>
      </c>
      <c r="K482" t="n">
        <v>8</v>
      </c>
      <c r="L482" t="n">
        <v>8</v>
      </c>
      <c r="M482" t="n">
        <v>8</v>
      </c>
      <c r="N482" t="n">
        <v>8</v>
      </c>
      <c r="O482" t="n">
        <v>40</v>
      </c>
      <c r="P482" t="n">
        <v>8</v>
      </c>
      <c r="R482" s="9" t="n">
        <v>0.08</v>
      </c>
      <c r="S482" s="10" t="inlineStr">
        <is>
          <t>SÍ — integrante</t>
        </is>
      </c>
      <c r="T482" s="11" t="inlineStr">
        <is>
          <t>B · INTEGRANTE</t>
        </is>
      </c>
      <c r="U482" s="11" t="inlineStr">
        <is>
          <t>DEL BANCO (se hereda)</t>
        </is>
      </c>
      <c r="V482" s="11" t="inlineStr">
        <is>
          <t>9152 · INDUSTRIA Y MANUFACTURA</t>
        </is>
      </c>
      <c r="W482" s="12" t="n"/>
      <c r="X482" s="12" t="n"/>
    </row>
    <row r="483" ht="15" customHeight="1">
      <c r="C483" t="inlineStr">
        <is>
          <t>Actividad económica / giro mercantil</t>
        </is>
      </c>
      <c r="D483" t="inlineStr">
        <is>
          <t>F12</t>
        </is>
      </c>
      <c r="E483" t="inlineStr">
        <is>
          <t>INHERENTE</t>
        </is>
      </c>
      <c r="F483" t="inlineStr">
        <is>
          <t>FABRICACION DE ARTICULOS DE CUERO PARA VIAJE</t>
        </is>
      </c>
      <c r="G483" t="n">
        <v>2529024</v>
      </c>
      <c r="H483" t="n">
        <v>1</v>
      </c>
      <c r="I483" t="n">
        <v>1</v>
      </c>
      <c r="J483" t="n">
        <v>8</v>
      </c>
      <c r="K483" t="n">
        <v>8</v>
      </c>
      <c r="L483" t="n">
        <v>8</v>
      </c>
      <c r="M483" t="n">
        <v>8</v>
      </c>
      <c r="N483" t="n">
        <v>8</v>
      </c>
      <c r="O483" t="n">
        <v>40</v>
      </c>
      <c r="P483" t="n">
        <v>8</v>
      </c>
      <c r="R483" s="9" t="n">
        <v>0.08</v>
      </c>
      <c r="S483" s="10" t="inlineStr">
        <is>
          <t>SÍ — integrante</t>
        </is>
      </c>
      <c r="T483" s="11" t="inlineStr">
        <is>
          <t>B · INTEGRANTE</t>
        </is>
      </c>
      <c r="U483" s="11" t="inlineStr">
        <is>
          <t>DEL BANCO (se hereda)</t>
        </is>
      </c>
      <c r="V483" s="11" t="inlineStr">
        <is>
          <t>9152 · INDUSTRIA Y MANUFACTURA</t>
        </is>
      </c>
      <c r="W483" s="12" t="n"/>
      <c r="X483" s="12" t="n"/>
    </row>
    <row r="484" ht="15" customHeight="1">
      <c r="C484" t="inlineStr">
        <is>
          <t>Actividad económica / giro mercantil</t>
        </is>
      </c>
      <c r="D484" t="inlineStr">
        <is>
          <t>F12</t>
        </is>
      </c>
      <c r="E484" t="inlineStr">
        <is>
          <t>INHERENTE</t>
        </is>
      </c>
      <c r="F484" t="inlineStr">
        <is>
          <t>FABRICACION DE ARTICULOS DE CUERO Y HUESO</t>
        </is>
      </c>
      <c r="G484" t="n">
        <v>2529032</v>
      </c>
      <c r="H484" t="n">
        <v>1</v>
      </c>
      <c r="I484" t="n">
        <v>1</v>
      </c>
      <c r="J484" t="n">
        <v>8</v>
      </c>
      <c r="K484" t="n">
        <v>8</v>
      </c>
      <c r="L484" t="n">
        <v>8</v>
      </c>
      <c r="M484" t="n">
        <v>8</v>
      </c>
      <c r="N484" t="n">
        <v>8</v>
      </c>
      <c r="O484" t="n">
        <v>40</v>
      </c>
      <c r="P484" t="n">
        <v>8</v>
      </c>
      <c r="R484" s="9" t="n">
        <v>0.08</v>
      </c>
      <c r="S484" s="10" t="inlineStr">
        <is>
          <t>SÍ — integrante</t>
        </is>
      </c>
      <c r="T484" s="11" t="inlineStr">
        <is>
          <t>B · INTEGRANTE</t>
        </is>
      </c>
      <c r="U484" s="11" t="inlineStr">
        <is>
          <t>DEL BANCO (se hereda)</t>
        </is>
      </c>
      <c r="V484" s="11" t="inlineStr">
        <is>
          <t>9152 · INDUSTRIA Y MANUFACTURA</t>
        </is>
      </c>
      <c r="W484" s="12" t="n"/>
      <c r="X484" s="12" t="n"/>
    </row>
    <row r="485" ht="15" customHeight="1">
      <c r="C485" t="inlineStr">
        <is>
          <t>Actividad económica / giro mercantil</t>
        </is>
      </c>
      <c r="D485" t="inlineStr">
        <is>
          <t>F12</t>
        </is>
      </c>
      <c r="E485" t="inlineStr">
        <is>
          <t>INHERENTE</t>
        </is>
      </c>
      <c r="F485" t="inlineStr">
        <is>
          <t>FABRICACION DE ARTICULOS DE CUERO Y PIEL PARA ZAPATERO</t>
        </is>
      </c>
      <c r="G485" t="n">
        <v>2529040</v>
      </c>
      <c r="H485" t="n">
        <v>1</v>
      </c>
      <c r="I485" t="n">
        <v>1</v>
      </c>
      <c r="J485" t="n">
        <v>8</v>
      </c>
      <c r="K485" t="n">
        <v>8</v>
      </c>
      <c r="L485" t="n">
        <v>8</v>
      </c>
      <c r="M485" t="n">
        <v>8</v>
      </c>
      <c r="N485" t="n">
        <v>8</v>
      </c>
      <c r="O485" t="n">
        <v>40</v>
      </c>
      <c r="P485" t="n">
        <v>8</v>
      </c>
      <c r="R485" s="9" t="n">
        <v>0.08</v>
      </c>
      <c r="S485" s="10" t="inlineStr">
        <is>
          <t>SÍ — integrante</t>
        </is>
      </c>
      <c r="T485" s="11" t="inlineStr">
        <is>
          <t>B · INTEGRANTE</t>
        </is>
      </c>
      <c r="U485" s="11" t="inlineStr">
        <is>
          <t>DEL BANCO (se hereda)</t>
        </is>
      </c>
      <c r="V485" s="11" t="inlineStr">
        <is>
          <t>9152 · INDUSTRIA Y MANUFACTURA</t>
        </is>
      </c>
      <c r="W485" s="12" t="n"/>
      <c r="X485" s="12" t="n"/>
    </row>
    <row r="486" ht="15" customHeight="1">
      <c r="C486" t="inlineStr">
        <is>
          <t>Actividad económica / giro mercantil</t>
        </is>
      </c>
      <c r="D486" t="inlineStr">
        <is>
          <t>F12</t>
        </is>
      </c>
      <c r="E486" t="inlineStr">
        <is>
          <t>INHERENTE</t>
        </is>
      </c>
      <c r="F486" t="inlineStr">
        <is>
          <t>FABRICACION DE ARTICULOS TEJIDOS DE CUERO</t>
        </is>
      </c>
      <c r="G486" t="n">
        <v>2529058</v>
      </c>
      <c r="H486" t="n">
        <v>1</v>
      </c>
      <c r="I486" t="n">
        <v>1</v>
      </c>
      <c r="J486" t="n">
        <v>8</v>
      </c>
      <c r="K486" t="n">
        <v>8</v>
      </c>
      <c r="L486" t="n">
        <v>8</v>
      </c>
      <c r="M486" t="n">
        <v>8</v>
      </c>
      <c r="N486" t="n">
        <v>8</v>
      </c>
      <c r="O486" t="n">
        <v>40</v>
      </c>
      <c r="P486" t="n">
        <v>8</v>
      </c>
      <c r="R486" s="9" t="n">
        <v>0.08</v>
      </c>
      <c r="S486" s="10" t="inlineStr">
        <is>
          <t>SÍ — integrante</t>
        </is>
      </c>
      <c r="T486" s="11" t="inlineStr">
        <is>
          <t>B · INTEGRANTE</t>
        </is>
      </c>
      <c r="U486" s="11" t="inlineStr">
        <is>
          <t>DEL BANCO (se hereda)</t>
        </is>
      </c>
      <c r="V486" s="11" t="inlineStr">
        <is>
          <t>9152 · INDUSTRIA Y MANUFACTURA</t>
        </is>
      </c>
      <c r="W486" s="12" t="n"/>
      <c r="X486" s="12" t="n"/>
    </row>
    <row r="487" ht="15" customHeight="1">
      <c r="C487" t="inlineStr">
        <is>
          <t>Actividad económica / giro mercantil</t>
        </is>
      </c>
      <c r="D487" t="inlineStr">
        <is>
          <t>F12</t>
        </is>
      </c>
      <c r="E487" t="inlineStr">
        <is>
          <t>INHERENTE</t>
        </is>
      </c>
      <c r="F487" t="inlineStr">
        <is>
          <t>FABRICACION DE BANDAS Y CORREAS DE CUERO</t>
        </is>
      </c>
      <c r="G487" t="n">
        <v>2529066</v>
      </c>
      <c r="H487" t="n">
        <v>1</v>
      </c>
      <c r="I487" t="n">
        <v>1</v>
      </c>
      <c r="J487" t="n">
        <v>8</v>
      </c>
      <c r="K487" t="n">
        <v>8</v>
      </c>
      <c r="L487" t="n">
        <v>8</v>
      </c>
      <c r="M487" t="n">
        <v>8</v>
      </c>
      <c r="N487" t="n">
        <v>8</v>
      </c>
      <c r="O487" t="n">
        <v>40</v>
      </c>
      <c r="P487" t="n">
        <v>8</v>
      </c>
      <c r="R487" s="9" t="n">
        <v>0.08</v>
      </c>
      <c r="S487" s="10" t="inlineStr">
        <is>
          <t>SÍ — integrante</t>
        </is>
      </c>
      <c r="T487" s="11" t="inlineStr">
        <is>
          <t>B · INTEGRANTE</t>
        </is>
      </c>
      <c r="U487" s="11" t="inlineStr">
        <is>
          <t>DEL BANCO (se hereda)</t>
        </is>
      </c>
      <c r="V487" s="11" t="inlineStr">
        <is>
          <t>9152 · INDUSTRIA Y MANUFACTURA</t>
        </is>
      </c>
      <c r="W487" s="12" t="n"/>
      <c r="X487" s="12" t="n"/>
    </row>
    <row r="488" ht="15" customHeight="1">
      <c r="C488" t="inlineStr">
        <is>
          <t>Actividad económica / giro mercantil</t>
        </is>
      </c>
      <c r="D488" t="inlineStr">
        <is>
          <t>F12</t>
        </is>
      </c>
      <c r="E488" t="inlineStr">
        <is>
          <t>INHERENTE</t>
        </is>
      </c>
      <c r="F488" t="inlineStr">
        <is>
          <t>FABRICACION DE BOLSAS Y CARTERAS DE CUERO</t>
        </is>
      </c>
      <c r="G488" t="n">
        <v>2529074</v>
      </c>
      <c r="H488" t="n">
        <v>1</v>
      </c>
      <c r="I488" t="n">
        <v>1</v>
      </c>
      <c r="J488" t="n">
        <v>8</v>
      </c>
      <c r="K488" t="n">
        <v>8</v>
      </c>
      <c r="L488" t="n">
        <v>8</v>
      </c>
      <c r="M488" t="n">
        <v>8</v>
      </c>
      <c r="N488" t="n">
        <v>8</v>
      </c>
      <c r="O488" t="n">
        <v>40</v>
      </c>
      <c r="P488" t="n">
        <v>8</v>
      </c>
      <c r="R488" s="9" t="n">
        <v>0.08</v>
      </c>
      <c r="S488" s="10" t="inlineStr">
        <is>
          <t>SÍ — integrante</t>
        </is>
      </c>
      <c r="T488" s="11" t="inlineStr">
        <is>
          <t>B · INTEGRANTE</t>
        </is>
      </c>
      <c r="U488" s="11" t="inlineStr">
        <is>
          <t>DEL BANCO (se hereda)</t>
        </is>
      </c>
      <c r="V488" s="11" t="inlineStr">
        <is>
          <t>9152 · INDUSTRIA Y MANUFACTURA</t>
        </is>
      </c>
      <c r="W488" s="12" t="n"/>
      <c r="X488" s="12" t="n"/>
    </row>
    <row r="489" ht="15" customHeight="1">
      <c r="C489" t="inlineStr">
        <is>
          <t>Actividad económica / giro mercantil</t>
        </is>
      </c>
      <c r="D489" t="inlineStr">
        <is>
          <t>F12</t>
        </is>
      </c>
      <c r="E489" t="inlineStr">
        <is>
          <t>INHERENTE</t>
        </is>
      </c>
      <c r="F489" t="inlineStr">
        <is>
          <t>FABRICACION DE BROCHAS Y PINCELES</t>
        </is>
      </c>
      <c r="G489" t="n">
        <v>2529082</v>
      </c>
      <c r="H489" t="n">
        <v>1</v>
      </c>
      <c r="I489" t="n">
        <v>1</v>
      </c>
      <c r="J489" t="n">
        <v>8</v>
      </c>
      <c r="K489" t="n">
        <v>8</v>
      </c>
      <c r="L489" t="n">
        <v>8</v>
      </c>
      <c r="M489" t="n">
        <v>8</v>
      </c>
      <c r="N489" t="n">
        <v>8</v>
      </c>
      <c r="O489" t="n">
        <v>40</v>
      </c>
      <c r="P489" t="n">
        <v>8</v>
      </c>
      <c r="R489" s="9" t="n">
        <v>0.08</v>
      </c>
      <c r="S489" s="10" t="inlineStr">
        <is>
          <t>SÍ — integrante</t>
        </is>
      </c>
      <c r="T489" s="11" t="inlineStr">
        <is>
          <t>B · INTEGRANTE</t>
        </is>
      </c>
      <c r="U489" s="11" t="inlineStr">
        <is>
          <t>DEL BANCO (se hereda)</t>
        </is>
      </c>
      <c r="V489" s="11" t="inlineStr">
        <is>
          <t>9152 · INDUSTRIA Y MANUFACTURA</t>
        </is>
      </c>
      <c r="W489" s="12" t="n"/>
      <c r="X489" s="12" t="n"/>
    </row>
    <row r="490" ht="15" customHeight="1">
      <c r="C490" t="inlineStr">
        <is>
          <t>Actividad económica / giro mercantil</t>
        </is>
      </c>
      <c r="D490" t="inlineStr">
        <is>
          <t>F12</t>
        </is>
      </c>
      <c r="E490" t="inlineStr">
        <is>
          <t>INHERENTE</t>
        </is>
      </c>
      <c r="F490" t="inlineStr">
        <is>
          <t>FABRICACION DE FORNITURAS MILITARES DE CUERO</t>
        </is>
      </c>
      <c r="G490" t="n">
        <v>2529090</v>
      </c>
      <c r="H490" t="n">
        <v>1</v>
      </c>
      <c r="I490" t="n">
        <v>1</v>
      </c>
      <c r="J490" t="n">
        <v>8</v>
      </c>
      <c r="K490" t="n">
        <v>8</v>
      </c>
      <c r="L490" t="n">
        <v>8</v>
      </c>
      <c r="M490" t="n">
        <v>8</v>
      </c>
      <c r="N490" t="n">
        <v>8</v>
      </c>
      <c r="O490" t="n">
        <v>40</v>
      </c>
      <c r="P490" t="n">
        <v>8</v>
      </c>
      <c r="R490" s="9" t="n">
        <v>0.08</v>
      </c>
      <c r="S490" s="10" t="inlineStr">
        <is>
          <t>SÍ — integrante</t>
        </is>
      </c>
      <c r="T490" s="11" t="inlineStr">
        <is>
          <t>B · INTEGRANTE</t>
        </is>
      </c>
      <c r="U490" s="11" t="inlineStr">
        <is>
          <t>DEL BANCO (se hereda)</t>
        </is>
      </c>
      <c r="V490" s="11" t="inlineStr">
        <is>
          <t>9153 · GOBIERNO Y SECTOR PÚBLICO</t>
        </is>
      </c>
      <c r="W490" s="12" t="n"/>
      <c r="X490" s="12" t="n"/>
    </row>
    <row r="491" ht="15" customHeight="1">
      <c r="C491" t="inlineStr">
        <is>
          <t>Actividad económica / giro mercantil</t>
        </is>
      </c>
      <c r="D491" t="inlineStr">
        <is>
          <t>F12</t>
        </is>
      </c>
      <c r="E491" t="inlineStr">
        <is>
          <t>INHERENTE</t>
        </is>
      </c>
      <c r="F491" t="inlineStr">
        <is>
          <t>FABRICACION DE OTROS ARTICULOS DE CUERO</t>
        </is>
      </c>
      <c r="G491" t="n">
        <v>2529107</v>
      </c>
      <c r="H491" t="n">
        <v>1</v>
      </c>
      <c r="I491" t="n">
        <v>1</v>
      </c>
      <c r="J491" t="n">
        <v>8</v>
      </c>
      <c r="K491" t="n">
        <v>8</v>
      </c>
      <c r="L491" t="n">
        <v>8</v>
      </c>
      <c r="M491" t="n">
        <v>8</v>
      </c>
      <c r="N491" t="n">
        <v>8</v>
      </c>
      <c r="O491" t="n">
        <v>40</v>
      </c>
      <c r="P491" t="n">
        <v>8</v>
      </c>
      <c r="R491" s="9" t="n">
        <v>0.08</v>
      </c>
      <c r="S491" s="10" t="inlineStr">
        <is>
          <t>SÍ — integrante</t>
        </is>
      </c>
      <c r="T491" s="11" t="inlineStr">
        <is>
          <t>B · INTEGRANTE</t>
        </is>
      </c>
      <c r="U491" s="11" t="inlineStr">
        <is>
          <t>DEL BANCO (se hereda)</t>
        </is>
      </c>
      <c r="V491" s="11" t="inlineStr">
        <is>
          <t>9152 · INDUSTRIA Y MANUFACTURA</t>
        </is>
      </c>
      <c r="W491" s="12" t="n"/>
      <c r="X491" s="12" t="n"/>
    </row>
    <row r="492" ht="15" customHeight="1">
      <c r="C492" t="inlineStr">
        <is>
          <t>Actividad económica / giro mercantil</t>
        </is>
      </c>
      <c r="D492" t="inlineStr">
        <is>
          <t>F12</t>
        </is>
      </c>
      <c r="E492" t="inlineStr">
        <is>
          <t>INHERENTE</t>
        </is>
      </c>
      <c r="F492" t="inlineStr">
        <is>
          <t>TALABARTERIA</t>
        </is>
      </c>
      <c r="G492" t="n">
        <v>2529115</v>
      </c>
      <c r="H492" t="n">
        <v>1</v>
      </c>
      <c r="I492" t="n">
        <v>1</v>
      </c>
      <c r="J492" t="n">
        <v>8</v>
      </c>
      <c r="K492" t="n">
        <v>8</v>
      </c>
      <c r="L492" t="n">
        <v>8</v>
      </c>
      <c r="M492" t="n">
        <v>8</v>
      </c>
      <c r="N492" t="n">
        <v>8</v>
      </c>
      <c r="O492" t="n">
        <v>40</v>
      </c>
      <c r="P492" t="n">
        <v>8</v>
      </c>
      <c r="R492" s="9" t="n">
        <v>0.08</v>
      </c>
      <c r="S492" s="10" t="inlineStr">
        <is>
          <t>SÍ — integrante</t>
        </is>
      </c>
      <c r="T492" s="11" t="inlineStr">
        <is>
          <t>B · INTEGRANTE</t>
        </is>
      </c>
      <c r="U492" s="11" t="inlineStr">
        <is>
          <t>DEL BANCO (se hereda)</t>
        </is>
      </c>
      <c r="V492" s="11" t="inlineStr">
        <is>
          <t>9154 · OTRAS ACTIVIDADES NO CLASIFICADAS</t>
        </is>
      </c>
      <c r="W492" s="12" t="n"/>
      <c r="X492" s="12" t="n"/>
    </row>
    <row r="493" ht="15" customHeight="1">
      <c r="C493" t="inlineStr">
        <is>
          <t>Actividad económica / giro mercantil</t>
        </is>
      </c>
      <c r="D493" t="inlineStr">
        <is>
          <t>F12</t>
        </is>
      </c>
      <c r="E493" t="inlineStr">
        <is>
          <t>INHERENTE</t>
        </is>
      </c>
      <c r="F493" t="inlineStr">
        <is>
          <t>INDUSTRIA Y PRODUCTOS DE MADERA Y CORCHO; EXCEPTO MUEBLES</t>
        </is>
      </c>
      <c r="G493" t="n">
        <v>2600006</v>
      </c>
      <c r="H493" t="n">
        <v>1</v>
      </c>
      <c r="I493" t="n">
        <v>1</v>
      </c>
      <c r="J493" t="n">
        <v>8</v>
      </c>
      <c r="K493" t="n">
        <v>8</v>
      </c>
      <c r="L493" t="n">
        <v>8</v>
      </c>
      <c r="M493" t="n">
        <v>8</v>
      </c>
      <c r="N493" t="n">
        <v>8</v>
      </c>
      <c r="O493" t="n">
        <v>40</v>
      </c>
      <c r="P493" t="n">
        <v>8</v>
      </c>
      <c r="R493" s="9" t="n">
        <v>0.08</v>
      </c>
      <c r="S493" s="10" t="inlineStr">
        <is>
          <t>SÍ — integrante</t>
        </is>
      </c>
      <c r="T493" s="11" t="inlineStr">
        <is>
          <t>B · INTEGRANTE</t>
        </is>
      </c>
      <c r="U493" s="11" t="inlineStr">
        <is>
          <t>DEL BANCO (se hereda)</t>
        </is>
      </c>
      <c r="V493" s="11" t="inlineStr">
        <is>
          <t>9151 · SECTOR PRIMARIO (agropecuario, pesca, forestal, minería)</t>
        </is>
      </c>
      <c r="W493" s="12" t="n"/>
      <c r="X493" s="12" t="n"/>
    </row>
    <row r="494" ht="15" customHeight="1">
      <c r="C494" t="inlineStr">
        <is>
          <t>Actividad económica / giro mercantil</t>
        </is>
      </c>
      <c r="D494" t="inlineStr">
        <is>
          <t>F12</t>
        </is>
      </c>
      <c r="E494" t="inlineStr">
        <is>
          <t>INHERENTE</t>
        </is>
      </c>
      <c r="F494" t="inlineStr">
        <is>
          <t>ASERRADERO</t>
        </is>
      </c>
      <c r="G494" t="n">
        <v>2611011</v>
      </c>
      <c r="H494" t="n">
        <v>1</v>
      </c>
      <c r="I494" t="n">
        <v>1</v>
      </c>
      <c r="J494" t="n">
        <v>8</v>
      </c>
      <c r="K494" t="n">
        <v>8</v>
      </c>
      <c r="L494" t="n">
        <v>8</v>
      </c>
      <c r="M494" t="n">
        <v>8</v>
      </c>
      <c r="N494" t="n">
        <v>8</v>
      </c>
      <c r="O494" t="n">
        <v>40</v>
      </c>
      <c r="P494" t="n">
        <v>8</v>
      </c>
      <c r="R494" s="9" t="n">
        <v>0.08</v>
      </c>
      <c r="S494" s="10" t="inlineStr">
        <is>
          <t>SÍ — integrante</t>
        </is>
      </c>
      <c r="T494" s="11" t="inlineStr">
        <is>
          <t>B · INTEGRANTE</t>
        </is>
      </c>
      <c r="U494" s="11" t="inlineStr">
        <is>
          <t>DEL BANCO (se hereda)</t>
        </is>
      </c>
      <c r="V494" s="11" t="inlineStr">
        <is>
          <t>9152 · INDUSTRIA Y MANUFACTURA</t>
        </is>
      </c>
      <c r="W494" s="12" t="n"/>
      <c r="X494" s="12" t="n"/>
    </row>
    <row r="495" ht="15" customHeight="1">
      <c r="C495" t="inlineStr">
        <is>
          <t>Actividad económica / giro mercantil</t>
        </is>
      </c>
      <c r="D495" t="inlineStr">
        <is>
          <t>F12</t>
        </is>
      </c>
      <c r="E495" t="inlineStr">
        <is>
          <t>INHERENTE</t>
        </is>
      </c>
      <c r="F495" t="inlineStr">
        <is>
          <t>BENEFICIO DE MADERAS (DESFLEMADO ESTUFADO CEPILLADO ETC)</t>
        </is>
      </c>
      <c r="G495" t="n">
        <v>2611029</v>
      </c>
      <c r="H495" t="n">
        <v>1</v>
      </c>
      <c r="I495" t="n">
        <v>1</v>
      </c>
      <c r="J495" t="n">
        <v>8</v>
      </c>
      <c r="K495" t="n">
        <v>8</v>
      </c>
      <c r="L495" t="n">
        <v>8</v>
      </c>
      <c r="M495" t="n">
        <v>8</v>
      </c>
      <c r="N495" t="n">
        <v>8</v>
      </c>
      <c r="O495" t="n">
        <v>40</v>
      </c>
      <c r="P495" t="n">
        <v>8</v>
      </c>
      <c r="R495" s="9" t="n">
        <v>0.08</v>
      </c>
      <c r="S495" s="10" t="inlineStr">
        <is>
          <t>SÍ — integrante</t>
        </is>
      </c>
      <c r="T495" s="11" t="inlineStr">
        <is>
          <t>B · INTEGRANTE</t>
        </is>
      </c>
      <c r="U495" s="11" t="inlineStr">
        <is>
          <t>DEL BANCO (se hereda)</t>
        </is>
      </c>
      <c r="V495" s="11" t="inlineStr">
        <is>
          <t>9151 · SECTOR PRIMARIO (agropecuario, pesca, forestal, minería)</t>
        </is>
      </c>
      <c r="W495" s="12" t="n"/>
      <c r="X495" s="12" t="n"/>
    </row>
    <row r="496" ht="15" customHeight="1">
      <c r="C496" t="inlineStr">
        <is>
          <t>Actividad económica / giro mercantil</t>
        </is>
      </c>
      <c r="D496" t="inlineStr">
        <is>
          <t>F12</t>
        </is>
      </c>
      <c r="E496" t="inlineStr">
        <is>
          <t>INHERENTE</t>
        </is>
      </c>
      <c r="F496" t="inlineStr">
        <is>
          <t>FABRICACION DE TRIPLAY Y OTROS AGLOMERADOS DE MADERA</t>
        </is>
      </c>
      <c r="G496" t="n">
        <v>2612019</v>
      </c>
      <c r="H496" t="n">
        <v>1</v>
      </c>
      <c r="I496" t="n">
        <v>1</v>
      </c>
      <c r="J496" t="n">
        <v>8</v>
      </c>
      <c r="K496" t="n">
        <v>8</v>
      </c>
      <c r="L496" t="n">
        <v>8</v>
      </c>
      <c r="M496" t="n">
        <v>8</v>
      </c>
      <c r="N496" t="n">
        <v>8</v>
      </c>
      <c r="O496" t="n">
        <v>40</v>
      </c>
      <c r="P496" t="n">
        <v>8</v>
      </c>
      <c r="R496" s="9" t="n">
        <v>0.08</v>
      </c>
      <c r="S496" s="10" t="inlineStr">
        <is>
          <t>SÍ — integrante</t>
        </is>
      </c>
      <c r="T496" s="11" t="inlineStr">
        <is>
          <t>B · INTEGRANTE</t>
        </is>
      </c>
      <c r="U496" s="11" t="inlineStr">
        <is>
          <t>DEL BANCO (se hereda)</t>
        </is>
      </c>
      <c r="V496" s="11" t="inlineStr">
        <is>
          <t>9151 · SECTOR PRIMARIO (agropecuario, pesca, forestal, minería)</t>
        </is>
      </c>
      <c r="W496" s="12" t="n"/>
      <c r="X496" s="12" t="n"/>
    </row>
    <row r="497" ht="15" customHeight="1">
      <c r="C497" t="inlineStr">
        <is>
          <t>Actividad económica / giro mercantil</t>
        </is>
      </c>
      <c r="D497" t="inlineStr">
        <is>
          <t>F12</t>
        </is>
      </c>
      <c r="E497" t="inlineStr">
        <is>
          <t>INHERENTE</t>
        </is>
      </c>
      <c r="F497" t="inlineStr">
        <is>
          <t>FABRICACION DE CAJAS Y EMPAQUES DE MADERA</t>
        </is>
      </c>
      <c r="G497" t="n">
        <v>2621010</v>
      </c>
      <c r="H497" t="n">
        <v>1</v>
      </c>
      <c r="I497" t="n">
        <v>1</v>
      </c>
      <c r="J497" t="n">
        <v>8</v>
      </c>
      <c r="K497" t="n">
        <v>8</v>
      </c>
      <c r="L497" t="n">
        <v>8</v>
      </c>
      <c r="M497" t="n">
        <v>8</v>
      </c>
      <c r="N497" t="n">
        <v>8</v>
      </c>
      <c r="O497" t="n">
        <v>40</v>
      </c>
      <c r="P497" t="n">
        <v>8</v>
      </c>
      <c r="R497" s="9" t="n">
        <v>0.08</v>
      </c>
      <c r="S497" s="10" t="inlineStr">
        <is>
          <t>SÍ — integrante</t>
        </is>
      </c>
      <c r="T497" s="11" t="inlineStr">
        <is>
          <t>B · INTEGRANTE</t>
        </is>
      </c>
      <c r="U497" s="11" t="inlineStr">
        <is>
          <t>DEL BANCO (se hereda)</t>
        </is>
      </c>
      <c r="V497" s="11" t="inlineStr">
        <is>
          <t>9151 · SECTOR PRIMARIO (agropecuario, pesca, forestal, minería)</t>
        </is>
      </c>
      <c r="W497" s="12" t="n"/>
      <c r="X497" s="12" t="n"/>
    </row>
    <row r="498" ht="15" customHeight="1">
      <c r="C498" t="inlineStr">
        <is>
          <t>Actividad económica / giro mercantil</t>
        </is>
      </c>
      <c r="D498" t="inlineStr">
        <is>
          <t>F12</t>
        </is>
      </c>
      <c r="E498" t="inlineStr">
        <is>
          <t>INHERENTE</t>
        </is>
      </c>
      <c r="F498" t="inlineStr">
        <is>
          <t>FABRICACION DE TONELES Y BARRICAS DE MADERA</t>
        </is>
      </c>
      <c r="G498" t="n">
        <v>2621028</v>
      </c>
      <c r="H498" t="n">
        <v>1</v>
      </c>
      <c r="I498" t="n">
        <v>1</v>
      </c>
      <c r="J498" t="n">
        <v>8</v>
      </c>
      <c r="K498" t="n">
        <v>8</v>
      </c>
      <c r="L498" t="n">
        <v>8</v>
      </c>
      <c r="M498" t="n">
        <v>8</v>
      </c>
      <c r="N498" t="n">
        <v>8</v>
      </c>
      <c r="O498" t="n">
        <v>40</v>
      </c>
      <c r="P498" t="n">
        <v>8</v>
      </c>
      <c r="R498" s="9" t="n">
        <v>0.08</v>
      </c>
      <c r="S498" s="10" t="inlineStr">
        <is>
          <t>SÍ — integrante</t>
        </is>
      </c>
      <c r="T498" s="11" t="inlineStr">
        <is>
          <t>B · INTEGRANTE</t>
        </is>
      </c>
      <c r="U498" s="11" t="inlineStr">
        <is>
          <t>DEL BANCO (se hereda)</t>
        </is>
      </c>
      <c r="V498" s="11" t="inlineStr">
        <is>
          <t>9151 · SECTOR PRIMARIO (agropecuario, pesca, forestal, minería)</t>
        </is>
      </c>
      <c r="W498" s="12" t="n"/>
      <c r="X498" s="12" t="n"/>
    </row>
    <row r="499" ht="15" customHeight="1">
      <c r="C499" t="inlineStr">
        <is>
          <t>Actividad económica / giro mercantil</t>
        </is>
      </c>
      <c r="D499" t="inlineStr">
        <is>
          <t>F12</t>
        </is>
      </c>
      <c r="E499" t="inlineStr">
        <is>
          <t>INHERENTE</t>
        </is>
      </c>
      <c r="F499" t="inlineStr">
        <is>
          <t>FABRICACION DE ARTICULOS DE PALMA VARA CARRIZO MIMBRE Y SIMILARES</t>
        </is>
      </c>
      <c r="G499" t="n">
        <v>2622018</v>
      </c>
      <c r="H499" t="n">
        <v>1</v>
      </c>
      <c r="I499" t="n">
        <v>1</v>
      </c>
      <c r="J499" t="n">
        <v>8</v>
      </c>
      <c r="K499" t="n">
        <v>8</v>
      </c>
      <c r="L499" t="n">
        <v>8</v>
      </c>
      <c r="M499" t="n">
        <v>8</v>
      </c>
      <c r="N499" t="n">
        <v>8</v>
      </c>
      <c r="O499" t="n">
        <v>40</v>
      </c>
      <c r="P499" t="n">
        <v>8</v>
      </c>
      <c r="R499" s="9" t="n">
        <v>0.08</v>
      </c>
      <c r="S499" s="10" t="inlineStr">
        <is>
          <t>SÍ — integrante</t>
        </is>
      </c>
      <c r="T499" s="11" t="inlineStr">
        <is>
          <t>B · INTEGRANTE</t>
        </is>
      </c>
      <c r="U499" s="11" t="inlineStr">
        <is>
          <t>DEL BANCO (se hereda)</t>
        </is>
      </c>
      <c r="V499" s="11" t="inlineStr">
        <is>
          <t>9152 · INDUSTRIA Y MANUFACTURA</t>
        </is>
      </c>
      <c r="W499" s="12" t="n"/>
      <c r="X499" s="12" t="n"/>
    </row>
    <row r="500" ht="15" customHeight="1">
      <c r="C500" t="inlineStr">
        <is>
          <t>Actividad económica / giro mercantil</t>
        </is>
      </c>
      <c r="D500" t="inlineStr">
        <is>
          <t>F12</t>
        </is>
      </c>
      <c r="E500" t="inlineStr">
        <is>
          <t>INHERENTE</t>
        </is>
      </c>
      <c r="F500" t="inlineStr">
        <is>
          <t>FABRICACION DE ATAUDES DE MADERA</t>
        </is>
      </c>
      <c r="G500" t="n">
        <v>2631019</v>
      </c>
      <c r="H500" t="n">
        <v>1</v>
      </c>
      <c r="I500" t="n">
        <v>1</v>
      </c>
      <c r="J500" t="n">
        <v>8</v>
      </c>
      <c r="K500" t="n">
        <v>8</v>
      </c>
      <c r="L500" t="n">
        <v>8</v>
      </c>
      <c r="M500" t="n">
        <v>8</v>
      </c>
      <c r="N500" t="n">
        <v>8</v>
      </c>
      <c r="O500" t="n">
        <v>40</v>
      </c>
      <c r="P500" t="n">
        <v>8</v>
      </c>
      <c r="R500" s="9" t="n">
        <v>0.08</v>
      </c>
      <c r="S500" s="10" t="inlineStr">
        <is>
          <t>SÍ — integrante</t>
        </is>
      </c>
      <c r="T500" s="11" t="inlineStr">
        <is>
          <t>B · INTEGRANTE</t>
        </is>
      </c>
      <c r="U500" s="11" t="inlineStr">
        <is>
          <t>DEL BANCO (se hereda)</t>
        </is>
      </c>
      <c r="V500" s="11" t="inlineStr">
        <is>
          <t>9151 · SECTOR PRIMARIO (agropecuario, pesca, forestal, minería)</t>
        </is>
      </c>
      <c r="W500" s="12" t="n"/>
      <c r="X500" s="12" t="n"/>
    </row>
    <row r="501" ht="15" customHeight="1">
      <c r="C501" t="inlineStr">
        <is>
          <t>Actividad económica / giro mercantil</t>
        </is>
      </c>
      <c r="D501" t="inlineStr">
        <is>
          <t>F12</t>
        </is>
      </c>
      <c r="E501" t="inlineStr">
        <is>
          <t>INHERENTE</t>
        </is>
      </c>
      <c r="F501" t="inlineStr">
        <is>
          <t>FABRICACION DE JUNTAS Y EMPAQUES DE CORCHO</t>
        </is>
      </c>
      <c r="G501" t="n">
        <v>2632017</v>
      </c>
      <c r="H501" t="n">
        <v>1</v>
      </c>
      <c r="I501" t="n">
        <v>1</v>
      </c>
      <c r="J501" t="n">
        <v>8</v>
      </c>
      <c r="K501" t="n">
        <v>8</v>
      </c>
      <c r="L501" t="n">
        <v>8</v>
      </c>
      <c r="M501" t="n">
        <v>8</v>
      </c>
      <c r="N501" t="n">
        <v>8</v>
      </c>
      <c r="O501" t="n">
        <v>40</v>
      </c>
      <c r="P501" t="n">
        <v>8</v>
      </c>
      <c r="R501" s="9" t="n">
        <v>0.08</v>
      </c>
      <c r="S501" s="10" t="inlineStr">
        <is>
          <t>SÍ — integrante</t>
        </is>
      </c>
      <c r="T501" s="11" t="inlineStr">
        <is>
          <t>B · INTEGRANTE</t>
        </is>
      </c>
      <c r="U501" s="11" t="inlineStr">
        <is>
          <t>DEL BANCO (se hereda)</t>
        </is>
      </c>
      <c r="V501" s="11" t="inlineStr">
        <is>
          <t>9152 · INDUSTRIA Y MANUFACTURA</t>
        </is>
      </c>
      <c r="W501" s="12" t="n"/>
      <c r="X501" s="12" t="n"/>
    </row>
    <row r="502" ht="15" customHeight="1">
      <c r="C502" t="inlineStr">
        <is>
          <t>Actividad económica / giro mercantil</t>
        </is>
      </c>
      <c r="D502" t="inlineStr">
        <is>
          <t>F12</t>
        </is>
      </c>
      <c r="E502" t="inlineStr">
        <is>
          <t>INHERENTE</t>
        </is>
      </c>
      <c r="F502" t="inlineStr">
        <is>
          <t>FABRICACION DE OTROS ARTICULOS DE CORCHO</t>
        </is>
      </c>
      <c r="G502" t="n">
        <v>2632025</v>
      </c>
      <c r="H502" t="n">
        <v>1</v>
      </c>
      <c r="I502" t="n">
        <v>1</v>
      </c>
      <c r="J502" t="n">
        <v>8</v>
      </c>
      <c r="K502" t="n">
        <v>8</v>
      </c>
      <c r="L502" t="n">
        <v>8</v>
      </c>
      <c r="M502" t="n">
        <v>8</v>
      </c>
      <c r="N502" t="n">
        <v>8</v>
      </c>
      <c r="O502" t="n">
        <v>40</v>
      </c>
      <c r="P502" t="n">
        <v>8</v>
      </c>
      <c r="R502" s="9" t="n">
        <v>0.08</v>
      </c>
      <c r="S502" s="10" t="inlineStr">
        <is>
          <t>SÍ — integrante</t>
        </is>
      </c>
      <c r="T502" s="11" t="inlineStr">
        <is>
          <t>B · INTEGRANTE</t>
        </is>
      </c>
      <c r="U502" s="11" t="inlineStr">
        <is>
          <t>DEL BANCO (se hereda)</t>
        </is>
      </c>
      <c r="V502" s="11" t="inlineStr">
        <is>
          <t>9152 · INDUSTRIA Y MANUFACTURA</t>
        </is>
      </c>
      <c r="W502" s="12" t="n"/>
      <c r="X502" s="12" t="n"/>
    </row>
    <row r="503" ht="15" customHeight="1">
      <c r="C503" t="inlineStr">
        <is>
          <t>Actividad económica / giro mercantil</t>
        </is>
      </c>
      <c r="D503" t="inlineStr">
        <is>
          <t>F12</t>
        </is>
      </c>
      <c r="E503" t="inlineStr">
        <is>
          <t>INHERENTE</t>
        </is>
      </c>
      <c r="F503" t="inlineStr">
        <is>
          <t>FABRICACION DE ASBESTOS Y CORCHOS AISLANTES</t>
        </is>
      </c>
      <c r="G503" t="n">
        <v>2632033</v>
      </c>
      <c r="H503" t="n">
        <v>1</v>
      </c>
      <c r="I503" t="n">
        <v>1</v>
      </c>
      <c r="J503" t="n">
        <v>8</v>
      </c>
      <c r="K503" t="n">
        <v>8</v>
      </c>
      <c r="L503" t="n">
        <v>8</v>
      </c>
      <c r="M503" t="n">
        <v>8</v>
      </c>
      <c r="N503" t="n">
        <v>8</v>
      </c>
      <c r="O503" t="n">
        <v>40</v>
      </c>
      <c r="P503" t="n">
        <v>8</v>
      </c>
      <c r="R503" s="9" t="n">
        <v>0.08</v>
      </c>
      <c r="S503" s="10" t="inlineStr">
        <is>
          <t>SÍ — integrante</t>
        </is>
      </c>
      <c r="T503" s="11" t="inlineStr">
        <is>
          <t>B · INTEGRANTE</t>
        </is>
      </c>
      <c r="U503" s="11" t="inlineStr">
        <is>
          <t>DEL BANCO (se hereda)</t>
        </is>
      </c>
      <c r="V503" s="11" t="inlineStr">
        <is>
          <t>9152 · INDUSTRIA Y MANUFACTURA</t>
        </is>
      </c>
      <c r="W503" s="12" t="n"/>
      <c r="X503" s="12" t="n"/>
    </row>
    <row r="504" ht="15" customHeight="1">
      <c r="C504" t="inlineStr">
        <is>
          <t>Actividad económica / giro mercantil</t>
        </is>
      </c>
      <c r="D504" t="inlineStr">
        <is>
          <t>F12</t>
        </is>
      </c>
      <c r="E504" t="inlineStr">
        <is>
          <t>INHERENTE</t>
        </is>
      </c>
      <c r="F504" t="inlineStr">
        <is>
          <t>FABRICACION DE DUELAS Y OTROS MATERIALES DE MADERA PARA PISO</t>
        </is>
      </c>
      <c r="G504" t="n">
        <v>2633015</v>
      </c>
      <c r="H504" t="n">
        <v>1</v>
      </c>
      <c r="I504" t="n">
        <v>1</v>
      </c>
      <c r="J504" t="n">
        <v>8</v>
      </c>
      <c r="K504" t="n">
        <v>8</v>
      </c>
      <c r="L504" t="n">
        <v>8</v>
      </c>
      <c r="M504" t="n">
        <v>8</v>
      </c>
      <c r="N504" t="n">
        <v>8</v>
      </c>
      <c r="O504" t="n">
        <v>40</v>
      </c>
      <c r="P504" t="n">
        <v>8</v>
      </c>
      <c r="R504" s="9" t="n">
        <v>0.08</v>
      </c>
      <c r="S504" s="10" t="inlineStr">
        <is>
          <t>SÍ — integrante</t>
        </is>
      </c>
      <c r="T504" s="11" t="inlineStr">
        <is>
          <t>B · INTEGRANTE</t>
        </is>
      </c>
      <c r="U504" s="11" t="inlineStr">
        <is>
          <t>DEL BANCO (se hereda)</t>
        </is>
      </c>
      <c r="V504" s="11" t="inlineStr">
        <is>
          <t>9151 · SECTOR PRIMARIO (agropecuario, pesca, forestal, minería)</t>
        </is>
      </c>
      <c r="W504" s="12" t="n"/>
      <c r="X504" s="12" t="n"/>
    </row>
    <row r="505" ht="15" customHeight="1">
      <c r="C505" t="inlineStr">
        <is>
          <t>Actividad económica / giro mercantil</t>
        </is>
      </c>
      <c r="D505" t="inlineStr">
        <is>
          <t>F12</t>
        </is>
      </c>
      <c r="E505" t="inlineStr">
        <is>
          <t>INHERENTE</t>
        </is>
      </c>
      <c r="F505" t="inlineStr">
        <is>
          <t>FABRICACION DE PUERTAS Y VENTANAS DE MADERA</t>
        </is>
      </c>
      <c r="G505" t="n">
        <v>2633023</v>
      </c>
      <c r="H505" t="n">
        <v>1</v>
      </c>
      <c r="I505" t="n">
        <v>1</v>
      </c>
      <c r="J505" t="n">
        <v>8</v>
      </c>
      <c r="K505" t="n">
        <v>8</v>
      </c>
      <c r="L505" t="n">
        <v>8</v>
      </c>
      <c r="M505" t="n">
        <v>8</v>
      </c>
      <c r="N505" t="n">
        <v>8</v>
      </c>
      <c r="O505" t="n">
        <v>40</v>
      </c>
      <c r="P505" t="n">
        <v>8</v>
      </c>
      <c r="R505" s="9" t="n">
        <v>0.08</v>
      </c>
      <c r="S505" s="10" t="inlineStr">
        <is>
          <t>SÍ — integrante</t>
        </is>
      </c>
      <c r="T505" s="11" t="inlineStr">
        <is>
          <t>B · INTEGRANTE</t>
        </is>
      </c>
      <c r="U505" s="11" t="inlineStr">
        <is>
          <t>DEL BANCO (se hereda)</t>
        </is>
      </c>
      <c r="V505" s="11" t="inlineStr">
        <is>
          <t>9151 · SECTOR PRIMARIO (agropecuario, pesca, forestal, minería)</t>
        </is>
      </c>
      <c r="W505" s="12" t="n"/>
      <c r="X505" s="12" t="n"/>
    </row>
    <row r="506" ht="15" customHeight="1">
      <c r="C506" t="inlineStr">
        <is>
          <t>Actividad económica / giro mercantil</t>
        </is>
      </c>
      <c r="D506" t="inlineStr">
        <is>
          <t>F12</t>
        </is>
      </c>
      <c r="E506" t="inlineStr">
        <is>
          <t>INHERENTE</t>
        </is>
      </c>
      <c r="F506" t="inlineStr">
        <is>
          <t>FABRICACION DE CARROCERIAS Y REDILAS DE MADERA</t>
        </is>
      </c>
      <c r="G506" t="n">
        <v>2639013</v>
      </c>
      <c r="H506" t="n">
        <v>1</v>
      </c>
      <c r="I506" t="n">
        <v>1</v>
      </c>
      <c r="J506" t="n">
        <v>8</v>
      </c>
      <c r="K506" t="n">
        <v>8</v>
      </c>
      <c r="L506" t="n">
        <v>8</v>
      </c>
      <c r="M506" t="n">
        <v>8</v>
      </c>
      <c r="N506" t="n">
        <v>8</v>
      </c>
      <c r="O506" t="n">
        <v>40</v>
      </c>
      <c r="P506" t="n">
        <v>8</v>
      </c>
      <c r="R506" s="9" t="n">
        <v>0.08</v>
      </c>
      <c r="S506" s="10" t="inlineStr">
        <is>
          <t>SÍ — integrante</t>
        </is>
      </c>
      <c r="T506" s="11" t="inlineStr">
        <is>
          <t>B · INTEGRANTE</t>
        </is>
      </c>
      <c r="U506" s="11" t="inlineStr">
        <is>
          <t>DEL BANCO (se hereda)</t>
        </is>
      </c>
      <c r="V506" s="11" t="inlineStr">
        <is>
          <t>9151 · SECTOR PRIMARIO (agropecuario, pesca, forestal, minería)</t>
        </is>
      </c>
      <c r="W506" s="12" t="n"/>
      <c r="X506" s="12" t="n"/>
    </row>
    <row r="507" ht="15" customHeight="1">
      <c r="C507" t="inlineStr">
        <is>
          <t>Actividad económica / giro mercantil</t>
        </is>
      </c>
      <c r="D507" t="inlineStr">
        <is>
          <t>F12</t>
        </is>
      </c>
      <c r="E507" t="inlineStr">
        <is>
          <t>INHERENTE</t>
        </is>
      </c>
      <c r="F507" t="inlineStr">
        <is>
          <t>FABRICACION DE MANGOS DE MADERA</t>
        </is>
      </c>
      <c r="G507" t="n">
        <v>2639021</v>
      </c>
      <c r="H507" t="n">
        <v>1</v>
      </c>
      <c r="I507" t="n">
        <v>1</v>
      </c>
      <c r="J507" t="n">
        <v>8</v>
      </c>
      <c r="K507" t="n">
        <v>8</v>
      </c>
      <c r="L507" t="n">
        <v>8</v>
      </c>
      <c r="M507" t="n">
        <v>8</v>
      </c>
      <c r="N507" t="n">
        <v>8</v>
      </c>
      <c r="O507" t="n">
        <v>40</v>
      </c>
      <c r="P507" t="n">
        <v>8</v>
      </c>
      <c r="R507" s="9" t="n">
        <v>0.08</v>
      </c>
      <c r="S507" s="10" t="inlineStr">
        <is>
          <t>SÍ — integrante</t>
        </is>
      </c>
      <c r="T507" s="11" t="inlineStr">
        <is>
          <t>B · INTEGRANTE</t>
        </is>
      </c>
      <c r="U507" s="11" t="inlineStr">
        <is>
          <t>DEL BANCO (se hereda)</t>
        </is>
      </c>
      <c r="V507" s="11" t="inlineStr">
        <is>
          <t>9151 · SECTOR PRIMARIO (agropecuario, pesca, forestal, minería)</t>
        </is>
      </c>
      <c r="W507" s="12" t="n"/>
      <c r="X507" s="12" t="n"/>
    </row>
    <row r="508" ht="15" customHeight="1">
      <c r="C508" t="inlineStr">
        <is>
          <t>Actividad económica / giro mercantil</t>
        </is>
      </c>
      <c r="D508" t="inlineStr">
        <is>
          <t>F12</t>
        </is>
      </c>
      <c r="E508" t="inlineStr">
        <is>
          <t>INHERENTE</t>
        </is>
      </c>
      <c r="F508" t="inlineStr">
        <is>
          <t>FABRICACION DE OTROS ARTICULOS DE MADERA</t>
        </is>
      </c>
      <c r="G508" t="n">
        <v>2639039</v>
      </c>
      <c r="H508" t="n">
        <v>1</v>
      </c>
      <c r="I508" t="n">
        <v>1</v>
      </c>
      <c r="J508" t="n">
        <v>8</v>
      </c>
      <c r="K508" t="n">
        <v>8</v>
      </c>
      <c r="L508" t="n">
        <v>8</v>
      </c>
      <c r="M508" t="n">
        <v>8</v>
      </c>
      <c r="N508" t="n">
        <v>8</v>
      </c>
      <c r="O508" t="n">
        <v>40</v>
      </c>
      <c r="P508" t="n">
        <v>8</v>
      </c>
      <c r="R508" s="9" t="n">
        <v>0.08</v>
      </c>
      <c r="S508" s="10" t="inlineStr">
        <is>
          <t>SÍ — integrante</t>
        </is>
      </c>
      <c r="T508" s="11" t="inlineStr">
        <is>
          <t>B · INTEGRANTE</t>
        </is>
      </c>
      <c r="U508" s="11" t="inlineStr">
        <is>
          <t>DEL BANCO (se hereda)</t>
        </is>
      </c>
      <c r="V508" s="11" t="inlineStr">
        <is>
          <t>9151 · SECTOR PRIMARIO (agropecuario, pesca, forestal, minería)</t>
        </is>
      </c>
      <c r="W508" s="12" t="n"/>
      <c r="X508" s="12" t="n"/>
    </row>
    <row r="509" ht="15" customHeight="1">
      <c r="C509" t="inlineStr">
        <is>
          <t>Actividad económica / giro mercantil</t>
        </is>
      </c>
      <c r="D509" t="inlineStr">
        <is>
          <t>F12</t>
        </is>
      </c>
      <c r="E509" t="inlineStr">
        <is>
          <t>INHERENTE</t>
        </is>
      </c>
      <c r="F509" t="inlineStr">
        <is>
          <t>FABRICACIÓN Y REPARACIÓN DE MUEBLES Y ACCESORIOS; EXCEPTO LOS DE METAL Y LOS DE PLÁSTICO MOLDEADO</t>
        </is>
      </c>
      <c r="G509" t="n">
        <v>2700004</v>
      </c>
      <c r="H509" t="n">
        <v>1</v>
      </c>
      <c r="I509" t="n">
        <v>1</v>
      </c>
      <c r="J509" t="n">
        <v>8</v>
      </c>
      <c r="K509" t="n">
        <v>8</v>
      </c>
      <c r="L509" t="n">
        <v>8</v>
      </c>
      <c r="M509" t="n">
        <v>8</v>
      </c>
      <c r="N509" t="n">
        <v>8</v>
      </c>
      <c r="O509" t="n">
        <v>40</v>
      </c>
      <c r="P509" t="n">
        <v>8</v>
      </c>
      <c r="R509" s="9" t="n">
        <v>0.08</v>
      </c>
      <c r="S509" s="10" t="inlineStr">
        <is>
          <t>SÍ — integrante</t>
        </is>
      </c>
      <c r="T509" s="11" t="inlineStr">
        <is>
          <t>B · INTEGRANTE</t>
        </is>
      </c>
      <c r="U509" s="11" t="inlineStr">
        <is>
          <t>DEL BANCO (se hereda)</t>
        </is>
      </c>
      <c r="V509" s="11" t="inlineStr">
        <is>
          <t>9152 · INDUSTRIA Y MANUFACTURA</t>
        </is>
      </c>
      <c r="W509" s="12" t="n"/>
      <c r="X509" s="12" t="n"/>
    </row>
    <row r="510" ht="15" customHeight="1">
      <c r="C510" t="inlineStr">
        <is>
          <t>Actividad económica / giro mercantil</t>
        </is>
      </c>
      <c r="D510" t="inlineStr">
        <is>
          <t>F12</t>
        </is>
      </c>
      <c r="E510" t="inlineStr">
        <is>
          <t>INHERENTE</t>
        </is>
      </c>
      <c r="F510" t="inlineStr">
        <is>
          <t>FABRICACION DE MUEBLES DE MADERA</t>
        </is>
      </c>
      <c r="G510" t="n">
        <v>2711019</v>
      </c>
      <c r="H510" t="n">
        <v>1</v>
      </c>
      <c r="I510" t="n">
        <v>1</v>
      </c>
      <c r="J510" t="n">
        <v>8</v>
      </c>
      <c r="K510" t="n">
        <v>8</v>
      </c>
      <c r="L510" t="n">
        <v>8</v>
      </c>
      <c r="M510" t="n">
        <v>8</v>
      </c>
      <c r="N510" t="n">
        <v>8</v>
      </c>
      <c r="O510" t="n">
        <v>40</v>
      </c>
      <c r="P510" t="n">
        <v>8</v>
      </c>
      <c r="R510" s="9" t="n">
        <v>0.08</v>
      </c>
      <c r="S510" s="10" t="inlineStr">
        <is>
          <t>SÍ — integrante</t>
        </is>
      </c>
      <c r="T510" s="11" t="inlineStr">
        <is>
          <t>B · INTEGRANTE</t>
        </is>
      </c>
      <c r="U510" s="11" t="inlineStr">
        <is>
          <t>DEL BANCO (se hereda)</t>
        </is>
      </c>
      <c r="V510" s="11" t="inlineStr">
        <is>
          <t>9151 · SECTOR PRIMARIO (agropecuario, pesca, forestal, minería)</t>
        </is>
      </c>
      <c r="W510" s="12" t="n"/>
      <c r="X510" s="12" t="n"/>
    </row>
    <row r="511" ht="15" customHeight="1">
      <c r="C511" t="inlineStr">
        <is>
          <t>Actividad económica / giro mercantil</t>
        </is>
      </c>
      <c r="D511" t="inlineStr">
        <is>
          <t>F12</t>
        </is>
      </c>
      <c r="E511" t="inlineStr">
        <is>
          <t>INHERENTE</t>
        </is>
      </c>
      <c r="F511" t="inlineStr">
        <is>
          <t>FABRICACION DE MUEBLES DE MATERIAL SINTETICO</t>
        </is>
      </c>
      <c r="G511" t="n">
        <v>2711027</v>
      </c>
      <c r="H511" t="n">
        <v>1</v>
      </c>
      <c r="I511" t="n">
        <v>1</v>
      </c>
      <c r="J511" t="n">
        <v>8</v>
      </c>
      <c r="K511" t="n">
        <v>8</v>
      </c>
      <c r="L511" t="n">
        <v>8</v>
      </c>
      <c r="M511" t="n">
        <v>8</v>
      </c>
      <c r="N511" t="n">
        <v>8</v>
      </c>
      <c r="O511" t="n">
        <v>40</v>
      </c>
      <c r="P511" t="n">
        <v>8</v>
      </c>
      <c r="R511" s="9" t="n">
        <v>0.08</v>
      </c>
      <c r="S511" s="10" t="inlineStr">
        <is>
          <t>SÍ — integrante</t>
        </is>
      </c>
      <c r="T511" s="11" t="inlineStr">
        <is>
          <t>B · INTEGRANTE</t>
        </is>
      </c>
      <c r="U511" s="11" t="inlineStr">
        <is>
          <t>DEL BANCO (se hereda)</t>
        </is>
      </c>
      <c r="V511" s="11" t="inlineStr">
        <is>
          <t>9152 · INDUSTRIA Y MANUFACTURA</t>
        </is>
      </c>
      <c r="W511" s="12" t="n"/>
      <c r="X511" s="12" t="n"/>
    </row>
    <row r="512" ht="15" customHeight="1">
      <c r="C512" t="inlineStr">
        <is>
          <t>Actividad económica / giro mercantil</t>
        </is>
      </c>
      <c r="D512" t="inlineStr">
        <is>
          <t>F12</t>
        </is>
      </c>
      <c r="E512" t="inlineStr">
        <is>
          <t>INHERENTE</t>
        </is>
      </c>
      <c r="F512" t="inlineStr">
        <is>
          <t>FABRICACION DE PERSIANAS DE MADERA</t>
        </is>
      </c>
      <c r="G512" t="n">
        <v>2712017</v>
      </c>
      <c r="H512" t="n">
        <v>1</v>
      </c>
      <c r="I512" t="n">
        <v>1</v>
      </c>
      <c r="J512" t="n">
        <v>8</v>
      </c>
      <c r="K512" t="n">
        <v>8</v>
      </c>
      <c r="L512" t="n">
        <v>8</v>
      </c>
      <c r="M512" t="n">
        <v>8</v>
      </c>
      <c r="N512" t="n">
        <v>8</v>
      </c>
      <c r="O512" t="n">
        <v>40</v>
      </c>
      <c r="P512" t="n">
        <v>8</v>
      </c>
      <c r="R512" s="9" t="n">
        <v>0.08</v>
      </c>
      <c r="S512" s="10" t="inlineStr">
        <is>
          <t>SÍ — integrante</t>
        </is>
      </c>
      <c r="T512" s="11" t="inlineStr">
        <is>
          <t>B · INTEGRANTE</t>
        </is>
      </c>
      <c r="U512" s="11" t="inlineStr">
        <is>
          <t>DEL BANCO (se hereda)</t>
        </is>
      </c>
      <c r="V512" s="11" t="inlineStr">
        <is>
          <t>9151 · SECTOR PRIMARIO (agropecuario, pesca, forestal, minería)</t>
        </is>
      </c>
      <c r="W512" s="12" t="n"/>
      <c r="X512" s="12" t="n"/>
    </row>
    <row r="513" ht="15" customHeight="1">
      <c r="C513" t="inlineStr">
        <is>
          <t>Actividad económica / giro mercantil</t>
        </is>
      </c>
      <c r="D513" t="inlineStr">
        <is>
          <t>F12</t>
        </is>
      </c>
      <c r="E513" t="inlineStr">
        <is>
          <t>INHERENTE</t>
        </is>
      </c>
      <c r="F513" t="inlineStr">
        <is>
          <t>FABRICACION DE ALMOHADAS Y COJINES</t>
        </is>
      </c>
      <c r="G513" t="n">
        <v>2713015</v>
      </c>
      <c r="H513" t="n">
        <v>1</v>
      </c>
      <c r="I513" t="n">
        <v>1</v>
      </c>
      <c r="J513" t="n">
        <v>8</v>
      </c>
      <c r="K513" t="n">
        <v>8</v>
      </c>
      <c r="L513" t="n">
        <v>8</v>
      </c>
      <c r="M513" t="n">
        <v>8</v>
      </c>
      <c r="N513" t="n">
        <v>8</v>
      </c>
      <c r="O513" t="n">
        <v>40</v>
      </c>
      <c r="P513" t="n">
        <v>8</v>
      </c>
      <c r="R513" s="9" t="n">
        <v>0.08</v>
      </c>
      <c r="S513" s="10" t="inlineStr">
        <is>
          <t>SÍ — integrante</t>
        </is>
      </c>
      <c r="T513" s="11" t="inlineStr">
        <is>
          <t>B · INTEGRANTE</t>
        </is>
      </c>
      <c r="U513" s="11" t="inlineStr">
        <is>
          <t>DEL BANCO (se hereda)</t>
        </is>
      </c>
      <c r="V513" s="11" t="inlineStr">
        <is>
          <t>9152 · INDUSTRIA Y MANUFACTURA</t>
        </is>
      </c>
      <c r="W513" s="12" t="n"/>
      <c r="X513" s="12" t="n"/>
    </row>
    <row r="514" ht="15" customHeight="1">
      <c r="C514" t="inlineStr">
        <is>
          <t>Actividad económica / giro mercantil</t>
        </is>
      </c>
      <c r="D514" t="inlineStr">
        <is>
          <t>F12</t>
        </is>
      </c>
      <c r="E514" t="inlineStr">
        <is>
          <t>INHERENTE</t>
        </is>
      </c>
      <c r="F514" t="inlineStr">
        <is>
          <t>FABRICACION DE COLCHONES Y COLCHONETAS</t>
        </is>
      </c>
      <c r="G514" t="n">
        <v>2713023</v>
      </c>
      <c r="H514" t="n">
        <v>1</v>
      </c>
      <c r="I514" t="n">
        <v>1</v>
      </c>
      <c r="J514" t="n">
        <v>8</v>
      </c>
      <c r="K514" t="n">
        <v>8</v>
      </c>
      <c r="L514" t="n">
        <v>8</v>
      </c>
      <c r="M514" t="n">
        <v>8</v>
      </c>
      <c r="N514" t="n">
        <v>8</v>
      </c>
      <c r="O514" t="n">
        <v>40</v>
      </c>
      <c r="P514" t="n">
        <v>8</v>
      </c>
      <c r="R514" s="9" t="n">
        <v>0.08</v>
      </c>
      <c r="S514" s="10" t="inlineStr">
        <is>
          <t>SÍ — integrante</t>
        </is>
      </c>
      <c r="T514" s="11" t="inlineStr">
        <is>
          <t>B · INTEGRANTE</t>
        </is>
      </c>
      <c r="U514" s="11" t="inlineStr">
        <is>
          <t>DEL BANCO (se hereda)</t>
        </is>
      </c>
      <c r="V514" s="11" t="inlineStr">
        <is>
          <t>9152 · INDUSTRIA Y MANUFACTURA</t>
        </is>
      </c>
      <c r="W514" s="12" t="n"/>
      <c r="X514" s="12" t="n"/>
    </row>
    <row r="515" ht="15" customHeight="1">
      <c r="C515" t="inlineStr">
        <is>
          <t>Actividad económica / giro mercantil</t>
        </is>
      </c>
      <c r="D515" t="inlineStr">
        <is>
          <t>F12</t>
        </is>
      </c>
      <c r="E515" t="inlineStr">
        <is>
          <t>INHERENTE</t>
        </is>
      </c>
      <c r="F515" t="inlineStr">
        <is>
          <t>FABRICACION DE MARCOS Y MOLDURAS DE MADERA</t>
        </is>
      </c>
      <c r="G515" t="n">
        <v>2719013</v>
      </c>
      <c r="H515" t="n">
        <v>1</v>
      </c>
      <c r="I515" t="n">
        <v>1</v>
      </c>
      <c r="J515" t="n">
        <v>8</v>
      </c>
      <c r="K515" t="n">
        <v>8</v>
      </c>
      <c r="L515" t="n">
        <v>8</v>
      </c>
      <c r="M515" t="n">
        <v>8</v>
      </c>
      <c r="N515" t="n">
        <v>8</v>
      </c>
      <c r="O515" t="n">
        <v>40</v>
      </c>
      <c r="P515" t="n">
        <v>8</v>
      </c>
      <c r="R515" s="9" t="n">
        <v>0.08</v>
      </c>
      <c r="S515" s="10" t="inlineStr">
        <is>
          <t>SÍ — integrante</t>
        </is>
      </c>
      <c r="T515" s="11" t="inlineStr">
        <is>
          <t>B · INTEGRANTE</t>
        </is>
      </c>
      <c r="U515" s="11" t="inlineStr">
        <is>
          <t>DEL BANCO (se hereda)</t>
        </is>
      </c>
      <c r="V515" s="11" t="inlineStr">
        <is>
          <t>9151 · SECTOR PRIMARIO (agropecuario, pesca, forestal, minería)</t>
        </is>
      </c>
      <c r="W515" s="12" t="n"/>
      <c r="X515" s="12" t="n"/>
    </row>
    <row r="516" ht="15" customHeight="1">
      <c r="C516" t="inlineStr">
        <is>
          <t>Actividad económica / giro mercantil</t>
        </is>
      </c>
      <c r="D516" t="inlineStr">
        <is>
          <t>F12</t>
        </is>
      </c>
      <c r="E516" t="inlineStr">
        <is>
          <t>INHERENTE</t>
        </is>
      </c>
      <c r="F516" t="inlineStr">
        <is>
          <t>INDUSTRIA DEL PAPEL</t>
        </is>
      </c>
      <c r="G516" t="n">
        <v>2800002</v>
      </c>
      <c r="H516" t="n">
        <v>1</v>
      </c>
      <c r="I516" t="n">
        <v>1</v>
      </c>
      <c r="J516" t="n">
        <v>8</v>
      </c>
      <c r="K516" t="n">
        <v>8</v>
      </c>
      <c r="L516" t="n">
        <v>8</v>
      </c>
      <c r="M516" t="n">
        <v>8</v>
      </c>
      <c r="N516" t="n">
        <v>8</v>
      </c>
      <c r="O516" t="n">
        <v>40</v>
      </c>
      <c r="P516" t="n">
        <v>8</v>
      </c>
      <c r="R516" s="9" t="n">
        <v>0.08</v>
      </c>
      <c r="S516" s="10" t="inlineStr">
        <is>
          <t>SÍ — integrante</t>
        </is>
      </c>
      <c r="T516" s="11" t="inlineStr">
        <is>
          <t>B · INTEGRANTE</t>
        </is>
      </c>
      <c r="U516" s="11" t="inlineStr">
        <is>
          <t>DEL BANCO (se hereda)</t>
        </is>
      </c>
      <c r="V516" s="11" t="inlineStr">
        <is>
          <t>9152 · INDUSTRIA Y MANUFACTURA</t>
        </is>
      </c>
      <c r="W516" s="12" t="n"/>
      <c r="X516" s="12" t="n"/>
    </row>
    <row r="517" ht="15" customHeight="1">
      <c r="C517" t="inlineStr">
        <is>
          <t>Actividad económica / giro mercantil</t>
        </is>
      </c>
      <c r="D517" t="inlineStr">
        <is>
          <t>F12</t>
        </is>
      </c>
      <c r="E517" t="inlineStr">
        <is>
          <t>INHERENTE</t>
        </is>
      </c>
      <c r="F517" t="inlineStr">
        <is>
          <t>FABRICACION DE PAPEL</t>
        </is>
      </c>
      <c r="G517" t="n">
        <v>2811017</v>
      </c>
      <c r="H517" t="n">
        <v>1</v>
      </c>
      <c r="I517" t="n">
        <v>1</v>
      </c>
      <c r="J517" t="n">
        <v>8</v>
      </c>
      <c r="K517" t="n">
        <v>8</v>
      </c>
      <c r="L517" t="n">
        <v>8</v>
      </c>
      <c r="M517" t="n">
        <v>8</v>
      </c>
      <c r="N517" t="n">
        <v>8</v>
      </c>
      <c r="O517" t="n">
        <v>40</v>
      </c>
      <c r="P517" t="n">
        <v>8</v>
      </c>
      <c r="R517" s="9" t="n">
        <v>0.08</v>
      </c>
      <c r="S517" s="10" t="inlineStr">
        <is>
          <t>SÍ — integrante</t>
        </is>
      </c>
      <c r="T517" s="11" t="inlineStr">
        <is>
          <t>B · INTEGRANTE</t>
        </is>
      </c>
      <c r="U517" s="11" t="inlineStr">
        <is>
          <t>DEL BANCO (se hereda)</t>
        </is>
      </c>
      <c r="V517" s="11" t="inlineStr">
        <is>
          <t>9152 · INDUSTRIA Y MANUFACTURA</t>
        </is>
      </c>
      <c r="W517" s="12" t="n"/>
      <c r="X517" s="12" t="n"/>
    </row>
    <row r="518" ht="15" customHeight="1">
      <c r="C518" t="inlineStr">
        <is>
          <t>Actividad económica / giro mercantil</t>
        </is>
      </c>
      <c r="D518" t="inlineStr">
        <is>
          <t>F12</t>
        </is>
      </c>
      <c r="E518" t="inlineStr">
        <is>
          <t>INHERENTE</t>
        </is>
      </c>
      <c r="F518" t="inlineStr">
        <is>
          <t>FABRICACION DE PAPEL PARA CIGARROS</t>
        </is>
      </c>
      <c r="G518" t="n">
        <v>2811025</v>
      </c>
      <c r="H518" t="n">
        <v>1</v>
      </c>
      <c r="I518" t="n">
        <v>1</v>
      </c>
      <c r="J518" t="n">
        <v>8</v>
      </c>
      <c r="K518" t="n">
        <v>8</v>
      </c>
      <c r="L518" t="n">
        <v>8</v>
      </c>
      <c r="M518" t="n">
        <v>8</v>
      </c>
      <c r="N518" t="n">
        <v>8</v>
      </c>
      <c r="O518" t="n">
        <v>40</v>
      </c>
      <c r="P518" t="n">
        <v>8</v>
      </c>
      <c r="R518" s="9" t="n">
        <v>0.08</v>
      </c>
      <c r="S518" s="10" t="inlineStr">
        <is>
          <t>SÍ — integrante</t>
        </is>
      </c>
      <c r="T518" s="11" t="inlineStr">
        <is>
          <t>B · INTEGRANTE</t>
        </is>
      </c>
      <c r="U518" s="11" t="inlineStr">
        <is>
          <t>DEL BANCO (se hereda)</t>
        </is>
      </c>
      <c r="V518" s="11" t="inlineStr">
        <is>
          <t>9152 · INDUSTRIA Y MANUFACTURA</t>
        </is>
      </c>
      <c r="W518" s="12" t="n"/>
      <c r="X518" s="12" t="n"/>
    </row>
    <row r="519" ht="15" customHeight="1">
      <c r="C519" t="inlineStr">
        <is>
          <t>Actividad económica / giro mercantil</t>
        </is>
      </c>
      <c r="D519" t="inlineStr">
        <is>
          <t>F12</t>
        </is>
      </c>
      <c r="E519" t="inlineStr">
        <is>
          <t>INHERENTE</t>
        </is>
      </c>
      <c r="F519" t="inlineStr">
        <is>
          <t>FABRICACION DE PASTA DE CELULOSA</t>
        </is>
      </c>
      <c r="G519" t="n">
        <v>2811033</v>
      </c>
      <c r="H519" t="n">
        <v>1</v>
      </c>
      <c r="I519" t="n">
        <v>1</v>
      </c>
      <c r="J519" t="n">
        <v>8</v>
      </c>
      <c r="K519" t="n">
        <v>8</v>
      </c>
      <c r="L519" t="n">
        <v>8</v>
      </c>
      <c r="M519" t="n">
        <v>8</v>
      </c>
      <c r="N519" t="n">
        <v>8</v>
      </c>
      <c r="O519" t="n">
        <v>40</v>
      </c>
      <c r="P519" t="n">
        <v>8</v>
      </c>
      <c r="R519" s="9" t="n">
        <v>0.08</v>
      </c>
      <c r="S519" s="10" t="inlineStr">
        <is>
          <t>SÍ — integrante</t>
        </is>
      </c>
      <c r="T519" s="11" t="inlineStr">
        <is>
          <t>B · INTEGRANTE</t>
        </is>
      </c>
      <c r="U519" s="11" t="inlineStr">
        <is>
          <t>DEL BANCO (se hereda)</t>
        </is>
      </c>
      <c r="V519" s="11" t="inlineStr">
        <is>
          <t>9152 · INDUSTRIA Y MANUFACTURA</t>
        </is>
      </c>
      <c r="W519" s="12" t="n"/>
      <c r="X519" s="12" t="n"/>
    </row>
    <row r="520" ht="15" customHeight="1">
      <c r="C520" t="inlineStr">
        <is>
          <t>Actividad económica / giro mercantil</t>
        </is>
      </c>
      <c r="D520" t="inlineStr">
        <is>
          <t>F12</t>
        </is>
      </c>
      <c r="E520" t="inlineStr">
        <is>
          <t>INHERENTE</t>
        </is>
      </c>
      <c r="F520" t="inlineStr">
        <is>
          <t>FABRICACION DE PASTA O PULPA PARA PAPEL</t>
        </is>
      </c>
      <c r="G520" t="n">
        <v>2811041</v>
      </c>
      <c r="H520" t="n">
        <v>1</v>
      </c>
      <c r="I520" t="n">
        <v>1</v>
      </c>
      <c r="J520" t="n">
        <v>8</v>
      </c>
      <c r="K520" t="n">
        <v>8</v>
      </c>
      <c r="L520" t="n">
        <v>8</v>
      </c>
      <c r="M520" t="n">
        <v>8</v>
      </c>
      <c r="N520" t="n">
        <v>8</v>
      </c>
      <c r="O520" t="n">
        <v>40</v>
      </c>
      <c r="P520" t="n">
        <v>8</v>
      </c>
      <c r="R520" s="9" t="n">
        <v>0.08</v>
      </c>
      <c r="S520" s="10" t="inlineStr">
        <is>
          <t>SÍ — integrante</t>
        </is>
      </c>
      <c r="T520" s="11" t="inlineStr">
        <is>
          <t>B · INTEGRANTE</t>
        </is>
      </c>
      <c r="U520" s="11" t="inlineStr">
        <is>
          <t>DEL BANCO (se hereda)</t>
        </is>
      </c>
      <c r="V520" s="11" t="inlineStr">
        <is>
          <t>9152 · INDUSTRIA Y MANUFACTURA</t>
        </is>
      </c>
      <c r="W520" s="12" t="n"/>
      <c r="X520" s="12" t="n"/>
    </row>
    <row r="521" ht="15" customHeight="1">
      <c r="C521" t="inlineStr">
        <is>
          <t>Actividad económica / giro mercantil</t>
        </is>
      </c>
      <c r="D521" t="inlineStr">
        <is>
          <t>F12</t>
        </is>
      </c>
      <c r="E521" t="inlineStr">
        <is>
          <t>INHERENTE</t>
        </is>
      </c>
      <c r="F521" t="inlineStr">
        <is>
          <t>FABRICACION DE CARTON</t>
        </is>
      </c>
      <c r="G521" t="n">
        <v>2812015</v>
      </c>
      <c r="H521" t="n">
        <v>1</v>
      </c>
      <c r="I521" t="n">
        <v>1</v>
      </c>
      <c r="J521" t="n">
        <v>8</v>
      </c>
      <c r="K521" t="n">
        <v>8</v>
      </c>
      <c r="L521" t="n">
        <v>8</v>
      </c>
      <c r="M521" t="n">
        <v>8</v>
      </c>
      <c r="N521" t="n">
        <v>8</v>
      </c>
      <c r="O521" t="n">
        <v>40</v>
      </c>
      <c r="P521" t="n">
        <v>8</v>
      </c>
      <c r="R521" s="9" t="n">
        <v>0.08</v>
      </c>
      <c r="S521" s="10" t="inlineStr">
        <is>
          <t>SÍ — integrante</t>
        </is>
      </c>
      <c r="T521" s="11" t="inlineStr">
        <is>
          <t>B · INTEGRANTE</t>
        </is>
      </c>
      <c r="U521" s="11" t="inlineStr">
        <is>
          <t>DEL BANCO (se hereda)</t>
        </is>
      </c>
      <c r="V521" s="11" t="inlineStr">
        <is>
          <t>9152 · INDUSTRIA Y MANUFACTURA</t>
        </is>
      </c>
      <c r="W521" s="12" t="n"/>
      <c r="X521" s="12" t="n"/>
    </row>
    <row r="522" ht="15" customHeight="1">
      <c r="C522" t="inlineStr">
        <is>
          <t>Actividad económica / giro mercantil</t>
        </is>
      </c>
      <c r="D522" t="inlineStr">
        <is>
          <t>F12</t>
        </is>
      </c>
      <c r="E522" t="inlineStr">
        <is>
          <t>INHERENTE</t>
        </is>
      </c>
      <c r="F522" t="inlineStr">
        <is>
          <t>FABRICACION DE SACOS Y BOLSAS DE PAPEL PARA ENVASE</t>
        </is>
      </c>
      <c r="G522" t="n">
        <v>2821016</v>
      </c>
      <c r="H522" t="n">
        <v>1</v>
      </c>
      <c r="I522" t="n">
        <v>1</v>
      </c>
      <c r="J522" t="n">
        <v>8</v>
      </c>
      <c r="K522" t="n">
        <v>8</v>
      </c>
      <c r="L522" t="n">
        <v>8</v>
      </c>
      <c r="M522" t="n">
        <v>8</v>
      </c>
      <c r="N522" t="n">
        <v>8</v>
      </c>
      <c r="O522" t="n">
        <v>40</v>
      </c>
      <c r="P522" t="n">
        <v>8</v>
      </c>
      <c r="R522" s="9" t="n">
        <v>0.08</v>
      </c>
      <c r="S522" s="10" t="inlineStr">
        <is>
          <t>SÍ — integrante</t>
        </is>
      </c>
      <c r="T522" s="11" t="inlineStr">
        <is>
          <t>B · INTEGRANTE</t>
        </is>
      </c>
      <c r="U522" s="11" t="inlineStr">
        <is>
          <t>DEL BANCO (se hereda)</t>
        </is>
      </c>
      <c r="V522" s="11" t="inlineStr">
        <is>
          <t>9152 · INDUSTRIA Y MANUFACTURA</t>
        </is>
      </c>
      <c r="W522" s="12" t="n"/>
      <c r="X522" s="12" t="n"/>
    </row>
    <row r="523" ht="15" customHeight="1">
      <c r="C523" t="inlineStr">
        <is>
          <t>Actividad económica / giro mercantil</t>
        </is>
      </c>
      <c r="D523" t="inlineStr">
        <is>
          <t>F12</t>
        </is>
      </c>
      <c r="E523" t="inlineStr">
        <is>
          <t>INHERENTE</t>
        </is>
      </c>
      <c r="F523" t="inlineStr">
        <is>
          <t>FABRICACION DE ENVASES DE CARTON</t>
        </is>
      </c>
      <c r="G523" t="n">
        <v>2822014</v>
      </c>
      <c r="H523" t="n">
        <v>1</v>
      </c>
      <c r="I523" t="n">
        <v>1</v>
      </c>
      <c r="J523" t="n">
        <v>8</v>
      </c>
      <c r="K523" t="n">
        <v>8</v>
      </c>
      <c r="L523" t="n">
        <v>8</v>
      </c>
      <c r="M523" t="n">
        <v>8</v>
      </c>
      <c r="N523" t="n">
        <v>8</v>
      </c>
      <c r="O523" t="n">
        <v>40</v>
      </c>
      <c r="P523" t="n">
        <v>8</v>
      </c>
      <c r="R523" s="9" t="n">
        <v>0.08</v>
      </c>
      <c r="S523" s="10" t="inlineStr">
        <is>
          <t>SÍ — integrante</t>
        </is>
      </c>
      <c r="T523" s="11" t="inlineStr">
        <is>
          <t>B · INTEGRANTE</t>
        </is>
      </c>
      <c r="U523" s="11" t="inlineStr">
        <is>
          <t>DEL BANCO (se hereda)</t>
        </is>
      </c>
      <c r="V523" s="11" t="inlineStr">
        <is>
          <t>9152 · INDUSTRIA Y MANUFACTURA</t>
        </is>
      </c>
      <c r="W523" s="12" t="n"/>
      <c r="X523" s="12" t="n"/>
    </row>
    <row r="524" ht="15" customHeight="1">
      <c r="C524" t="inlineStr">
        <is>
          <t>Actividad económica / giro mercantil</t>
        </is>
      </c>
      <c r="D524" t="inlineStr">
        <is>
          <t>F12</t>
        </is>
      </c>
      <c r="E524" t="inlineStr">
        <is>
          <t>INHERENTE</t>
        </is>
      </c>
      <c r="F524" t="inlineStr">
        <is>
          <t>FABRICACION DE OTROS ARTICULOS DE CARTON</t>
        </is>
      </c>
      <c r="G524" t="n">
        <v>2829010</v>
      </c>
      <c r="H524" t="n">
        <v>1</v>
      </c>
      <c r="I524" t="n">
        <v>1</v>
      </c>
      <c r="J524" t="n">
        <v>8</v>
      </c>
      <c r="K524" t="n">
        <v>8</v>
      </c>
      <c r="L524" t="n">
        <v>8</v>
      </c>
      <c r="M524" t="n">
        <v>8</v>
      </c>
      <c r="N524" t="n">
        <v>8</v>
      </c>
      <c r="O524" t="n">
        <v>40</v>
      </c>
      <c r="P524" t="n">
        <v>8</v>
      </c>
      <c r="R524" s="9" t="n">
        <v>0.08</v>
      </c>
      <c r="S524" s="10" t="inlineStr">
        <is>
          <t>SÍ — integrante</t>
        </is>
      </c>
      <c r="T524" s="11" t="inlineStr">
        <is>
          <t>B · INTEGRANTE</t>
        </is>
      </c>
      <c r="U524" s="11" t="inlineStr">
        <is>
          <t>DEL BANCO (se hereda)</t>
        </is>
      </c>
      <c r="V524" s="11" t="inlineStr">
        <is>
          <t>9152 · INDUSTRIA Y MANUFACTURA</t>
        </is>
      </c>
      <c r="W524" s="12" t="n"/>
      <c r="X524" s="12" t="n"/>
    </row>
    <row r="525" ht="15" customHeight="1">
      <c r="C525" t="inlineStr">
        <is>
          <t>Actividad económica / giro mercantil</t>
        </is>
      </c>
      <c r="D525" t="inlineStr">
        <is>
          <t>F12</t>
        </is>
      </c>
      <c r="E525" t="inlineStr">
        <is>
          <t>INHERENTE</t>
        </is>
      </c>
      <c r="F525" t="inlineStr">
        <is>
          <t>FABRICACION DE OTROS ARTICULOS DE PAPEL</t>
        </is>
      </c>
      <c r="G525" t="n">
        <v>2829028</v>
      </c>
      <c r="H525" t="n">
        <v>1</v>
      </c>
      <c r="I525" t="n">
        <v>1</v>
      </c>
      <c r="J525" t="n">
        <v>8</v>
      </c>
      <c r="K525" t="n">
        <v>8</v>
      </c>
      <c r="L525" t="n">
        <v>8</v>
      </c>
      <c r="M525" t="n">
        <v>8</v>
      </c>
      <c r="N525" t="n">
        <v>8</v>
      </c>
      <c r="O525" t="n">
        <v>40</v>
      </c>
      <c r="P525" t="n">
        <v>8</v>
      </c>
      <c r="R525" s="9" t="n">
        <v>0.08</v>
      </c>
      <c r="S525" s="10" t="inlineStr">
        <is>
          <t>SÍ — integrante</t>
        </is>
      </c>
      <c r="T525" s="11" t="inlineStr">
        <is>
          <t>B · INTEGRANTE</t>
        </is>
      </c>
      <c r="U525" s="11" t="inlineStr">
        <is>
          <t>DEL BANCO (se hereda)</t>
        </is>
      </c>
      <c r="V525" s="11" t="inlineStr">
        <is>
          <t>9152 · INDUSTRIA Y MANUFACTURA</t>
        </is>
      </c>
      <c r="W525" s="12" t="n"/>
      <c r="X525" s="12" t="n"/>
    </row>
    <row r="526" ht="15" customHeight="1">
      <c r="C526" t="inlineStr">
        <is>
          <t>Actividad económica / giro mercantil</t>
        </is>
      </c>
      <c r="D526" t="inlineStr">
        <is>
          <t>F12</t>
        </is>
      </c>
      <c r="E526" t="inlineStr">
        <is>
          <t>INHERENTE</t>
        </is>
      </c>
      <c r="F526" t="inlineStr">
        <is>
          <t>INDUSTRIAS EDITORIAL, DE IMPRESIÓN Y CONEXAS</t>
        </is>
      </c>
      <c r="G526" t="n">
        <v>2900000</v>
      </c>
      <c r="H526" t="n">
        <v>1</v>
      </c>
      <c r="I526" t="n">
        <v>1</v>
      </c>
      <c r="J526" t="n">
        <v>8</v>
      </c>
      <c r="K526" t="n">
        <v>8</v>
      </c>
      <c r="L526" t="n">
        <v>8</v>
      </c>
      <c r="M526" t="n">
        <v>8</v>
      </c>
      <c r="N526" t="n">
        <v>8</v>
      </c>
      <c r="O526" t="n">
        <v>40</v>
      </c>
      <c r="P526" t="n">
        <v>8</v>
      </c>
      <c r="R526" s="9" t="n">
        <v>0.08</v>
      </c>
      <c r="S526" s="10" t="inlineStr">
        <is>
          <t>SÍ — integrante</t>
        </is>
      </c>
      <c r="T526" s="11" t="inlineStr">
        <is>
          <t>B · INTEGRANTE</t>
        </is>
      </c>
      <c r="U526" s="11" t="inlineStr">
        <is>
          <t>DEL BANCO (se hereda)</t>
        </is>
      </c>
      <c r="V526" s="11" t="inlineStr">
        <is>
          <t>9152 · INDUSTRIA Y MANUFACTURA</t>
        </is>
      </c>
      <c r="W526" s="12" t="n"/>
      <c r="X526" s="12" t="n"/>
    </row>
    <row r="527" ht="15" customHeight="1">
      <c r="C527" t="inlineStr">
        <is>
          <t>Actividad económica / giro mercantil</t>
        </is>
      </c>
      <c r="D527" t="inlineStr">
        <is>
          <t>F12</t>
        </is>
      </c>
      <c r="E527" t="inlineStr">
        <is>
          <t>INHERENTE</t>
        </is>
      </c>
      <c r="F527" t="inlineStr">
        <is>
          <t>EDICION DE PERIODICOS Y REVISTAS</t>
        </is>
      </c>
      <c r="G527" t="n">
        <v>2911015</v>
      </c>
      <c r="H527" t="n">
        <v>1</v>
      </c>
      <c r="I527" t="n">
        <v>1</v>
      </c>
      <c r="J527" t="n">
        <v>8</v>
      </c>
      <c r="K527" t="n">
        <v>8</v>
      </c>
      <c r="L527" t="n">
        <v>8</v>
      </c>
      <c r="M527" t="n">
        <v>8</v>
      </c>
      <c r="N527" t="n">
        <v>8</v>
      </c>
      <c r="O527" t="n">
        <v>40</v>
      </c>
      <c r="P527" t="n">
        <v>8</v>
      </c>
      <c r="R527" s="9" t="n">
        <v>0.08</v>
      </c>
      <c r="S527" s="10" t="inlineStr">
        <is>
          <t>SÍ — integrante</t>
        </is>
      </c>
      <c r="T527" s="11" t="inlineStr">
        <is>
          <t>B · INTEGRANTE</t>
        </is>
      </c>
      <c r="U527" s="11" t="inlineStr">
        <is>
          <t>DEL BANCO (se hereda)</t>
        </is>
      </c>
      <c r="V527" s="11" t="inlineStr">
        <is>
          <t>9154 · OTRAS ACTIVIDADES NO CLASIFICADAS</t>
        </is>
      </c>
      <c r="W527" s="12" t="n"/>
      <c r="X527" s="12" t="n"/>
    </row>
    <row r="528" ht="15" customHeight="1">
      <c r="C528" t="inlineStr">
        <is>
          <t>Actividad económica / giro mercantil</t>
        </is>
      </c>
      <c r="D528" t="inlineStr">
        <is>
          <t>F12</t>
        </is>
      </c>
      <c r="E528" t="inlineStr">
        <is>
          <t>INHERENTE</t>
        </is>
      </c>
      <c r="F528" t="inlineStr">
        <is>
          <t>EDICION DE LIBROS Y SIMILARES</t>
        </is>
      </c>
      <c r="G528" t="n">
        <v>2912005</v>
      </c>
      <c r="H528" t="n">
        <v>1</v>
      </c>
      <c r="I528" t="n">
        <v>1</v>
      </c>
      <c r="J528" t="n">
        <v>8</v>
      </c>
      <c r="K528" t="n">
        <v>8</v>
      </c>
      <c r="L528" t="n">
        <v>8</v>
      </c>
      <c r="M528" t="n">
        <v>8</v>
      </c>
      <c r="N528" t="n">
        <v>8</v>
      </c>
      <c r="O528" t="n">
        <v>40</v>
      </c>
      <c r="P528" t="n">
        <v>8</v>
      </c>
      <c r="R528" s="9" t="n">
        <v>0.08</v>
      </c>
      <c r="S528" s="10" t="inlineStr">
        <is>
          <t>SÍ — integrante</t>
        </is>
      </c>
      <c r="T528" s="11" t="inlineStr">
        <is>
          <t>B · INTEGRANTE</t>
        </is>
      </c>
      <c r="U528" s="11" t="inlineStr">
        <is>
          <t>DEL BANCO (se hereda)</t>
        </is>
      </c>
      <c r="V528" s="11" t="inlineStr">
        <is>
          <t>9154 · OTRAS ACTIVIDADES NO CLASIFICADAS</t>
        </is>
      </c>
      <c r="W528" s="12" t="n"/>
      <c r="X528" s="12" t="n"/>
    </row>
    <row r="529" ht="15" customHeight="1">
      <c r="C529" t="inlineStr">
        <is>
          <t>Actividad económica / giro mercantil</t>
        </is>
      </c>
      <c r="D529" t="inlineStr">
        <is>
          <t>F12</t>
        </is>
      </c>
      <c r="E529" t="inlineStr">
        <is>
          <t>INHERENTE</t>
        </is>
      </c>
      <c r="F529" t="inlineStr">
        <is>
          <t>EDICION DE LIBROS</t>
        </is>
      </c>
      <c r="G529" t="n">
        <v>2912013</v>
      </c>
      <c r="H529" t="n">
        <v>1</v>
      </c>
      <c r="I529" t="n">
        <v>1</v>
      </c>
      <c r="J529" t="n">
        <v>8</v>
      </c>
      <c r="K529" t="n">
        <v>8</v>
      </c>
      <c r="L529" t="n">
        <v>8</v>
      </c>
      <c r="M529" t="n">
        <v>8</v>
      </c>
      <c r="N529" t="n">
        <v>8</v>
      </c>
      <c r="O529" t="n">
        <v>40</v>
      </c>
      <c r="P529" t="n">
        <v>8</v>
      </c>
      <c r="R529" s="9" t="n">
        <v>0.08</v>
      </c>
      <c r="S529" s="10" t="inlineStr">
        <is>
          <t>SÍ — integrante</t>
        </is>
      </c>
      <c r="T529" s="11" t="inlineStr">
        <is>
          <t>B · INTEGRANTE</t>
        </is>
      </c>
      <c r="U529" s="11" t="inlineStr">
        <is>
          <t>DEL BANCO (se hereda)</t>
        </is>
      </c>
      <c r="V529" s="11" t="inlineStr">
        <is>
          <t>9154 · OTRAS ACTIVIDADES NO CLASIFICADAS</t>
        </is>
      </c>
      <c r="W529" s="12" t="n"/>
      <c r="X529" s="12" t="n"/>
    </row>
    <row r="530" ht="15" customHeight="1">
      <c r="C530" t="inlineStr">
        <is>
          <t>Actividad económica / giro mercantil</t>
        </is>
      </c>
      <c r="D530" t="inlineStr">
        <is>
          <t>F12</t>
        </is>
      </c>
      <c r="E530" t="inlineStr">
        <is>
          <t>INHERENTE</t>
        </is>
      </c>
      <c r="F530" t="inlineStr">
        <is>
          <t>ENCUADERNACION</t>
        </is>
      </c>
      <c r="G530" t="n">
        <v>2921014</v>
      </c>
      <c r="H530" t="n">
        <v>1</v>
      </c>
      <c r="I530" t="n">
        <v>1</v>
      </c>
      <c r="J530" t="n">
        <v>8</v>
      </c>
      <c r="K530" t="n">
        <v>8</v>
      </c>
      <c r="L530" t="n">
        <v>8</v>
      </c>
      <c r="M530" t="n">
        <v>8</v>
      </c>
      <c r="N530" t="n">
        <v>8</v>
      </c>
      <c r="O530" t="n">
        <v>40</v>
      </c>
      <c r="P530" t="n">
        <v>8</v>
      </c>
      <c r="R530" s="9" t="n">
        <v>0.08</v>
      </c>
      <c r="S530" s="10" t="inlineStr">
        <is>
          <t>SÍ — integrante</t>
        </is>
      </c>
      <c r="T530" s="11" t="inlineStr">
        <is>
          <t>B · INTEGRANTE</t>
        </is>
      </c>
      <c r="U530" s="11" t="inlineStr">
        <is>
          <t>DEL BANCO (se hereda)</t>
        </is>
      </c>
      <c r="V530" s="11" t="inlineStr">
        <is>
          <t>9152 · INDUSTRIA Y MANUFACTURA</t>
        </is>
      </c>
      <c r="W530" s="12" t="n"/>
      <c r="X530" s="12" t="n"/>
    </row>
    <row r="531" ht="15" customHeight="1">
      <c r="C531" t="inlineStr">
        <is>
          <t>Actividad económica / giro mercantil</t>
        </is>
      </c>
      <c r="D531" t="inlineStr">
        <is>
          <t>F12</t>
        </is>
      </c>
      <c r="E531" t="inlineStr">
        <is>
          <t>INHERENTE</t>
        </is>
      </c>
      <c r="F531" t="inlineStr">
        <is>
          <t>FABRICACION DE FORMULARIOS Y FORMAS CONTINUAS</t>
        </is>
      </c>
      <c r="G531" t="n">
        <v>2921022</v>
      </c>
      <c r="H531" t="n">
        <v>1</v>
      </c>
      <c r="I531" t="n">
        <v>1</v>
      </c>
      <c r="J531" t="n">
        <v>8</v>
      </c>
      <c r="K531" t="n">
        <v>8</v>
      </c>
      <c r="L531" t="n">
        <v>8</v>
      </c>
      <c r="M531" t="n">
        <v>8</v>
      </c>
      <c r="N531" t="n">
        <v>8</v>
      </c>
      <c r="O531" t="n">
        <v>40</v>
      </c>
      <c r="P531" t="n">
        <v>8</v>
      </c>
      <c r="R531" s="9" t="n">
        <v>0.08</v>
      </c>
      <c r="S531" s="10" t="inlineStr">
        <is>
          <t>SÍ — integrante</t>
        </is>
      </c>
      <c r="T531" s="11" t="inlineStr">
        <is>
          <t>B · INTEGRANTE</t>
        </is>
      </c>
      <c r="U531" s="11" t="inlineStr">
        <is>
          <t>DEL BANCO (se hereda)</t>
        </is>
      </c>
      <c r="V531" s="11" t="inlineStr">
        <is>
          <t>9152 · INDUSTRIA Y MANUFACTURA</t>
        </is>
      </c>
      <c r="W531" s="12" t="n"/>
      <c r="X531" s="12" t="n"/>
    </row>
    <row r="532" ht="15" customHeight="1">
      <c r="C532" t="inlineStr">
        <is>
          <t>Actividad económica / giro mercantil</t>
        </is>
      </c>
      <c r="D532" t="inlineStr">
        <is>
          <t>F12</t>
        </is>
      </c>
      <c r="E532" t="inlineStr">
        <is>
          <t>INHERENTE</t>
        </is>
      </c>
      <c r="F532" t="inlineStr">
        <is>
          <t>FABRICACION DE LIBRETAS CUADERNOS Y HOJAS PARA ENCUADERNACION</t>
        </is>
      </c>
      <c r="G532" t="n">
        <v>2921030</v>
      </c>
      <c r="H532" t="n">
        <v>1</v>
      </c>
      <c r="I532" t="n">
        <v>1</v>
      </c>
      <c r="J532" t="n">
        <v>8</v>
      </c>
      <c r="K532" t="n">
        <v>8</v>
      </c>
      <c r="L532" t="n">
        <v>8</v>
      </c>
      <c r="M532" t="n">
        <v>8</v>
      </c>
      <c r="N532" t="n">
        <v>8</v>
      </c>
      <c r="O532" t="n">
        <v>40</v>
      </c>
      <c r="P532" t="n">
        <v>8</v>
      </c>
      <c r="R532" s="9" t="n">
        <v>0.08</v>
      </c>
      <c r="S532" s="10" t="inlineStr">
        <is>
          <t>SÍ — integrante</t>
        </is>
      </c>
      <c r="T532" s="11" t="inlineStr">
        <is>
          <t>B · INTEGRANTE</t>
        </is>
      </c>
      <c r="U532" s="11" t="inlineStr">
        <is>
          <t>DEL BANCO (se hereda)</t>
        </is>
      </c>
      <c r="V532" s="11" t="inlineStr">
        <is>
          <t>9152 · INDUSTRIA Y MANUFACTURA</t>
        </is>
      </c>
      <c r="W532" s="12" t="n"/>
      <c r="X532" s="12" t="n"/>
    </row>
    <row r="533" ht="15" customHeight="1">
      <c r="C533" t="inlineStr">
        <is>
          <t>Actividad económica / giro mercantil</t>
        </is>
      </c>
      <c r="D533" t="inlineStr">
        <is>
          <t>F12</t>
        </is>
      </c>
      <c r="E533" t="inlineStr">
        <is>
          <t>INHERENTE</t>
        </is>
      </c>
      <c r="F533" t="inlineStr">
        <is>
          <t>FOTOCOPIADO</t>
        </is>
      </c>
      <c r="G533" t="n">
        <v>2921048</v>
      </c>
      <c r="H533" t="n">
        <v>1</v>
      </c>
      <c r="I533" t="n">
        <v>1</v>
      </c>
      <c r="J533" t="n">
        <v>8</v>
      </c>
      <c r="K533" t="n">
        <v>8</v>
      </c>
      <c r="L533" t="n">
        <v>8</v>
      </c>
      <c r="M533" t="n">
        <v>8</v>
      </c>
      <c r="N533" t="n">
        <v>8</v>
      </c>
      <c r="O533" t="n">
        <v>40</v>
      </c>
      <c r="P533" t="n">
        <v>8</v>
      </c>
      <c r="R533" s="9" t="n">
        <v>0.08</v>
      </c>
      <c r="S533" s="10" t="inlineStr">
        <is>
          <t>SÍ — integrante</t>
        </is>
      </c>
      <c r="T533" s="11" t="inlineStr">
        <is>
          <t>B · INTEGRANTE</t>
        </is>
      </c>
      <c r="U533" s="11" t="inlineStr">
        <is>
          <t>DEL BANCO (se hereda)</t>
        </is>
      </c>
      <c r="V533" s="11" t="inlineStr">
        <is>
          <t>9154 · OTRAS ACTIVIDADES NO CLASIFICADAS</t>
        </is>
      </c>
      <c r="W533" s="12" t="n"/>
      <c r="X533" s="12" t="n"/>
    </row>
    <row r="534" ht="15" customHeight="1">
      <c r="C534" t="inlineStr">
        <is>
          <t>Actividad económica / giro mercantil</t>
        </is>
      </c>
      <c r="D534" t="inlineStr">
        <is>
          <t>F12</t>
        </is>
      </c>
      <c r="E534" t="inlineStr">
        <is>
          <t>INHERENTE</t>
        </is>
      </c>
      <c r="F534" t="inlineStr">
        <is>
          <t>IMPRENTA ( TIPOGRAFIA)</t>
        </is>
      </c>
      <c r="G534" t="n">
        <v>2921056</v>
      </c>
      <c r="H534" t="n">
        <v>1</v>
      </c>
      <c r="I534" t="n">
        <v>1</v>
      </c>
      <c r="J534" t="n">
        <v>8</v>
      </c>
      <c r="K534" t="n">
        <v>8</v>
      </c>
      <c r="L534" t="n">
        <v>8</v>
      </c>
      <c r="M534" t="n">
        <v>8</v>
      </c>
      <c r="N534" t="n">
        <v>8</v>
      </c>
      <c r="O534" t="n">
        <v>40</v>
      </c>
      <c r="P534" t="n">
        <v>8</v>
      </c>
      <c r="R534" s="9" t="n">
        <v>0.08</v>
      </c>
      <c r="S534" s="10" t="inlineStr">
        <is>
          <t>SÍ — integrante</t>
        </is>
      </c>
      <c r="T534" s="11" t="inlineStr">
        <is>
          <t>B · INTEGRANTE</t>
        </is>
      </c>
      <c r="U534" s="11" t="inlineStr">
        <is>
          <t>DEL BANCO (se hereda)</t>
        </is>
      </c>
      <c r="V534" s="11" t="inlineStr">
        <is>
          <t>9152 · INDUSTRIA Y MANUFACTURA</t>
        </is>
      </c>
      <c r="W534" s="12" t="n"/>
      <c r="X534" s="12" t="n"/>
    </row>
    <row r="535" ht="15" customHeight="1">
      <c r="C535" t="inlineStr">
        <is>
          <t>Actividad económica / giro mercantil</t>
        </is>
      </c>
      <c r="D535" t="inlineStr">
        <is>
          <t>F12</t>
        </is>
      </c>
      <c r="E535" t="inlineStr">
        <is>
          <t>INHERENTE</t>
        </is>
      </c>
      <c r="F535" t="inlineStr">
        <is>
          <t>IMPRESION MEDIANTE CILINDROS DE CAUCHO</t>
        </is>
      </c>
      <c r="G535" t="n">
        <v>2921064</v>
      </c>
      <c r="H535" t="n">
        <v>1</v>
      </c>
      <c r="I535" t="n">
        <v>1</v>
      </c>
      <c r="J535" t="n">
        <v>8</v>
      </c>
      <c r="K535" t="n">
        <v>8</v>
      </c>
      <c r="L535" t="n">
        <v>8</v>
      </c>
      <c r="M535" t="n">
        <v>8</v>
      </c>
      <c r="N535" t="n">
        <v>8</v>
      </c>
      <c r="O535" t="n">
        <v>40</v>
      </c>
      <c r="P535" t="n">
        <v>8</v>
      </c>
      <c r="R535" s="9" t="n">
        <v>0.08</v>
      </c>
      <c r="S535" s="10" t="inlineStr">
        <is>
          <t>SÍ — integrante</t>
        </is>
      </c>
      <c r="T535" s="11" t="inlineStr">
        <is>
          <t>B · INTEGRANTE</t>
        </is>
      </c>
      <c r="U535" s="11" t="inlineStr">
        <is>
          <t>DEL BANCO (se hereda)</t>
        </is>
      </c>
      <c r="V535" s="11" t="inlineStr">
        <is>
          <t>9154 · OTRAS ACTIVIDADES NO CLASIFICADAS</t>
        </is>
      </c>
      <c r="W535" s="12" t="n"/>
      <c r="X535" s="12" t="n"/>
    </row>
    <row r="536" ht="15" customHeight="1">
      <c r="C536" t="inlineStr">
        <is>
          <t>Actividad económica / giro mercantil</t>
        </is>
      </c>
      <c r="D536" t="inlineStr">
        <is>
          <t>F12</t>
        </is>
      </c>
      <c r="E536" t="inlineStr">
        <is>
          <t>INHERENTE</t>
        </is>
      </c>
      <c r="F536" t="inlineStr">
        <is>
          <t>IMPRESION MEDIANTE CILINDROS (ROTOGRABADO)</t>
        </is>
      </c>
      <c r="G536" t="n">
        <v>2921072</v>
      </c>
      <c r="H536" t="n">
        <v>1</v>
      </c>
      <c r="I536" t="n">
        <v>1</v>
      </c>
      <c r="J536" t="n">
        <v>8</v>
      </c>
      <c r="K536" t="n">
        <v>8</v>
      </c>
      <c r="L536" t="n">
        <v>8</v>
      </c>
      <c r="M536" t="n">
        <v>8</v>
      </c>
      <c r="N536" t="n">
        <v>8</v>
      </c>
      <c r="O536" t="n">
        <v>40</v>
      </c>
      <c r="P536" t="n">
        <v>8</v>
      </c>
      <c r="R536" s="9" t="n">
        <v>0.08</v>
      </c>
      <c r="S536" s="10" t="inlineStr">
        <is>
          <t>SÍ — integrante</t>
        </is>
      </c>
      <c r="T536" s="11" t="inlineStr">
        <is>
          <t>B · INTEGRANTE</t>
        </is>
      </c>
      <c r="U536" s="11" t="inlineStr">
        <is>
          <t>DEL BANCO (se hereda)</t>
        </is>
      </c>
      <c r="V536" s="11" t="inlineStr">
        <is>
          <t>9154 · OTRAS ACTIVIDADES NO CLASIFICADAS</t>
        </is>
      </c>
      <c r="W536" s="12" t="n"/>
      <c r="X536" s="12" t="n"/>
    </row>
    <row r="537" ht="15" customHeight="1">
      <c r="C537" t="inlineStr">
        <is>
          <t>Actividad económica / giro mercantil</t>
        </is>
      </c>
      <c r="D537" t="inlineStr">
        <is>
          <t>F12</t>
        </is>
      </c>
      <c r="E537" t="inlineStr">
        <is>
          <t>INHERENTE</t>
        </is>
      </c>
      <c r="F537" t="inlineStr">
        <is>
          <t>FABRICACION DE CALCOMANIAS</t>
        </is>
      </c>
      <c r="G537" t="n">
        <v>2929018</v>
      </c>
      <c r="H537" t="n">
        <v>1</v>
      </c>
      <c r="I537" t="n">
        <v>1</v>
      </c>
      <c r="J537" t="n">
        <v>8</v>
      </c>
      <c r="K537" t="n">
        <v>8</v>
      </c>
      <c r="L537" t="n">
        <v>8</v>
      </c>
      <c r="M537" t="n">
        <v>8</v>
      </c>
      <c r="N537" t="n">
        <v>8</v>
      </c>
      <c r="O537" t="n">
        <v>40</v>
      </c>
      <c r="P537" t="n">
        <v>8</v>
      </c>
      <c r="R537" s="9" t="n">
        <v>0.08</v>
      </c>
      <c r="S537" s="10" t="inlineStr">
        <is>
          <t>SÍ — integrante</t>
        </is>
      </c>
      <c r="T537" s="11" t="inlineStr">
        <is>
          <t>B · INTEGRANTE</t>
        </is>
      </c>
      <c r="U537" s="11" t="inlineStr">
        <is>
          <t>DEL BANCO (se hereda)</t>
        </is>
      </c>
      <c r="V537" s="11" t="inlineStr">
        <is>
          <t>9152 · INDUSTRIA Y MANUFACTURA</t>
        </is>
      </c>
      <c r="W537" s="12" t="n"/>
      <c r="X537" s="12" t="n"/>
    </row>
    <row r="538" ht="15" customHeight="1">
      <c r="C538" t="inlineStr">
        <is>
          <t>Actividad económica / giro mercantil</t>
        </is>
      </c>
      <c r="D538" t="inlineStr">
        <is>
          <t>F12</t>
        </is>
      </c>
      <c r="E538" t="inlineStr">
        <is>
          <t>INHERENTE</t>
        </is>
      </c>
      <c r="F538" t="inlineStr">
        <is>
          <t>FABRICACION DE TIPOS PARA IMPRENTA</t>
        </is>
      </c>
      <c r="G538" t="n">
        <v>2929026</v>
      </c>
      <c r="H538" t="n">
        <v>1</v>
      </c>
      <c r="I538" t="n">
        <v>1</v>
      </c>
      <c r="J538" t="n">
        <v>8</v>
      </c>
      <c r="K538" t="n">
        <v>8</v>
      </c>
      <c r="L538" t="n">
        <v>8</v>
      </c>
      <c r="M538" t="n">
        <v>8</v>
      </c>
      <c r="N538" t="n">
        <v>8</v>
      </c>
      <c r="O538" t="n">
        <v>40</v>
      </c>
      <c r="P538" t="n">
        <v>8</v>
      </c>
      <c r="R538" s="9" t="n">
        <v>0.08</v>
      </c>
      <c r="S538" s="10" t="inlineStr">
        <is>
          <t>SÍ — integrante</t>
        </is>
      </c>
      <c r="T538" s="11" t="inlineStr">
        <is>
          <t>B · INTEGRANTE</t>
        </is>
      </c>
      <c r="U538" s="11" t="inlineStr">
        <is>
          <t>DEL BANCO (se hereda)</t>
        </is>
      </c>
      <c r="V538" s="11" t="inlineStr">
        <is>
          <t>9152 · INDUSTRIA Y MANUFACTURA</t>
        </is>
      </c>
      <c r="W538" s="12" t="n"/>
      <c r="X538" s="12" t="n"/>
    </row>
    <row r="539" ht="15" customHeight="1">
      <c r="C539" t="inlineStr">
        <is>
          <t>Actividad económica / giro mercantil</t>
        </is>
      </c>
      <c r="D539" t="inlineStr">
        <is>
          <t>F12</t>
        </is>
      </c>
      <c r="E539" t="inlineStr">
        <is>
          <t>INHERENTE</t>
        </is>
      </c>
      <c r="F539" t="inlineStr">
        <is>
          <t>GRABADO E IMPRESION EN PIEDRA  VIDRIO Y OTROS MATERIALES LITOGRAFIA Y FOTOLITOGRAFIA</t>
        </is>
      </c>
      <c r="G539" t="n">
        <v>2929034</v>
      </c>
      <c r="H539" t="n">
        <v>1</v>
      </c>
      <c r="I539" t="n">
        <v>1</v>
      </c>
      <c r="J539" t="n">
        <v>8</v>
      </c>
      <c r="K539" t="n">
        <v>8</v>
      </c>
      <c r="L539" t="n">
        <v>8</v>
      </c>
      <c r="M539" t="n">
        <v>8</v>
      </c>
      <c r="N539" t="n">
        <v>8</v>
      </c>
      <c r="O539" t="n">
        <v>40</v>
      </c>
      <c r="P539" t="n">
        <v>8</v>
      </c>
      <c r="R539" s="9" t="n">
        <v>0.08</v>
      </c>
      <c r="S539" s="10" t="inlineStr">
        <is>
          <t>SÍ — integrante</t>
        </is>
      </c>
      <c r="T539" s="11" t="inlineStr">
        <is>
          <t>B · INTEGRANTE</t>
        </is>
      </c>
      <c r="U539" s="11" t="inlineStr">
        <is>
          <t>DEL BANCO (se hereda)</t>
        </is>
      </c>
      <c r="V539" s="11" t="inlineStr">
        <is>
          <t>9152 · INDUSTRIA Y MANUFACTURA</t>
        </is>
      </c>
      <c r="W539" s="12" t="n"/>
      <c r="X539" s="12" t="n"/>
    </row>
    <row r="540" ht="15" customHeight="1">
      <c r="C540" t="inlineStr">
        <is>
          <t>Actividad económica / giro mercantil</t>
        </is>
      </c>
      <c r="D540" t="inlineStr">
        <is>
          <t>F12</t>
        </is>
      </c>
      <c r="E540" t="inlineStr">
        <is>
          <t>INHERENTE</t>
        </is>
      </c>
      <c r="F540" t="inlineStr">
        <is>
          <t>GRABADO E IMPRESION FOTOMECANICA MEDIANTE AGUA FUERTE(HELIOGRABADO)</t>
        </is>
      </c>
      <c r="G540" t="n">
        <v>2929042</v>
      </c>
      <c r="H540" t="n">
        <v>1</v>
      </c>
      <c r="I540" t="n">
        <v>1</v>
      </c>
      <c r="J540" t="n">
        <v>8</v>
      </c>
      <c r="K540" t="n">
        <v>8</v>
      </c>
      <c r="L540" t="n">
        <v>8</v>
      </c>
      <c r="M540" t="n">
        <v>8</v>
      </c>
      <c r="N540" t="n">
        <v>8</v>
      </c>
      <c r="O540" t="n">
        <v>40</v>
      </c>
      <c r="P540" t="n">
        <v>8</v>
      </c>
      <c r="R540" s="9" t="n">
        <v>0.08</v>
      </c>
      <c r="S540" s="10" t="inlineStr">
        <is>
          <t>SÍ — integrante</t>
        </is>
      </c>
      <c r="T540" s="11" t="inlineStr">
        <is>
          <t>B · INTEGRANTE</t>
        </is>
      </c>
      <c r="U540" s="11" t="inlineStr">
        <is>
          <t>DEL BANCO (se hereda)</t>
        </is>
      </c>
      <c r="V540" s="11" t="inlineStr">
        <is>
          <t>9154 · OTRAS ACTIVIDADES NO CLASIFICADAS</t>
        </is>
      </c>
      <c r="W540" s="12" t="n"/>
      <c r="X540" s="12" t="n"/>
    </row>
    <row r="541" ht="15" customHeight="1">
      <c r="C541" t="inlineStr">
        <is>
          <t>Actividad económica / giro mercantil</t>
        </is>
      </c>
      <c r="D541" t="inlineStr">
        <is>
          <t>F12</t>
        </is>
      </c>
      <c r="E541" t="inlineStr">
        <is>
          <t>INHERENTE</t>
        </is>
      </c>
      <c r="F541" t="inlineStr">
        <is>
          <t>GRABADO EN METAL (FABRICACION DE CLICHES Y FOTOGRABADO)</t>
        </is>
      </c>
      <c r="G541" t="n">
        <v>2929050</v>
      </c>
      <c r="H541" t="n">
        <v>1</v>
      </c>
      <c r="I541" t="n">
        <v>1</v>
      </c>
      <c r="J541" t="n">
        <v>8</v>
      </c>
      <c r="K541" t="n">
        <v>8</v>
      </c>
      <c r="L541" t="n">
        <v>8</v>
      </c>
      <c r="M541" t="n">
        <v>8</v>
      </c>
      <c r="N541" t="n">
        <v>8</v>
      </c>
      <c r="O541" t="n">
        <v>40</v>
      </c>
      <c r="P541" t="n">
        <v>8</v>
      </c>
      <c r="R541" s="9" t="n">
        <v>0.08</v>
      </c>
      <c r="S541" s="10" t="inlineStr">
        <is>
          <t>SÍ — integrante</t>
        </is>
      </c>
      <c r="T541" s="11" t="inlineStr">
        <is>
          <t>B · INTEGRANTE</t>
        </is>
      </c>
      <c r="U541" s="11" t="inlineStr">
        <is>
          <t>DEL BANCO (se hereda)</t>
        </is>
      </c>
      <c r="V541" s="11" t="inlineStr">
        <is>
          <t>9152 · INDUSTRIA Y MANUFACTURA</t>
        </is>
      </c>
      <c r="W541" s="12" t="n"/>
      <c r="X541" s="12" t="n"/>
    </row>
    <row r="542" ht="15" customHeight="1">
      <c r="C542" t="inlineStr">
        <is>
          <t>Actividad económica / giro mercantil</t>
        </is>
      </c>
      <c r="D542" t="inlineStr">
        <is>
          <t>F12</t>
        </is>
      </c>
      <c r="E542" t="inlineStr">
        <is>
          <t>INHERENTE</t>
        </is>
      </c>
      <c r="F542" t="inlineStr">
        <is>
          <t>INDUSTRIA QUÍMICA</t>
        </is>
      </c>
      <c r="G542" t="n">
        <v>3000007</v>
      </c>
      <c r="H542" t="n">
        <v>5</v>
      </c>
      <c r="I542" t="n">
        <v>5</v>
      </c>
      <c r="J542" t="n">
        <v>8</v>
      </c>
      <c r="K542" t="n">
        <v>40</v>
      </c>
      <c r="L542" t="n">
        <v>40</v>
      </c>
      <c r="M542" t="n">
        <v>40</v>
      </c>
      <c r="N542" t="n">
        <v>40</v>
      </c>
      <c r="O542" t="n">
        <v>40</v>
      </c>
      <c r="P542" t="n">
        <v>8</v>
      </c>
      <c r="R542" s="9" t="n">
        <v>0.08</v>
      </c>
      <c r="S542" s="10" t="inlineStr">
        <is>
          <t>SÍ — integrante</t>
        </is>
      </c>
      <c r="T542" s="11" t="inlineStr">
        <is>
          <t>B · INTEGRANTE</t>
        </is>
      </c>
      <c r="U542" s="11" t="inlineStr">
        <is>
          <t>DEL BANCO (se hereda)</t>
        </is>
      </c>
      <c r="V542" s="11" t="inlineStr">
        <is>
          <t>9152 · INDUSTRIA Y MANUFACTURA</t>
        </is>
      </c>
      <c r="W542" s="12" t="n"/>
      <c r="X542" s="12" t="n"/>
    </row>
    <row r="543" ht="15" customHeight="1">
      <c r="C543" t="inlineStr">
        <is>
          <t>Actividad económica / giro mercantil</t>
        </is>
      </c>
      <c r="D543" t="inlineStr">
        <is>
          <t>F12</t>
        </is>
      </c>
      <c r="E543" t="inlineStr">
        <is>
          <t>INHERENTE</t>
        </is>
      </c>
      <c r="F543" t="inlineStr">
        <is>
          <t>FABRICACION DE AÑIL</t>
        </is>
      </c>
      <c r="G543" t="n">
        <v>3011012</v>
      </c>
      <c r="H543" t="n">
        <v>1</v>
      </c>
      <c r="I543" t="n">
        <v>1</v>
      </c>
      <c r="J543" t="n">
        <v>8</v>
      </c>
      <c r="K543" t="n">
        <v>8</v>
      </c>
      <c r="L543" t="n">
        <v>8</v>
      </c>
      <c r="M543" t="n">
        <v>8</v>
      </c>
      <c r="N543" t="n">
        <v>8</v>
      </c>
      <c r="O543" t="n">
        <v>40</v>
      </c>
      <c r="P543" t="n">
        <v>8</v>
      </c>
      <c r="R543" s="9" t="n">
        <v>0.08</v>
      </c>
      <c r="S543" s="10" t="inlineStr">
        <is>
          <t>SÍ — integrante</t>
        </is>
      </c>
      <c r="T543" s="11" t="inlineStr">
        <is>
          <t>B · INTEGRANTE</t>
        </is>
      </c>
      <c r="U543" s="11" t="inlineStr">
        <is>
          <t>DEL BANCO (se hereda)</t>
        </is>
      </c>
      <c r="V543" s="11" t="inlineStr">
        <is>
          <t>9152 · INDUSTRIA Y MANUFACTURA</t>
        </is>
      </c>
      <c r="W543" s="12" t="n"/>
      <c r="X543" s="12" t="n"/>
    </row>
    <row r="544" ht="15" customHeight="1">
      <c r="C544" t="inlineStr">
        <is>
          <t>Actividad económica / giro mercantil</t>
        </is>
      </c>
      <c r="D544" t="inlineStr">
        <is>
          <t>F12</t>
        </is>
      </c>
      <c r="E544" t="inlineStr">
        <is>
          <t>INHERENTE</t>
        </is>
      </c>
      <c r="F544" t="inlineStr">
        <is>
          <t>FABRICACION DE ANILINAS</t>
        </is>
      </c>
      <c r="G544" t="n">
        <v>3011020</v>
      </c>
      <c r="H544" t="n">
        <v>1</v>
      </c>
      <c r="I544" t="n">
        <v>1</v>
      </c>
      <c r="J544" t="n">
        <v>8</v>
      </c>
      <c r="K544" t="n">
        <v>8</v>
      </c>
      <c r="L544" t="n">
        <v>8</v>
      </c>
      <c r="M544" t="n">
        <v>8</v>
      </c>
      <c r="N544" t="n">
        <v>8</v>
      </c>
      <c r="O544" t="n">
        <v>40</v>
      </c>
      <c r="P544" t="n">
        <v>8</v>
      </c>
      <c r="R544" s="9" t="n">
        <v>0.08</v>
      </c>
      <c r="S544" s="10" t="inlineStr">
        <is>
          <t>SÍ — integrante</t>
        </is>
      </c>
      <c r="T544" s="11" t="inlineStr">
        <is>
          <t>B · INTEGRANTE</t>
        </is>
      </c>
      <c r="U544" s="11" t="inlineStr">
        <is>
          <t>DEL BANCO (se hereda)</t>
        </is>
      </c>
      <c r="V544" s="11" t="inlineStr">
        <is>
          <t>9152 · INDUSTRIA Y MANUFACTURA</t>
        </is>
      </c>
      <c r="W544" s="12" t="n"/>
      <c r="X544" s="12" t="n"/>
    </row>
    <row r="545" ht="15" customHeight="1">
      <c r="C545" t="inlineStr">
        <is>
          <t>Actividad económica / giro mercantil</t>
        </is>
      </c>
      <c r="D545" t="inlineStr">
        <is>
          <t>F12</t>
        </is>
      </c>
      <c r="E545" t="inlineStr">
        <is>
          <t>INHERENTE</t>
        </is>
      </c>
      <c r="F545" t="inlineStr">
        <is>
          <t>FABRICACION DE OTRAS MATERIAS COLORANTES</t>
        </is>
      </c>
      <c r="G545" t="n">
        <v>3011038</v>
      </c>
      <c r="H545" t="n">
        <v>1</v>
      </c>
      <c r="I545" t="n">
        <v>1</v>
      </c>
      <c r="J545" t="n">
        <v>8</v>
      </c>
      <c r="K545" t="n">
        <v>8</v>
      </c>
      <c r="L545" t="n">
        <v>8</v>
      </c>
      <c r="M545" t="n">
        <v>8</v>
      </c>
      <c r="N545" t="n">
        <v>8</v>
      </c>
      <c r="O545" t="n">
        <v>40</v>
      </c>
      <c r="P545" t="n">
        <v>8</v>
      </c>
      <c r="R545" s="9" t="n">
        <v>0.08</v>
      </c>
      <c r="S545" s="10" t="inlineStr">
        <is>
          <t>SÍ — integrante</t>
        </is>
      </c>
      <c r="T545" s="11" t="inlineStr">
        <is>
          <t>B · INTEGRANTE</t>
        </is>
      </c>
      <c r="U545" s="11" t="inlineStr">
        <is>
          <t>DEL BANCO (se hereda)</t>
        </is>
      </c>
      <c r="V545" s="11" t="inlineStr">
        <is>
          <t>9152 · INDUSTRIA Y MANUFACTURA</t>
        </is>
      </c>
      <c r="W545" s="12" t="n"/>
      <c r="X545" s="12" t="n"/>
    </row>
    <row r="546" ht="15" customHeight="1">
      <c r="C546" t="inlineStr">
        <is>
          <t>Actividad económica / giro mercantil</t>
        </is>
      </c>
      <c r="D546" t="inlineStr">
        <is>
          <t>F12</t>
        </is>
      </c>
      <c r="E546" t="inlineStr">
        <is>
          <t>INHERENTE</t>
        </is>
      </c>
      <c r="F546" t="inlineStr">
        <is>
          <t>FABRICACION DE GAS ACETILENO</t>
        </is>
      </c>
      <c r="G546" t="n">
        <v>3012010</v>
      </c>
      <c r="H546" t="n">
        <v>1</v>
      </c>
      <c r="I546" t="n">
        <v>1</v>
      </c>
      <c r="J546" t="n">
        <v>8</v>
      </c>
      <c r="K546" t="n">
        <v>8</v>
      </c>
      <c r="L546" t="n">
        <v>8</v>
      </c>
      <c r="M546" t="n">
        <v>8</v>
      </c>
      <c r="N546" t="n">
        <v>8</v>
      </c>
      <c r="O546" t="n">
        <v>40</v>
      </c>
      <c r="P546" t="n">
        <v>8</v>
      </c>
      <c r="R546" s="9" t="n">
        <v>0.08</v>
      </c>
      <c r="S546" s="10" t="inlineStr">
        <is>
          <t>SÍ — integrante</t>
        </is>
      </c>
      <c r="T546" s="11" t="inlineStr">
        <is>
          <t>B · INTEGRANTE</t>
        </is>
      </c>
      <c r="U546" s="11" t="inlineStr">
        <is>
          <t>DEL BANCO (se hereda)</t>
        </is>
      </c>
      <c r="V546" s="11" t="inlineStr">
        <is>
          <t>9152 · INDUSTRIA Y MANUFACTURA</t>
        </is>
      </c>
      <c r="W546" s="12" t="n"/>
      <c r="X546" s="12" t="n"/>
    </row>
    <row r="547" ht="15" customHeight="1">
      <c r="C547" t="inlineStr">
        <is>
          <t>Actividad económica / giro mercantil</t>
        </is>
      </c>
      <c r="D547" t="inlineStr">
        <is>
          <t>F12</t>
        </is>
      </c>
      <c r="E547" t="inlineStr">
        <is>
          <t>INHERENTE</t>
        </is>
      </c>
      <c r="F547" t="inlineStr">
        <is>
          <t>FABRICACION DE ACIDOS INDUSTRIALES</t>
        </is>
      </c>
      <c r="G547" t="n">
        <v>3013018</v>
      </c>
      <c r="H547" t="n">
        <v>1</v>
      </c>
      <c r="I547" t="n">
        <v>1</v>
      </c>
      <c r="J547" t="n">
        <v>8</v>
      </c>
      <c r="K547" t="n">
        <v>8</v>
      </c>
      <c r="L547" t="n">
        <v>8</v>
      </c>
      <c r="M547" t="n">
        <v>8</v>
      </c>
      <c r="N547" t="n">
        <v>8</v>
      </c>
      <c r="O547" t="n">
        <v>40</v>
      </c>
      <c r="P547" t="n">
        <v>8</v>
      </c>
      <c r="R547" s="9" t="n">
        <v>0.08</v>
      </c>
      <c r="S547" s="10" t="inlineStr">
        <is>
          <t>SÍ — integrante</t>
        </is>
      </c>
      <c r="T547" s="11" t="inlineStr">
        <is>
          <t>B · INTEGRANTE</t>
        </is>
      </c>
      <c r="U547" s="11" t="inlineStr">
        <is>
          <t>DEL BANCO (se hereda)</t>
        </is>
      </c>
      <c r="V547" s="11" t="inlineStr">
        <is>
          <t>9152 · INDUSTRIA Y MANUFACTURA</t>
        </is>
      </c>
      <c r="W547" s="12" t="n"/>
      <c r="X547" s="12" t="n"/>
    </row>
    <row r="548" ht="15" customHeight="1">
      <c r="C548" t="inlineStr">
        <is>
          <t>Actividad económica / giro mercantil</t>
        </is>
      </c>
      <c r="D548" t="inlineStr">
        <is>
          <t>F12</t>
        </is>
      </c>
      <c r="E548" t="inlineStr">
        <is>
          <t>INHERENTE</t>
        </is>
      </c>
      <c r="F548" t="inlineStr">
        <is>
          <t>FABRICACION DE OTRAS SUBSTANCIAS QUIMICAS BASICAS</t>
        </is>
      </c>
      <c r="G548" t="n">
        <v>3013026</v>
      </c>
      <c r="H548" t="n">
        <v>5</v>
      </c>
      <c r="I548" t="n">
        <v>5</v>
      </c>
      <c r="J548" t="n">
        <v>8</v>
      </c>
      <c r="K548" t="n">
        <v>40</v>
      </c>
      <c r="L548" t="n">
        <v>40</v>
      </c>
      <c r="M548" t="n">
        <v>40</v>
      </c>
      <c r="N548" t="n">
        <v>40</v>
      </c>
      <c r="O548" t="n">
        <v>40</v>
      </c>
      <c r="P548" t="n">
        <v>8</v>
      </c>
      <c r="R548" s="9" t="n">
        <v>0.08</v>
      </c>
      <c r="S548" s="10" t="inlineStr">
        <is>
          <t>SÍ — integrante</t>
        </is>
      </c>
      <c r="T548" s="11" t="inlineStr">
        <is>
          <t>B · INTEGRANTE</t>
        </is>
      </c>
      <c r="U548" s="11" t="inlineStr">
        <is>
          <t>DEL BANCO (se hereda)</t>
        </is>
      </c>
      <c r="V548" s="11" t="inlineStr">
        <is>
          <t>9152 · INDUSTRIA Y MANUFACTURA</t>
        </is>
      </c>
      <c r="W548" s="12" t="n"/>
      <c r="X548" s="12" t="n"/>
    </row>
    <row r="549" ht="15" customHeight="1">
      <c r="C549" t="inlineStr">
        <is>
          <t>Actividad económica / giro mercantil</t>
        </is>
      </c>
      <c r="D549" t="inlineStr">
        <is>
          <t>F12</t>
        </is>
      </c>
      <c r="E549" t="inlineStr">
        <is>
          <t>INHERENTE</t>
        </is>
      </c>
      <c r="F549" t="inlineStr">
        <is>
          <t>FABRICACION DE PRODUCTOS AMONIACALES</t>
        </is>
      </c>
      <c r="G549" t="n">
        <v>3013034</v>
      </c>
      <c r="H549" t="n">
        <v>1</v>
      </c>
      <c r="I549" t="n">
        <v>1</v>
      </c>
      <c r="J549" t="n">
        <v>8</v>
      </c>
      <c r="K549" t="n">
        <v>8</v>
      </c>
      <c r="L549" t="n">
        <v>8</v>
      </c>
      <c r="M549" t="n">
        <v>8</v>
      </c>
      <c r="N549" t="n">
        <v>8</v>
      </c>
      <c r="O549" t="n">
        <v>40</v>
      </c>
      <c r="P549" t="n">
        <v>8</v>
      </c>
      <c r="R549" s="9" t="n">
        <v>0.08</v>
      </c>
      <c r="S549" s="10" t="inlineStr">
        <is>
          <t>SÍ — integrante</t>
        </is>
      </c>
      <c r="T549" s="11" t="inlineStr">
        <is>
          <t>B · INTEGRANTE</t>
        </is>
      </c>
      <c r="U549" s="11" t="inlineStr">
        <is>
          <t>DEL BANCO (se hereda)</t>
        </is>
      </c>
      <c r="V549" s="11" t="inlineStr">
        <is>
          <t>9152 · INDUSTRIA Y MANUFACTURA</t>
        </is>
      </c>
      <c r="W549" s="12" t="n"/>
      <c r="X549" s="12" t="n"/>
    </row>
    <row r="550" ht="15" customHeight="1">
      <c r="C550" t="inlineStr">
        <is>
          <t>Actividad económica / giro mercantil</t>
        </is>
      </c>
      <c r="D550" t="inlineStr">
        <is>
          <t>F12</t>
        </is>
      </c>
      <c r="E550" t="inlineStr">
        <is>
          <t>INHERENTE</t>
        </is>
      </c>
      <c r="F550" t="inlineStr">
        <is>
          <t>FABRICACION DE SOSA</t>
        </is>
      </c>
      <c r="G550" t="n">
        <v>3013042</v>
      </c>
      <c r="H550" t="n">
        <v>1</v>
      </c>
      <c r="I550" t="n">
        <v>1</v>
      </c>
      <c r="J550" t="n">
        <v>8</v>
      </c>
      <c r="K550" t="n">
        <v>8</v>
      </c>
      <c r="L550" t="n">
        <v>8</v>
      </c>
      <c r="M550" t="n">
        <v>8</v>
      </c>
      <c r="N550" t="n">
        <v>8</v>
      </c>
      <c r="O550" t="n">
        <v>40</v>
      </c>
      <c r="P550" t="n">
        <v>8</v>
      </c>
      <c r="R550" s="9" t="n">
        <v>0.08</v>
      </c>
      <c r="S550" s="10" t="inlineStr">
        <is>
          <t>SÍ — integrante</t>
        </is>
      </c>
      <c r="T550" s="11" t="inlineStr">
        <is>
          <t>B · INTEGRANTE</t>
        </is>
      </c>
      <c r="U550" s="11" t="inlineStr">
        <is>
          <t>DEL BANCO (se hereda)</t>
        </is>
      </c>
      <c r="V550" s="11" t="inlineStr">
        <is>
          <t>9152 · INDUSTRIA Y MANUFACTURA</t>
        </is>
      </c>
      <c r="W550" s="12" t="n"/>
      <c r="X550" s="12" t="n"/>
    </row>
    <row r="551" ht="15" customHeight="1">
      <c r="C551" t="inlineStr">
        <is>
          <t>Actividad económica / giro mercantil</t>
        </is>
      </c>
      <c r="D551" t="inlineStr">
        <is>
          <t>F12</t>
        </is>
      </c>
      <c r="E551" t="inlineStr">
        <is>
          <t>INHERENTE</t>
        </is>
      </c>
      <c r="F551" t="inlineStr">
        <is>
          <t>FABRICACION DE ABONOS Y FERTILIZANTES QUIMICOS</t>
        </is>
      </c>
      <c r="G551" t="n">
        <v>3021011</v>
      </c>
      <c r="H551" t="n">
        <v>5</v>
      </c>
      <c r="I551" t="n">
        <v>5</v>
      </c>
      <c r="J551" t="n">
        <v>8</v>
      </c>
      <c r="K551" t="n">
        <v>40</v>
      </c>
      <c r="L551" t="n">
        <v>40</v>
      </c>
      <c r="M551" t="n">
        <v>40</v>
      </c>
      <c r="N551" t="n">
        <v>40</v>
      </c>
      <c r="O551" t="n">
        <v>40</v>
      </c>
      <c r="P551" t="n">
        <v>8</v>
      </c>
      <c r="R551" s="9" t="n">
        <v>0.08</v>
      </c>
      <c r="S551" s="10" t="inlineStr">
        <is>
          <t>SÍ — integrante</t>
        </is>
      </c>
      <c r="T551" s="11" t="inlineStr">
        <is>
          <t>B · INTEGRANTE</t>
        </is>
      </c>
      <c r="U551" s="11" t="inlineStr">
        <is>
          <t>DEL BANCO (se hereda)</t>
        </is>
      </c>
      <c r="V551" s="11" t="inlineStr">
        <is>
          <t>9152 · INDUSTRIA Y MANUFACTURA</t>
        </is>
      </c>
      <c r="W551" s="12" t="n"/>
      <c r="X551" s="12" t="n"/>
    </row>
    <row r="552" ht="15" customHeight="1">
      <c r="C552" t="inlineStr">
        <is>
          <t>Actividad económica / giro mercantil</t>
        </is>
      </c>
      <c r="D552" t="inlineStr">
        <is>
          <t>F12</t>
        </is>
      </c>
      <c r="E552" t="inlineStr">
        <is>
          <t>INHERENTE</t>
        </is>
      </c>
      <c r="F552" t="inlineStr">
        <is>
          <t>FABRICACION DE INSECTICIDAS Y PLAGUICIDAS</t>
        </is>
      </c>
      <c r="G552" t="n">
        <v>3022019</v>
      </c>
      <c r="H552" t="n">
        <v>1</v>
      </c>
      <c r="I552" t="n">
        <v>1</v>
      </c>
      <c r="J552" t="n">
        <v>8</v>
      </c>
      <c r="K552" t="n">
        <v>8</v>
      </c>
      <c r="L552" t="n">
        <v>8</v>
      </c>
      <c r="M552" t="n">
        <v>8</v>
      </c>
      <c r="N552" t="n">
        <v>8</v>
      </c>
      <c r="O552" t="n">
        <v>40</v>
      </c>
      <c r="P552" t="n">
        <v>8</v>
      </c>
      <c r="R552" s="9" t="n">
        <v>0.08</v>
      </c>
      <c r="S552" s="10" t="inlineStr">
        <is>
          <t>SÍ — integrante</t>
        </is>
      </c>
      <c r="T552" s="11" t="inlineStr">
        <is>
          <t>B · INTEGRANTE</t>
        </is>
      </c>
      <c r="U552" s="11" t="inlineStr">
        <is>
          <t>DEL BANCO (se hereda)</t>
        </is>
      </c>
      <c r="V552" s="11" t="inlineStr">
        <is>
          <t>9152 · INDUSTRIA Y MANUFACTURA</t>
        </is>
      </c>
      <c r="W552" s="12" t="n"/>
      <c r="X552" s="12" t="n"/>
    </row>
    <row r="553" ht="15" customHeight="1">
      <c r="C553" t="inlineStr">
        <is>
          <t>Actividad económica / giro mercantil</t>
        </is>
      </c>
      <c r="D553" t="inlineStr">
        <is>
          <t>F12</t>
        </is>
      </c>
      <c r="E553" t="inlineStr">
        <is>
          <t>INHERENTE</t>
        </is>
      </c>
      <c r="F553" t="inlineStr">
        <is>
          <t>FABRICACION DE HULE ESPUMA</t>
        </is>
      </c>
      <c r="G553" t="n">
        <v>3031010</v>
      </c>
      <c r="H553" t="n">
        <v>1</v>
      </c>
      <c r="I553" t="n">
        <v>1</v>
      </c>
      <c r="J553" t="n">
        <v>8</v>
      </c>
      <c r="K553" t="n">
        <v>8</v>
      </c>
      <c r="L553" t="n">
        <v>8</v>
      </c>
      <c r="M553" t="n">
        <v>8</v>
      </c>
      <c r="N553" t="n">
        <v>8</v>
      </c>
      <c r="O553" t="n">
        <v>40</v>
      </c>
      <c r="P553" t="n">
        <v>8</v>
      </c>
      <c r="R553" s="9" t="n">
        <v>0.08</v>
      </c>
      <c r="S553" s="10" t="inlineStr">
        <is>
          <t>SÍ — integrante</t>
        </is>
      </c>
      <c r="T553" s="11" t="inlineStr">
        <is>
          <t>B · INTEGRANTE</t>
        </is>
      </c>
      <c r="U553" s="11" t="inlineStr">
        <is>
          <t>DEL BANCO (se hereda)</t>
        </is>
      </c>
      <c r="V553" s="11" t="inlineStr">
        <is>
          <t>9151 · SECTOR PRIMARIO (agropecuario, pesca, forestal, minería)</t>
        </is>
      </c>
      <c r="W553" s="12" t="n"/>
      <c r="X553" s="12" t="n"/>
    </row>
    <row r="554" ht="15" customHeight="1">
      <c r="C554" t="inlineStr">
        <is>
          <t>Actividad económica / giro mercantil</t>
        </is>
      </c>
      <c r="D554" t="inlineStr">
        <is>
          <t>F12</t>
        </is>
      </c>
      <c r="E554" t="inlineStr">
        <is>
          <t>INHERENTE</t>
        </is>
      </c>
      <c r="F554" t="inlineStr">
        <is>
          <t>FABRICACION DE FIBRAS SINTETICAS</t>
        </is>
      </c>
      <c r="G554" t="n">
        <v>3032018</v>
      </c>
      <c r="H554" t="n">
        <v>1</v>
      </c>
      <c r="I554" t="n">
        <v>1</v>
      </c>
      <c r="J554" t="n">
        <v>8</v>
      </c>
      <c r="K554" t="n">
        <v>8</v>
      </c>
      <c r="L554" t="n">
        <v>8</v>
      </c>
      <c r="M554" t="n">
        <v>8</v>
      </c>
      <c r="N554" t="n">
        <v>8</v>
      </c>
      <c r="O554" t="n">
        <v>40</v>
      </c>
      <c r="P554" t="n">
        <v>8</v>
      </c>
      <c r="R554" s="9" t="n">
        <v>0.08</v>
      </c>
      <c r="S554" s="10" t="inlineStr">
        <is>
          <t>SÍ — integrante</t>
        </is>
      </c>
      <c r="T554" s="11" t="inlineStr">
        <is>
          <t>B · INTEGRANTE</t>
        </is>
      </c>
      <c r="U554" s="11" t="inlineStr">
        <is>
          <t>DEL BANCO (se hereda)</t>
        </is>
      </c>
      <c r="V554" s="11" t="inlineStr">
        <is>
          <t>9152 · INDUSTRIA Y MANUFACTURA</t>
        </is>
      </c>
      <c r="W554" s="12" t="n"/>
      <c r="X554" s="12" t="n"/>
    </row>
    <row r="555" ht="15" customHeight="1">
      <c r="C555" t="inlineStr">
        <is>
          <t>Actividad económica / giro mercantil</t>
        </is>
      </c>
      <c r="D555" t="inlineStr">
        <is>
          <t>F12</t>
        </is>
      </c>
      <c r="E555" t="inlineStr">
        <is>
          <t>INHERENTE</t>
        </is>
      </c>
      <c r="F555" t="inlineStr">
        <is>
          <t>FABRICACION DE PINTURAS  BARNICES Y LACAS</t>
        </is>
      </c>
      <c r="G555" t="n">
        <v>3041019</v>
      </c>
      <c r="H555" t="n">
        <v>1</v>
      </c>
      <c r="I555" t="n">
        <v>1</v>
      </c>
      <c r="J555" t="n">
        <v>8</v>
      </c>
      <c r="K555" t="n">
        <v>8</v>
      </c>
      <c r="L555" t="n">
        <v>8</v>
      </c>
      <c r="M555" t="n">
        <v>8</v>
      </c>
      <c r="N555" t="n">
        <v>8</v>
      </c>
      <c r="O555" t="n">
        <v>40</v>
      </c>
      <c r="P555" t="n">
        <v>8</v>
      </c>
      <c r="R555" s="9" t="n">
        <v>0.08</v>
      </c>
      <c r="S555" s="10" t="inlineStr">
        <is>
          <t>SÍ — integrante</t>
        </is>
      </c>
      <c r="T555" s="11" t="inlineStr">
        <is>
          <t>B · INTEGRANTE</t>
        </is>
      </c>
      <c r="U555" s="11" t="inlineStr">
        <is>
          <t>DEL BANCO (se hereda)</t>
        </is>
      </c>
      <c r="V555" s="11" t="inlineStr">
        <is>
          <t>9152 · INDUSTRIA Y MANUFACTURA</t>
        </is>
      </c>
      <c r="W555" s="12" t="n"/>
      <c r="X555" s="12" t="n"/>
    </row>
    <row r="556" ht="15" customHeight="1">
      <c r="C556" t="inlineStr">
        <is>
          <t>Actividad económica / giro mercantil</t>
        </is>
      </c>
      <c r="D556" t="inlineStr">
        <is>
          <t>F12</t>
        </is>
      </c>
      <c r="E556" t="inlineStr">
        <is>
          <t>INHERENTE</t>
        </is>
      </c>
      <c r="F556" t="inlineStr">
        <is>
          <t>FABRICACION DE ALGODON ESTERILIZADO  GASAS Y VENDAS</t>
        </is>
      </c>
      <c r="G556" t="n">
        <v>3051018</v>
      </c>
      <c r="H556" t="n">
        <v>1</v>
      </c>
      <c r="I556" t="n">
        <v>1</v>
      </c>
      <c r="J556" t="n">
        <v>8</v>
      </c>
      <c r="K556" t="n">
        <v>8</v>
      </c>
      <c r="L556" t="n">
        <v>8</v>
      </c>
      <c r="M556" t="n">
        <v>8</v>
      </c>
      <c r="N556" t="n">
        <v>8</v>
      </c>
      <c r="O556" t="n">
        <v>40</v>
      </c>
      <c r="P556" t="n">
        <v>8</v>
      </c>
      <c r="R556" s="9" t="n">
        <v>0.08</v>
      </c>
      <c r="S556" s="10" t="inlineStr">
        <is>
          <t>SÍ — integrante</t>
        </is>
      </c>
      <c r="T556" s="11" t="inlineStr">
        <is>
          <t>B · INTEGRANTE</t>
        </is>
      </c>
      <c r="U556" s="11" t="inlineStr">
        <is>
          <t>DEL BANCO (se hereda)</t>
        </is>
      </c>
      <c r="V556" s="11" t="inlineStr">
        <is>
          <t>9152 · INDUSTRIA Y MANUFACTURA</t>
        </is>
      </c>
      <c r="W556" s="12" t="n"/>
      <c r="X556" s="12" t="n"/>
    </row>
    <row r="557" ht="15" customHeight="1">
      <c r="C557" t="inlineStr">
        <is>
          <t>Actividad económica / giro mercantil</t>
        </is>
      </c>
      <c r="D557" t="inlineStr">
        <is>
          <t>F12</t>
        </is>
      </c>
      <c r="E557" t="inlineStr">
        <is>
          <t>INHERENTE</t>
        </is>
      </c>
      <c r="F557" t="inlineStr">
        <is>
          <t>FABRICACION DE OTROS PRODUCTOS FARMACEUTICOS Y MEDICAMENTOS</t>
        </is>
      </c>
      <c r="G557" t="n">
        <v>3051026</v>
      </c>
      <c r="H557" t="n">
        <v>4</v>
      </c>
      <c r="I557" t="n">
        <v>4</v>
      </c>
      <c r="J557" t="n">
        <v>8</v>
      </c>
      <c r="K557" t="n">
        <v>32</v>
      </c>
      <c r="L557" t="n">
        <v>32</v>
      </c>
      <c r="M557" t="n">
        <v>32</v>
      </c>
      <c r="N557" t="n">
        <v>32</v>
      </c>
      <c r="O557" t="n">
        <v>40</v>
      </c>
      <c r="P557" t="n">
        <v>8</v>
      </c>
      <c r="R557" s="9" t="n">
        <v>0.08</v>
      </c>
      <c r="S557" s="10" t="inlineStr">
        <is>
          <t>SÍ — integrante</t>
        </is>
      </c>
      <c r="T557" s="11" t="inlineStr">
        <is>
          <t>B · INTEGRANTE</t>
        </is>
      </c>
      <c r="U557" s="11" t="inlineStr">
        <is>
          <t>DEL BANCO (se hereda)</t>
        </is>
      </c>
      <c r="V557" s="11" t="inlineStr">
        <is>
          <t>9152 · INDUSTRIA Y MANUFACTURA</t>
        </is>
      </c>
      <c r="W557" s="12" t="n"/>
      <c r="X557" s="12" t="n"/>
    </row>
    <row r="558" ht="15" customHeight="1">
      <c r="C558" t="inlineStr">
        <is>
          <t>Actividad económica / giro mercantil</t>
        </is>
      </c>
      <c r="D558" t="inlineStr">
        <is>
          <t>F12</t>
        </is>
      </c>
      <c r="E558" t="inlineStr">
        <is>
          <t>INHERENTE</t>
        </is>
      </c>
      <c r="F558" t="inlineStr">
        <is>
          <t>FABRICACION DE OXIGENO MEDICINAL</t>
        </is>
      </c>
      <c r="G558" t="n">
        <v>3051034</v>
      </c>
      <c r="H558" t="n">
        <v>1</v>
      </c>
      <c r="I558" t="n">
        <v>1</v>
      </c>
      <c r="J558" t="n">
        <v>8</v>
      </c>
      <c r="K558" t="n">
        <v>8</v>
      </c>
      <c r="L558" t="n">
        <v>8</v>
      </c>
      <c r="M558" t="n">
        <v>8</v>
      </c>
      <c r="N558" t="n">
        <v>8</v>
      </c>
      <c r="O558" t="n">
        <v>40</v>
      </c>
      <c r="P558" t="n">
        <v>8</v>
      </c>
      <c r="R558" s="9" t="n">
        <v>0.08</v>
      </c>
      <c r="S558" s="10" t="inlineStr">
        <is>
          <t>SÍ — integrante</t>
        </is>
      </c>
      <c r="T558" s="11" t="inlineStr">
        <is>
          <t>B · INTEGRANTE</t>
        </is>
      </c>
      <c r="U558" s="11" t="inlineStr">
        <is>
          <t>DEL BANCO (se hereda)</t>
        </is>
      </c>
      <c r="V558" s="11" t="inlineStr">
        <is>
          <t>9152 · INDUSTRIA Y MANUFACTURA</t>
        </is>
      </c>
      <c r="W558" s="12" t="n"/>
      <c r="X558" s="12" t="n"/>
    </row>
    <row r="559" ht="15" customHeight="1">
      <c r="C559" t="inlineStr">
        <is>
          <t>Actividad económica / giro mercantil</t>
        </is>
      </c>
      <c r="D559" t="inlineStr">
        <is>
          <t>F12</t>
        </is>
      </c>
      <c r="E559" t="inlineStr">
        <is>
          <t>INHERENTE</t>
        </is>
      </c>
      <c r="F559" t="inlineStr">
        <is>
          <t>FABRICACION DE DENTIFRICO</t>
        </is>
      </c>
      <c r="G559" t="n">
        <v>3061017</v>
      </c>
      <c r="H559" t="n">
        <v>1</v>
      </c>
      <c r="I559" t="n">
        <v>1</v>
      </c>
      <c r="J559" t="n">
        <v>8</v>
      </c>
      <c r="K559" t="n">
        <v>8</v>
      </c>
      <c r="L559" t="n">
        <v>8</v>
      </c>
      <c r="M559" t="n">
        <v>8</v>
      </c>
      <c r="N559" t="n">
        <v>8</v>
      </c>
      <c r="O559" t="n">
        <v>40</v>
      </c>
      <c r="P559" t="n">
        <v>8</v>
      </c>
      <c r="R559" s="9" t="n">
        <v>0.08</v>
      </c>
      <c r="S559" s="10" t="inlineStr">
        <is>
          <t>SÍ — integrante</t>
        </is>
      </c>
      <c r="T559" s="11" t="inlineStr">
        <is>
          <t>B · INTEGRANTE</t>
        </is>
      </c>
      <c r="U559" s="11" t="inlineStr">
        <is>
          <t>DEL BANCO (se hereda)</t>
        </is>
      </c>
      <c r="V559" s="11" t="inlineStr">
        <is>
          <t>9152 · INDUSTRIA Y MANUFACTURA</t>
        </is>
      </c>
      <c r="W559" s="12" t="n"/>
      <c r="X559" s="12" t="n"/>
    </row>
    <row r="560" ht="15" customHeight="1">
      <c r="C560" t="inlineStr">
        <is>
          <t>Actividad económica / giro mercantil</t>
        </is>
      </c>
      <c r="D560" t="inlineStr">
        <is>
          <t>F12</t>
        </is>
      </c>
      <c r="E560" t="inlineStr">
        <is>
          <t>INHERENTE</t>
        </is>
      </c>
      <c r="F560" t="inlineStr">
        <is>
          <t>FABRICACION DE JABON Y DETERGENTE</t>
        </is>
      </c>
      <c r="G560" t="n">
        <v>3061025</v>
      </c>
      <c r="H560" t="n">
        <v>1</v>
      </c>
      <c r="I560" t="n">
        <v>1</v>
      </c>
      <c r="J560" t="n">
        <v>8</v>
      </c>
      <c r="K560" t="n">
        <v>8</v>
      </c>
      <c r="L560" t="n">
        <v>8</v>
      </c>
      <c r="M560" t="n">
        <v>8</v>
      </c>
      <c r="N560" t="n">
        <v>8</v>
      </c>
      <c r="O560" t="n">
        <v>40</v>
      </c>
      <c r="P560" t="n">
        <v>8</v>
      </c>
      <c r="R560" s="9" t="n">
        <v>0.08</v>
      </c>
      <c r="S560" s="10" t="inlineStr">
        <is>
          <t>SÍ — integrante</t>
        </is>
      </c>
      <c r="T560" s="11" t="inlineStr">
        <is>
          <t>B · INTEGRANTE</t>
        </is>
      </c>
      <c r="U560" s="11" t="inlineStr">
        <is>
          <t>DEL BANCO (se hereda)</t>
        </is>
      </c>
      <c r="V560" s="11" t="inlineStr">
        <is>
          <t>9152 · INDUSTRIA Y MANUFACTURA</t>
        </is>
      </c>
      <c r="W560" s="12" t="n"/>
      <c r="X560" s="12" t="n"/>
    </row>
    <row r="561" ht="15" customHeight="1">
      <c r="C561" t="inlineStr">
        <is>
          <t>Actividad económica / giro mercantil</t>
        </is>
      </c>
      <c r="D561" t="inlineStr">
        <is>
          <t>F12</t>
        </is>
      </c>
      <c r="E561" t="inlineStr">
        <is>
          <t>INHERENTE</t>
        </is>
      </c>
      <c r="F561" t="inlineStr">
        <is>
          <t>FABRICACION DE PERFUMES Y COSMETICOS</t>
        </is>
      </c>
      <c r="G561" t="n">
        <v>3062015</v>
      </c>
      <c r="H561" t="n">
        <v>1</v>
      </c>
      <c r="I561" t="n">
        <v>1</v>
      </c>
      <c r="J561" t="n">
        <v>8</v>
      </c>
      <c r="K561" t="n">
        <v>8</v>
      </c>
      <c r="L561" t="n">
        <v>8</v>
      </c>
      <c r="M561" t="n">
        <v>8</v>
      </c>
      <c r="N561" t="n">
        <v>8</v>
      </c>
      <c r="O561" t="n">
        <v>40</v>
      </c>
      <c r="P561" t="n">
        <v>8</v>
      </c>
      <c r="R561" s="9" t="n">
        <v>0.08</v>
      </c>
      <c r="S561" s="10" t="inlineStr">
        <is>
          <t>SÍ — integrante</t>
        </is>
      </c>
      <c r="T561" s="11" t="inlineStr">
        <is>
          <t>B · INTEGRANTE</t>
        </is>
      </c>
      <c r="U561" s="11" t="inlineStr">
        <is>
          <t>DEL BANCO (se hereda)</t>
        </is>
      </c>
      <c r="V561" s="11" t="inlineStr">
        <is>
          <t>9152 · INDUSTRIA Y MANUFACTURA</t>
        </is>
      </c>
      <c r="W561" s="12" t="n"/>
      <c r="X561" s="12" t="n"/>
    </row>
    <row r="562" ht="15" customHeight="1">
      <c r="C562" t="inlineStr">
        <is>
          <t>Actividad económica / giro mercantil</t>
        </is>
      </c>
      <c r="D562" t="inlineStr">
        <is>
          <t>F12</t>
        </is>
      </c>
      <c r="E562" t="inlineStr">
        <is>
          <t>INHERENTE</t>
        </is>
      </c>
      <c r="F562" t="inlineStr">
        <is>
          <t>FABRICACION DE ESENCIAS</t>
        </is>
      </c>
      <c r="G562" t="n">
        <v>3071016</v>
      </c>
      <c r="H562" t="n">
        <v>1</v>
      </c>
      <c r="I562" t="n">
        <v>1</v>
      </c>
      <c r="J562" t="n">
        <v>8</v>
      </c>
      <c r="K562" t="n">
        <v>8</v>
      </c>
      <c r="L562" t="n">
        <v>8</v>
      </c>
      <c r="M562" t="n">
        <v>8</v>
      </c>
      <c r="N562" t="n">
        <v>8</v>
      </c>
      <c r="O562" t="n">
        <v>40</v>
      </c>
      <c r="P562" t="n">
        <v>8</v>
      </c>
      <c r="R562" s="9" t="n">
        <v>0.08</v>
      </c>
      <c r="S562" s="10" t="inlineStr">
        <is>
          <t>SÍ — integrante</t>
        </is>
      </c>
      <c r="T562" s="11" t="inlineStr">
        <is>
          <t>B · INTEGRANTE</t>
        </is>
      </c>
      <c r="U562" s="11" t="inlineStr">
        <is>
          <t>DEL BANCO (se hereda)</t>
        </is>
      </c>
      <c r="V562" s="11" t="inlineStr">
        <is>
          <t>9152 · INDUSTRIA Y MANUFACTURA</t>
        </is>
      </c>
      <c r="W562" s="12" t="n"/>
      <c r="X562" s="12" t="n"/>
    </row>
    <row r="563" ht="15" customHeight="1">
      <c r="C563" t="inlineStr">
        <is>
          <t>Actividad económica / giro mercantil</t>
        </is>
      </c>
      <c r="D563" t="inlineStr">
        <is>
          <t>F12</t>
        </is>
      </c>
      <c r="E563" t="inlineStr">
        <is>
          <t>INHERENTE</t>
        </is>
      </c>
      <c r="F563" t="inlineStr">
        <is>
          <t>FABRICACION Y REFINACION DE SEBO GRASAS Y ACEITES ANIMALES PARA USO INDUSTRIAL</t>
        </is>
      </c>
      <c r="G563" t="n">
        <v>3072014</v>
      </c>
      <c r="H563" t="n">
        <v>1</v>
      </c>
      <c r="I563" t="n">
        <v>1</v>
      </c>
      <c r="J563" t="n">
        <v>8</v>
      </c>
      <c r="K563" t="n">
        <v>8</v>
      </c>
      <c r="L563" t="n">
        <v>8</v>
      </c>
      <c r="M563" t="n">
        <v>8</v>
      </c>
      <c r="N563" t="n">
        <v>8</v>
      </c>
      <c r="O563" t="n">
        <v>40</v>
      </c>
      <c r="P563" t="n">
        <v>8</v>
      </c>
      <c r="R563" s="9" t="n">
        <v>0.08</v>
      </c>
      <c r="S563" s="10" t="inlineStr">
        <is>
          <t>SÍ — integrante</t>
        </is>
      </c>
      <c r="T563" s="11" t="inlineStr">
        <is>
          <t>B · INTEGRANTE</t>
        </is>
      </c>
      <c r="U563" s="11" t="inlineStr">
        <is>
          <t>DEL BANCO (se hereda)</t>
        </is>
      </c>
      <c r="V563" s="11" t="inlineStr">
        <is>
          <t>9152 · INDUSTRIA Y MANUFACTURA</t>
        </is>
      </c>
      <c r="W563" s="12" t="n"/>
      <c r="X563" s="12" t="n"/>
    </row>
    <row r="564" ht="15" customHeight="1">
      <c r="C564" t="inlineStr">
        <is>
          <t>Actividad económica / giro mercantil</t>
        </is>
      </c>
      <c r="D564" t="inlineStr">
        <is>
          <t>F12</t>
        </is>
      </c>
      <c r="E564" t="inlineStr">
        <is>
          <t>INHERENTE</t>
        </is>
      </c>
      <c r="F564" t="inlineStr">
        <is>
          <t>FUNDICION DE SEBO</t>
        </is>
      </c>
      <c r="G564" t="n">
        <v>3072022</v>
      </c>
      <c r="H564" t="n">
        <v>1</v>
      </c>
      <c r="I564" t="n">
        <v>1</v>
      </c>
      <c r="J564" t="n">
        <v>8</v>
      </c>
      <c r="K564" t="n">
        <v>8</v>
      </c>
      <c r="L564" t="n">
        <v>8</v>
      </c>
      <c r="M564" t="n">
        <v>8</v>
      </c>
      <c r="N564" t="n">
        <v>8</v>
      </c>
      <c r="O564" t="n">
        <v>40</v>
      </c>
      <c r="P564" t="n">
        <v>8</v>
      </c>
      <c r="R564" s="9" t="n">
        <v>0.08</v>
      </c>
      <c r="S564" s="10" t="inlineStr">
        <is>
          <t>SÍ — integrante</t>
        </is>
      </c>
      <c r="T564" s="11" t="inlineStr">
        <is>
          <t>B · INTEGRANTE</t>
        </is>
      </c>
      <c r="U564" s="11" t="inlineStr">
        <is>
          <t>DEL BANCO (se hereda)</t>
        </is>
      </c>
      <c r="V564" s="11" t="inlineStr">
        <is>
          <t>9152 · INDUSTRIA Y MANUFACTURA</t>
        </is>
      </c>
      <c r="W564" s="12" t="n"/>
      <c r="X564" s="12" t="n"/>
    </row>
    <row r="565" ht="15" customHeight="1">
      <c r="C565" t="inlineStr">
        <is>
          <t>Actividad económica / giro mercantil</t>
        </is>
      </c>
      <c r="D565" t="inlineStr">
        <is>
          <t>F12</t>
        </is>
      </c>
      <c r="E565" t="inlineStr">
        <is>
          <t>INHERENTE</t>
        </is>
      </c>
      <c r="F565" t="inlineStr">
        <is>
          <t>HIDROGENADORA DE PRODUCTOS DIVERSOS</t>
        </is>
      </c>
      <c r="G565" t="n">
        <v>3072030</v>
      </c>
      <c r="H565" t="n">
        <v>1</v>
      </c>
      <c r="I565" t="n">
        <v>1</v>
      </c>
      <c r="J565" t="n">
        <v>8</v>
      </c>
      <c r="K565" t="n">
        <v>8</v>
      </c>
      <c r="L565" t="n">
        <v>8</v>
      </c>
      <c r="M565" t="n">
        <v>8</v>
      </c>
      <c r="N565" t="n">
        <v>8</v>
      </c>
      <c r="O565" t="n">
        <v>40</v>
      </c>
      <c r="P565" t="n">
        <v>8</v>
      </c>
      <c r="R565" s="9" t="n">
        <v>0.08</v>
      </c>
      <c r="S565" s="10" t="inlineStr">
        <is>
          <t>SÍ — integrante</t>
        </is>
      </c>
      <c r="T565" s="11" t="inlineStr">
        <is>
          <t>B · INTEGRANTE</t>
        </is>
      </c>
      <c r="U565" s="11" t="inlineStr">
        <is>
          <t>DEL BANCO (se hereda)</t>
        </is>
      </c>
      <c r="V565" s="11" t="inlineStr">
        <is>
          <t>9152 · INDUSTRIA Y MANUFACTURA</t>
        </is>
      </c>
      <c r="W565" s="12" t="n"/>
      <c r="X565" s="12" t="n"/>
    </row>
    <row r="566" ht="15" customHeight="1">
      <c r="C566" t="inlineStr">
        <is>
          <t>Actividad económica / giro mercantil</t>
        </is>
      </c>
      <c r="D566" t="inlineStr">
        <is>
          <t>F12</t>
        </is>
      </c>
      <c r="E566" t="inlineStr">
        <is>
          <t>INHERENTE</t>
        </is>
      </c>
      <c r="F566" t="inlineStr">
        <is>
          <t>FABRICACION DE COLAS Y PEGAMENTOS</t>
        </is>
      </c>
      <c r="G566" t="n">
        <v>3091014</v>
      </c>
      <c r="H566" t="n">
        <v>2</v>
      </c>
      <c r="I566" t="n">
        <v>2</v>
      </c>
      <c r="J566" t="n">
        <v>8</v>
      </c>
      <c r="K566" t="n">
        <v>16</v>
      </c>
      <c r="L566" t="n">
        <v>16</v>
      </c>
      <c r="M566" t="n">
        <v>16</v>
      </c>
      <c r="N566" t="n">
        <v>16</v>
      </c>
      <c r="O566" t="n">
        <v>40</v>
      </c>
      <c r="P566" t="n">
        <v>8</v>
      </c>
      <c r="R566" s="9" t="n">
        <v>0.08</v>
      </c>
      <c r="S566" s="10" t="inlineStr">
        <is>
          <t>SÍ — integrante</t>
        </is>
      </c>
      <c r="T566" s="11" t="inlineStr">
        <is>
          <t>B · INTEGRANTE</t>
        </is>
      </c>
      <c r="U566" s="11" t="inlineStr">
        <is>
          <t>DEL BANCO (se hereda)</t>
        </is>
      </c>
      <c r="V566" s="11" t="inlineStr">
        <is>
          <t>9152 · INDUSTRIA Y MANUFACTURA</t>
        </is>
      </c>
      <c r="W566" s="12" t="n"/>
      <c r="X566" s="12" t="n"/>
    </row>
    <row r="567" ht="15" customHeight="1">
      <c r="C567" t="inlineStr">
        <is>
          <t>Actividad económica / giro mercantil</t>
        </is>
      </c>
      <c r="D567" t="inlineStr">
        <is>
          <t>F12</t>
        </is>
      </c>
      <c r="E567" t="inlineStr">
        <is>
          <t>INHERENTE</t>
        </is>
      </c>
      <c r="F567" t="inlineStr">
        <is>
          <t>FABRICACION DE IMPERMEABILIZANTES</t>
        </is>
      </c>
      <c r="G567" t="n">
        <v>3091022</v>
      </c>
      <c r="H567" t="n">
        <v>1</v>
      </c>
      <c r="I567" t="n">
        <v>1</v>
      </c>
      <c r="J567" t="n">
        <v>8</v>
      </c>
      <c r="K567" t="n">
        <v>8</v>
      </c>
      <c r="L567" t="n">
        <v>8</v>
      </c>
      <c r="M567" t="n">
        <v>8</v>
      </c>
      <c r="N567" t="n">
        <v>8</v>
      </c>
      <c r="O567" t="n">
        <v>40</v>
      </c>
      <c r="P567" t="n">
        <v>8</v>
      </c>
      <c r="R567" s="9" t="n">
        <v>0.08</v>
      </c>
      <c r="S567" s="10" t="inlineStr">
        <is>
          <t>SÍ — integrante</t>
        </is>
      </c>
      <c r="T567" s="11" t="inlineStr">
        <is>
          <t>B · INTEGRANTE</t>
        </is>
      </c>
      <c r="U567" s="11" t="inlineStr">
        <is>
          <t>DEL BANCO (se hereda)</t>
        </is>
      </c>
      <c r="V567" s="11" t="inlineStr">
        <is>
          <t>9152 · INDUSTRIA Y MANUFACTURA</t>
        </is>
      </c>
      <c r="W567" s="12" t="n"/>
      <c r="X567" s="12" t="n"/>
    </row>
    <row r="568" ht="15" customHeight="1">
      <c r="C568" t="inlineStr">
        <is>
          <t>Actividad económica / giro mercantil</t>
        </is>
      </c>
      <c r="D568" t="inlineStr">
        <is>
          <t>F12</t>
        </is>
      </c>
      <c r="E568" t="inlineStr">
        <is>
          <t>INHERENTE</t>
        </is>
      </c>
      <c r="F568" t="inlineStr">
        <is>
          <t>FABRICACION DE CERA PULIMENTOS Y ABRILLANTADORES</t>
        </is>
      </c>
      <c r="G568" t="n">
        <v>3092012</v>
      </c>
      <c r="H568" t="n">
        <v>1</v>
      </c>
      <c r="I568" t="n">
        <v>1</v>
      </c>
      <c r="J568" t="n">
        <v>8</v>
      </c>
      <c r="K568" t="n">
        <v>8</v>
      </c>
      <c r="L568" t="n">
        <v>8</v>
      </c>
      <c r="M568" t="n">
        <v>8</v>
      </c>
      <c r="N568" t="n">
        <v>8</v>
      </c>
      <c r="O568" t="n">
        <v>40</v>
      </c>
      <c r="P568" t="n">
        <v>8</v>
      </c>
      <c r="R568" s="9" t="n">
        <v>0.08</v>
      </c>
      <c r="S568" s="10" t="inlineStr">
        <is>
          <t>SÍ — integrante</t>
        </is>
      </c>
      <c r="T568" s="11" t="inlineStr">
        <is>
          <t>B · INTEGRANTE</t>
        </is>
      </c>
      <c r="U568" s="11" t="inlineStr">
        <is>
          <t>DEL BANCO (se hereda)</t>
        </is>
      </c>
      <c r="V568" s="11" t="inlineStr">
        <is>
          <t>9152 · INDUSTRIA Y MANUFACTURA</t>
        </is>
      </c>
      <c r="W568" s="12" t="n"/>
      <c r="X568" s="12" t="n"/>
    </row>
    <row r="569" ht="15" customHeight="1">
      <c r="C569" t="inlineStr">
        <is>
          <t>Actividad económica / giro mercantil</t>
        </is>
      </c>
      <c r="D569" t="inlineStr">
        <is>
          <t>F12</t>
        </is>
      </c>
      <c r="E569" t="inlineStr">
        <is>
          <t>INHERENTE</t>
        </is>
      </c>
      <c r="F569" t="inlineStr">
        <is>
          <t>FABRICACION DE DESINFECTANTES Y DESODORIZANTES</t>
        </is>
      </c>
      <c r="G569" t="n">
        <v>3092020</v>
      </c>
      <c r="H569" t="n">
        <v>1</v>
      </c>
      <c r="I569" t="n">
        <v>1</v>
      </c>
      <c r="J569" t="n">
        <v>8</v>
      </c>
      <c r="K569" t="n">
        <v>8</v>
      </c>
      <c r="L569" t="n">
        <v>8</v>
      </c>
      <c r="M569" t="n">
        <v>8</v>
      </c>
      <c r="N569" t="n">
        <v>8</v>
      </c>
      <c r="O569" t="n">
        <v>40</v>
      </c>
      <c r="P569" t="n">
        <v>8</v>
      </c>
      <c r="R569" s="9" t="n">
        <v>0.08</v>
      </c>
      <c r="S569" s="10" t="inlineStr">
        <is>
          <t>SÍ — integrante</t>
        </is>
      </c>
      <c r="T569" s="11" t="inlineStr">
        <is>
          <t>B · INTEGRANTE</t>
        </is>
      </c>
      <c r="U569" s="11" t="inlineStr">
        <is>
          <t>DEL BANCO (se hereda)</t>
        </is>
      </c>
      <c r="V569" s="11" t="inlineStr">
        <is>
          <t>9152 · INDUSTRIA Y MANUFACTURA</t>
        </is>
      </c>
      <c r="W569" s="12" t="n"/>
      <c r="X569" s="12" t="n"/>
    </row>
    <row r="570" ht="15" customHeight="1">
      <c r="C570" t="inlineStr">
        <is>
          <t>Actividad económica / giro mercantil</t>
        </is>
      </c>
      <c r="D570" t="inlineStr">
        <is>
          <t>F12</t>
        </is>
      </c>
      <c r="E570" t="inlineStr">
        <is>
          <t>INHERENTE</t>
        </is>
      </c>
      <c r="F570" t="inlineStr">
        <is>
          <t>FABRICACION DE GRASAS Y CREMAS LUSTRADORAS</t>
        </is>
      </c>
      <c r="G570" t="n">
        <v>3092038</v>
      </c>
      <c r="H570" t="n">
        <v>1</v>
      </c>
      <c r="I570" t="n">
        <v>1</v>
      </c>
      <c r="J570" t="n">
        <v>8</v>
      </c>
      <c r="K570" t="n">
        <v>8</v>
      </c>
      <c r="L570" t="n">
        <v>8</v>
      </c>
      <c r="M570" t="n">
        <v>8</v>
      </c>
      <c r="N570" t="n">
        <v>8</v>
      </c>
      <c r="O570" t="n">
        <v>40</v>
      </c>
      <c r="P570" t="n">
        <v>8</v>
      </c>
      <c r="R570" s="9" t="n">
        <v>0.08</v>
      </c>
      <c r="S570" s="10" t="inlineStr">
        <is>
          <t>SÍ — integrante</t>
        </is>
      </c>
      <c r="T570" s="11" t="inlineStr">
        <is>
          <t>B · INTEGRANTE</t>
        </is>
      </c>
      <c r="U570" s="11" t="inlineStr">
        <is>
          <t>DEL BANCO (se hereda)</t>
        </is>
      </c>
      <c r="V570" s="11" t="inlineStr">
        <is>
          <t>9152 · INDUSTRIA Y MANUFACTURA</t>
        </is>
      </c>
      <c r="W570" s="12" t="n"/>
      <c r="X570" s="12" t="n"/>
    </row>
    <row r="571" ht="15" customHeight="1">
      <c r="C571" t="inlineStr">
        <is>
          <t>Actividad económica / giro mercantil</t>
        </is>
      </c>
      <c r="D571" t="inlineStr">
        <is>
          <t>F12</t>
        </is>
      </c>
      <c r="E571" t="inlineStr">
        <is>
          <t>INHERENTE</t>
        </is>
      </c>
      <c r="F571" t="inlineStr">
        <is>
          <t>FABRICACION DE LANOLINA</t>
        </is>
      </c>
      <c r="G571" t="n">
        <v>3092046</v>
      </c>
      <c r="H571" t="n">
        <v>1</v>
      </c>
      <c r="I571" t="n">
        <v>1</v>
      </c>
      <c r="J571" t="n">
        <v>8</v>
      </c>
      <c r="K571" t="n">
        <v>8</v>
      </c>
      <c r="L571" t="n">
        <v>8</v>
      </c>
      <c r="M571" t="n">
        <v>8</v>
      </c>
      <c r="N571" t="n">
        <v>8</v>
      </c>
      <c r="O571" t="n">
        <v>40</v>
      </c>
      <c r="P571" t="n">
        <v>8</v>
      </c>
      <c r="R571" s="9" t="n">
        <v>0.08</v>
      </c>
      <c r="S571" s="10" t="inlineStr">
        <is>
          <t>SÍ — integrante</t>
        </is>
      </c>
      <c r="T571" s="11" t="inlineStr">
        <is>
          <t>B · INTEGRANTE</t>
        </is>
      </c>
      <c r="U571" s="11" t="inlineStr">
        <is>
          <t>DEL BANCO (se hereda)</t>
        </is>
      </c>
      <c r="V571" s="11" t="inlineStr">
        <is>
          <t>9152 · INDUSTRIA Y MANUFACTURA</t>
        </is>
      </c>
      <c r="W571" s="12" t="n"/>
      <c r="X571" s="12" t="n"/>
    </row>
    <row r="572" ht="15" customHeight="1">
      <c r="C572" t="inlineStr">
        <is>
          <t>Actividad económica / giro mercantil</t>
        </is>
      </c>
      <c r="D572" t="inlineStr">
        <is>
          <t>F12</t>
        </is>
      </c>
      <c r="E572" t="inlineStr">
        <is>
          <t>INHERENTE</t>
        </is>
      </c>
      <c r="F572" t="inlineStr">
        <is>
          <t>FABRICACION DE AGUARRAS</t>
        </is>
      </c>
      <c r="G572" t="n">
        <v>3093010</v>
      </c>
      <c r="H572" t="n">
        <v>1</v>
      </c>
      <c r="I572" t="n">
        <v>1</v>
      </c>
      <c r="J572" t="n">
        <v>8</v>
      </c>
      <c r="K572" t="n">
        <v>8</v>
      </c>
      <c r="L572" t="n">
        <v>8</v>
      </c>
      <c r="M572" t="n">
        <v>8</v>
      </c>
      <c r="N572" t="n">
        <v>8</v>
      </c>
      <c r="O572" t="n">
        <v>40</v>
      </c>
      <c r="P572" t="n">
        <v>8</v>
      </c>
      <c r="R572" s="9" t="n">
        <v>0.08</v>
      </c>
      <c r="S572" s="10" t="inlineStr">
        <is>
          <t>SÍ — integrante</t>
        </is>
      </c>
      <c r="T572" s="11" t="inlineStr">
        <is>
          <t>B · INTEGRANTE</t>
        </is>
      </c>
      <c r="U572" s="11" t="inlineStr">
        <is>
          <t>DEL BANCO (se hereda)</t>
        </is>
      </c>
      <c r="V572" s="11" t="inlineStr">
        <is>
          <t>9152 · INDUSTRIA Y MANUFACTURA</t>
        </is>
      </c>
      <c r="W572" s="12" t="n"/>
      <c r="X572" s="12" t="n"/>
    </row>
    <row r="573" ht="15" customHeight="1">
      <c r="C573" t="inlineStr">
        <is>
          <t>Actividad económica / giro mercantil</t>
        </is>
      </c>
      <c r="D573" t="inlineStr">
        <is>
          <t>F12</t>
        </is>
      </c>
      <c r="E573" t="inlineStr">
        <is>
          <t>INHERENTE</t>
        </is>
      </c>
      <c r="F573" t="inlineStr">
        <is>
          <t>FABRICACION DE CERILLOS Y FOSFOROS</t>
        </is>
      </c>
      <c r="G573" t="n">
        <v>3094018</v>
      </c>
      <c r="H573" t="n">
        <v>1</v>
      </c>
      <c r="I573" t="n">
        <v>1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40</v>
      </c>
      <c r="P573" t="n">
        <v>8</v>
      </c>
      <c r="R573" s="9" t="n">
        <v>0.08</v>
      </c>
      <c r="S573" s="10" t="inlineStr">
        <is>
          <t>SÍ — integrante</t>
        </is>
      </c>
      <c r="T573" s="11" t="inlineStr">
        <is>
          <t>B · INTEGRANTE</t>
        </is>
      </c>
      <c r="U573" s="11" t="inlineStr">
        <is>
          <t>DEL BANCO (se hereda)</t>
        </is>
      </c>
      <c r="V573" s="11" t="inlineStr">
        <is>
          <t>9152 · INDUSTRIA Y MANUFACTURA</t>
        </is>
      </c>
      <c r="W573" s="12" t="n"/>
      <c r="X573" s="12" t="n"/>
    </row>
    <row r="574" ht="15" customHeight="1">
      <c r="C574" t="inlineStr">
        <is>
          <t>Actividad económica / giro mercantil</t>
        </is>
      </c>
      <c r="D574" t="inlineStr">
        <is>
          <t>F12</t>
        </is>
      </c>
      <c r="E574" t="inlineStr">
        <is>
          <t>INHERENTE</t>
        </is>
      </c>
      <c r="F574" t="inlineStr">
        <is>
          <t>FABRICACION DE OTROS ARTICULOS DE CERA</t>
        </is>
      </c>
      <c r="G574" t="n">
        <v>3095016</v>
      </c>
      <c r="H574" t="n">
        <v>1</v>
      </c>
      <c r="I574" t="n">
        <v>1</v>
      </c>
      <c r="J574" t="n">
        <v>8</v>
      </c>
      <c r="K574" t="n">
        <v>8</v>
      </c>
      <c r="L574" t="n">
        <v>8</v>
      </c>
      <c r="M574" t="n">
        <v>8</v>
      </c>
      <c r="N574" t="n">
        <v>8</v>
      </c>
      <c r="O574" t="n">
        <v>40</v>
      </c>
      <c r="P574" t="n">
        <v>8</v>
      </c>
      <c r="R574" s="9" t="n">
        <v>0.08</v>
      </c>
      <c r="S574" s="10" t="inlineStr">
        <is>
          <t>SÍ — integrante</t>
        </is>
      </c>
      <c r="T574" s="11" t="inlineStr">
        <is>
          <t>B · INTEGRANTE</t>
        </is>
      </c>
      <c r="U574" s="11" t="inlineStr">
        <is>
          <t>DEL BANCO (se hereda)</t>
        </is>
      </c>
      <c r="V574" s="11" t="inlineStr">
        <is>
          <t>9152 · INDUSTRIA Y MANUFACTURA</t>
        </is>
      </c>
      <c r="W574" s="12" t="n"/>
      <c r="X574" s="12" t="n"/>
    </row>
    <row r="575" ht="15" customHeight="1">
      <c r="C575" t="inlineStr">
        <is>
          <t>Actividad económica / giro mercantil</t>
        </is>
      </c>
      <c r="D575" t="inlineStr">
        <is>
          <t>F12</t>
        </is>
      </c>
      <c r="E575" t="inlineStr">
        <is>
          <t>INHERENTE</t>
        </is>
      </c>
      <c r="F575" t="inlineStr">
        <is>
          <t>FABRICACION DE VELAS VELADORAS Y CIRIOS</t>
        </is>
      </c>
      <c r="G575" t="n">
        <v>3095024</v>
      </c>
      <c r="H575" t="n">
        <v>1</v>
      </c>
      <c r="I575" t="n">
        <v>1</v>
      </c>
      <c r="J575" t="n">
        <v>8</v>
      </c>
      <c r="K575" t="n">
        <v>8</v>
      </c>
      <c r="L575" t="n">
        <v>8</v>
      </c>
      <c r="M575" t="n">
        <v>8</v>
      </c>
      <c r="N575" t="n">
        <v>8</v>
      </c>
      <c r="O575" t="n">
        <v>40</v>
      </c>
      <c r="P575" t="n">
        <v>8</v>
      </c>
      <c r="R575" s="9" t="n">
        <v>0.08</v>
      </c>
      <c r="S575" s="10" t="inlineStr">
        <is>
          <t>SÍ — integrante</t>
        </is>
      </c>
      <c r="T575" s="11" t="inlineStr">
        <is>
          <t>B · INTEGRANTE</t>
        </is>
      </c>
      <c r="U575" s="11" t="inlineStr">
        <is>
          <t>DEL BANCO (se hereda)</t>
        </is>
      </c>
      <c r="V575" s="11" t="inlineStr">
        <is>
          <t>9152 · INDUSTRIA Y MANUFACTURA</t>
        </is>
      </c>
      <c r="W575" s="12" t="n"/>
      <c r="X575" s="12" t="n"/>
    </row>
    <row r="576" ht="15" customHeight="1">
      <c r="C576" t="inlineStr">
        <is>
          <t>Actividad económica / giro mercantil</t>
        </is>
      </c>
      <c r="D576" t="inlineStr">
        <is>
          <t>F12</t>
        </is>
      </c>
      <c r="E576" t="inlineStr">
        <is>
          <t>INHERENTE</t>
        </is>
      </c>
      <c r="F576" t="inlineStr">
        <is>
          <t>FABRICACION DE TINTAS PARA IMPRESION</t>
        </is>
      </c>
      <c r="G576" t="n">
        <v>3096014</v>
      </c>
      <c r="H576" t="n">
        <v>1</v>
      </c>
      <c r="I576" t="n">
        <v>1</v>
      </c>
      <c r="J576" t="n">
        <v>8</v>
      </c>
      <c r="K576" t="n">
        <v>8</v>
      </c>
      <c r="L576" t="n">
        <v>8</v>
      </c>
      <c r="M576" t="n">
        <v>8</v>
      </c>
      <c r="N576" t="n">
        <v>8</v>
      </c>
      <c r="O576" t="n">
        <v>40</v>
      </c>
      <c r="P576" t="n">
        <v>8</v>
      </c>
      <c r="R576" s="9" t="n">
        <v>0.08</v>
      </c>
      <c r="S576" s="10" t="inlineStr">
        <is>
          <t>SÍ — integrante</t>
        </is>
      </c>
      <c r="T576" s="11" t="inlineStr">
        <is>
          <t>B · INTEGRANTE</t>
        </is>
      </c>
      <c r="U576" s="11" t="inlineStr">
        <is>
          <t>DEL BANCO (se hereda)</t>
        </is>
      </c>
      <c r="V576" s="11" t="inlineStr">
        <is>
          <t>9152 · INDUSTRIA Y MANUFACTURA</t>
        </is>
      </c>
      <c r="W576" s="12" t="n"/>
      <c r="X576" s="12" t="n"/>
    </row>
    <row r="577" ht="15" customHeight="1">
      <c r="C577" t="inlineStr">
        <is>
          <t>Actividad económica / giro mercantil</t>
        </is>
      </c>
      <c r="D577" t="inlineStr">
        <is>
          <t>F12</t>
        </is>
      </c>
      <c r="E577" t="inlineStr">
        <is>
          <t>INHERENTE</t>
        </is>
      </c>
      <c r="F577" t="inlineStr">
        <is>
          <t>FABRICACION DE DINAMITA</t>
        </is>
      </c>
      <c r="G577" t="n">
        <v>3097012</v>
      </c>
      <c r="H577" t="n">
        <v>5</v>
      </c>
      <c r="I577" t="n">
        <v>5</v>
      </c>
      <c r="J577" t="n">
        <v>8</v>
      </c>
      <c r="K577" t="n">
        <v>40</v>
      </c>
      <c r="L577" t="n">
        <v>40</v>
      </c>
      <c r="M577" t="n">
        <v>40</v>
      </c>
      <c r="N577" t="n">
        <v>40</v>
      </c>
      <c r="O577" t="n">
        <v>40</v>
      </c>
      <c r="P577" t="n">
        <v>8</v>
      </c>
      <c r="Q577" t="inlineStr">
        <is>
          <t>DETERMINANTE</t>
        </is>
      </c>
      <c r="R577" s="9" t="n">
        <v>0.08</v>
      </c>
      <c r="S577" s="10" t="inlineStr">
        <is>
          <t>SÍ — integrante</t>
        </is>
      </c>
      <c r="T577" s="11" t="inlineStr">
        <is>
          <t>B · INTEGRANTE</t>
        </is>
      </c>
      <c r="U577" s="11" t="inlineStr">
        <is>
          <t>DEL BANCO (se hereda)</t>
        </is>
      </c>
      <c r="V577" s="11" t="inlineStr">
        <is>
          <t>9152 · INDUSTRIA Y MANUFACTURA</t>
        </is>
      </c>
      <c r="W577" s="12" t="n"/>
      <c r="X577" s="12" t="n"/>
    </row>
    <row r="578" ht="15" customHeight="1">
      <c r="C578" t="inlineStr">
        <is>
          <t>Actividad económica / giro mercantil</t>
        </is>
      </c>
      <c r="D578" t="inlineStr">
        <is>
          <t>F12</t>
        </is>
      </c>
      <c r="E578" t="inlineStr">
        <is>
          <t>INHERENTE</t>
        </is>
      </c>
      <c r="F578" t="inlineStr">
        <is>
          <t>FABRICACION DE MECHAS PARA MINAS</t>
        </is>
      </c>
      <c r="G578" t="n">
        <v>3097020</v>
      </c>
      <c r="H578" t="n">
        <v>1</v>
      </c>
      <c r="I578" t="n">
        <v>1</v>
      </c>
      <c r="J578" t="n">
        <v>8</v>
      </c>
      <c r="K578" t="n">
        <v>8</v>
      </c>
      <c r="L578" t="n">
        <v>8</v>
      </c>
      <c r="M578" t="n">
        <v>8</v>
      </c>
      <c r="N578" t="n">
        <v>8</v>
      </c>
      <c r="O578" t="n">
        <v>40</v>
      </c>
      <c r="P578" t="n">
        <v>8</v>
      </c>
      <c r="R578" s="9" t="n">
        <v>0.08</v>
      </c>
      <c r="S578" s="10" t="inlineStr">
        <is>
          <t>SÍ — integrante</t>
        </is>
      </c>
      <c r="T578" s="11" t="inlineStr">
        <is>
          <t>B · INTEGRANTE</t>
        </is>
      </c>
      <c r="U578" s="11" t="inlineStr">
        <is>
          <t>DEL BANCO (se hereda)</t>
        </is>
      </c>
      <c r="V578" s="11" t="inlineStr">
        <is>
          <t>9151 · SECTOR PRIMARIO (agropecuario, pesca, forestal, minería)</t>
        </is>
      </c>
      <c r="W578" s="12" t="n"/>
      <c r="X578" s="12" t="n"/>
    </row>
    <row r="579" ht="15" customHeight="1">
      <c r="C579" t="inlineStr">
        <is>
          <t>Actividad económica / giro mercantil</t>
        </is>
      </c>
      <c r="D579" t="inlineStr">
        <is>
          <t>F12</t>
        </is>
      </c>
      <c r="E579" t="inlineStr">
        <is>
          <t>INHERENTE</t>
        </is>
      </c>
      <c r="F579" t="inlineStr">
        <is>
          <t>FABRICACION DE OTROS EXPLOSIVOS</t>
        </is>
      </c>
      <c r="G579" t="n">
        <v>3097038</v>
      </c>
      <c r="H579" t="n">
        <v>5</v>
      </c>
      <c r="I579" t="n">
        <v>5</v>
      </c>
      <c r="J579" t="n">
        <v>8</v>
      </c>
      <c r="K579" t="n">
        <v>40</v>
      </c>
      <c r="L579" t="n">
        <v>40</v>
      </c>
      <c r="M579" t="n">
        <v>40</v>
      </c>
      <c r="N579" t="n">
        <v>40</v>
      </c>
      <c r="O579" t="n">
        <v>40</v>
      </c>
      <c r="P579" t="n">
        <v>8</v>
      </c>
      <c r="Q579" t="inlineStr">
        <is>
          <t>DETERMINANTE</t>
        </is>
      </c>
      <c r="R579" s="9" t="n">
        <v>0.08</v>
      </c>
      <c r="S579" s="10" t="inlineStr">
        <is>
          <t>SÍ — integrante</t>
        </is>
      </c>
      <c r="T579" s="11" t="inlineStr">
        <is>
          <t>B · INTEGRANTE</t>
        </is>
      </c>
      <c r="U579" s="11" t="inlineStr">
        <is>
          <t>DEL BANCO (se hereda)</t>
        </is>
      </c>
      <c r="V579" s="11" t="inlineStr">
        <is>
          <t>9152 · INDUSTRIA Y MANUFACTURA</t>
        </is>
      </c>
      <c r="W579" s="12" t="n"/>
      <c r="X579" s="12" t="n"/>
    </row>
    <row r="580" ht="15" customHeight="1">
      <c r="C580" t="inlineStr">
        <is>
          <t>Actividad económica / giro mercantil</t>
        </is>
      </c>
      <c r="D580" t="inlineStr">
        <is>
          <t>F12</t>
        </is>
      </c>
      <c r="E580" t="inlineStr">
        <is>
          <t>INHERENTE</t>
        </is>
      </c>
      <c r="F580" t="inlineStr">
        <is>
          <t>FABRICACION DE POLVORA</t>
        </is>
      </c>
      <c r="G580" t="n">
        <v>3097046</v>
      </c>
      <c r="H580" t="n">
        <v>5</v>
      </c>
      <c r="I580" t="n">
        <v>5</v>
      </c>
      <c r="J580" t="n">
        <v>8</v>
      </c>
      <c r="K580" t="n">
        <v>40</v>
      </c>
      <c r="L580" t="n">
        <v>40</v>
      </c>
      <c r="M580" t="n">
        <v>40</v>
      </c>
      <c r="N580" t="n">
        <v>40</v>
      </c>
      <c r="O580" t="n">
        <v>40</v>
      </c>
      <c r="P580" t="n">
        <v>8</v>
      </c>
      <c r="Q580" t="inlineStr">
        <is>
          <t>DETERMINANTE</t>
        </is>
      </c>
      <c r="R580" s="9" t="n">
        <v>0.08</v>
      </c>
      <c r="S580" s="10" t="inlineStr">
        <is>
          <t>SÍ — integrante</t>
        </is>
      </c>
      <c r="T580" s="11" t="inlineStr">
        <is>
          <t>B · INTEGRANTE</t>
        </is>
      </c>
      <c r="U580" s="11" t="inlineStr">
        <is>
          <t>DEL BANCO (se hereda)</t>
        </is>
      </c>
      <c r="V580" s="11" t="inlineStr">
        <is>
          <t>9152 · INDUSTRIA Y MANUFACTURA</t>
        </is>
      </c>
      <c r="W580" s="12" t="n"/>
      <c r="X580" s="12" t="n"/>
    </row>
    <row r="581" ht="15" customHeight="1">
      <c r="C581" t="inlineStr">
        <is>
          <t>Actividad económica / giro mercantil</t>
        </is>
      </c>
      <c r="D581" t="inlineStr">
        <is>
          <t>F12</t>
        </is>
      </c>
      <c r="E581" t="inlineStr">
        <is>
          <t>INHERENTE</t>
        </is>
      </c>
      <c r="F581" t="inlineStr">
        <is>
          <t>FABRICACION DE PRODUCTOS PIROTECNICOS</t>
        </is>
      </c>
      <c r="G581" t="n">
        <v>3097054</v>
      </c>
      <c r="H581" t="n">
        <v>1</v>
      </c>
      <c r="I581" t="n">
        <v>1</v>
      </c>
      <c r="J581" t="n">
        <v>8</v>
      </c>
      <c r="K581" t="n">
        <v>8</v>
      </c>
      <c r="L581" t="n">
        <v>8</v>
      </c>
      <c r="M581" t="n">
        <v>8</v>
      </c>
      <c r="N581" t="n">
        <v>8</v>
      </c>
      <c r="O581" t="n">
        <v>40</v>
      </c>
      <c r="P581" t="n">
        <v>8</v>
      </c>
      <c r="R581" s="9" t="n">
        <v>0.08</v>
      </c>
      <c r="S581" s="10" t="inlineStr">
        <is>
          <t>SÍ — integrante</t>
        </is>
      </c>
      <c r="T581" s="11" t="inlineStr">
        <is>
          <t>B · INTEGRANTE</t>
        </is>
      </c>
      <c r="U581" s="11" t="inlineStr">
        <is>
          <t>DEL BANCO (se hereda)</t>
        </is>
      </c>
      <c r="V581" s="11" t="inlineStr">
        <is>
          <t>9152 · INDUSTRIA Y MANUFACTURA</t>
        </is>
      </c>
      <c r="W581" s="12" t="n"/>
      <c r="X581" s="12" t="n"/>
    </row>
    <row r="582" ht="15" customHeight="1">
      <c r="C582" t="inlineStr">
        <is>
          <t>Actividad económica / giro mercantil</t>
        </is>
      </c>
      <c r="D582" t="inlineStr">
        <is>
          <t>F12</t>
        </is>
      </c>
      <c r="E582" t="inlineStr">
        <is>
          <t>INHERENTE</t>
        </is>
      </c>
      <c r="F582" t="inlineStr">
        <is>
          <t>FABRICACION DE ARTICULOS DE BAQUELITA</t>
        </is>
      </c>
      <c r="G582" t="n">
        <v>3099018</v>
      </c>
      <c r="H582" t="n">
        <v>1</v>
      </c>
      <c r="I582" t="n">
        <v>1</v>
      </c>
      <c r="J582" t="n">
        <v>8</v>
      </c>
      <c r="K582" t="n">
        <v>8</v>
      </c>
      <c r="L582" t="n">
        <v>8</v>
      </c>
      <c r="M582" t="n">
        <v>8</v>
      </c>
      <c r="N582" t="n">
        <v>8</v>
      </c>
      <c r="O582" t="n">
        <v>40</v>
      </c>
      <c r="P582" t="n">
        <v>8</v>
      </c>
      <c r="R582" s="9" t="n">
        <v>0.08</v>
      </c>
      <c r="S582" s="10" t="inlineStr">
        <is>
          <t>SÍ — integrante</t>
        </is>
      </c>
      <c r="T582" s="11" t="inlineStr">
        <is>
          <t>B · INTEGRANTE</t>
        </is>
      </c>
      <c r="U582" s="11" t="inlineStr">
        <is>
          <t>DEL BANCO (se hereda)</t>
        </is>
      </c>
      <c r="V582" s="11" t="inlineStr">
        <is>
          <t>9152 · INDUSTRIA Y MANUFACTURA</t>
        </is>
      </c>
      <c r="W582" s="12" t="n"/>
      <c r="X582" s="12" t="n"/>
    </row>
    <row r="583" ht="15" customHeight="1">
      <c r="C583" t="inlineStr">
        <is>
          <t>Actividad económica / giro mercantil</t>
        </is>
      </c>
      <c r="D583" t="inlineStr">
        <is>
          <t>F12</t>
        </is>
      </c>
      <c r="E583" t="inlineStr">
        <is>
          <t>INHERENTE</t>
        </is>
      </c>
      <c r="F583" t="inlineStr">
        <is>
          <t>FABRICACION DE DESINCRUSTANTES</t>
        </is>
      </c>
      <c r="G583" t="n">
        <v>3099026</v>
      </c>
      <c r="H583" t="n">
        <v>1</v>
      </c>
      <c r="I583" t="n">
        <v>1</v>
      </c>
      <c r="J583" t="n">
        <v>8</v>
      </c>
      <c r="K583" t="n">
        <v>8</v>
      </c>
      <c r="L583" t="n">
        <v>8</v>
      </c>
      <c r="M583" t="n">
        <v>8</v>
      </c>
      <c r="N583" t="n">
        <v>8</v>
      </c>
      <c r="O583" t="n">
        <v>40</v>
      </c>
      <c r="P583" t="n">
        <v>8</v>
      </c>
      <c r="R583" s="9" t="n">
        <v>0.08</v>
      </c>
      <c r="S583" s="10" t="inlineStr">
        <is>
          <t>SÍ — integrante</t>
        </is>
      </c>
      <c r="T583" s="11" t="inlineStr">
        <is>
          <t>B · INTEGRANTE</t>
        </is>
      </c>
      <c r="U583" s="11" t="inlineStr">
        <is>
          <t>DEL BANCO (se hereda)</t>
        </is>
      </c>
      <c r="V583" s="11" t="inlineStr">
        <is>
          <t>9152 · INDUSTRIA Y MANUFACTURA</t>
        </is>
      </c>
      <c r="W583" s="12" t="n"/>
      <c r="X583" s="12" t="n"/>
    </row>
    <row r="584" ht="15" customHeight="1">
      <c r="C584" t="inlineStr">
        <is>
          <t>Actividad económica / giro mercantil</t>
        </is>
      </c>
      <c r="D584" t="inlineStr">
        <is>
          <t>F12</t>
        </is>
      </c>
      <c r="E584" t="inlineStr">
        <is>
          <t>INHERENTE</t>
        </is>
      </c>
      <c r="F584" t="inlineStr">
        <is>
          <t>FABRICACION DE HIELO SECO</t>
        </is>
      </c>
      <c r="G584" t="n">
        <v>3099034</v>
      </c>
      <c r="H584" t="n">
        <v>1</v>
      </c>
      <c r="I584" t="n">
        <v>1</v>
      </c>
      <c r="J584" t="n">
        <v>8</v>
      </c>
      <c r="K584" t="n">
        <v>8</v>
      </c>
      <c r="L584" t="n">
        <v>8</v>
      </c>
      <c r="M584" t="n">
        <v>8</v>
      </c>
      <c r="N584" t="n">
        <v>8</v>
      </c>
      <c r="O584" t="n">
        <v>40</v>
      </c>
      <c r="P584" t="n">
        <v>8</v>
      </c>
      <c r="R584" s="9" t="n">
        <v>0.08</v>
      </c>
      <c r="S584" s="10" t="inlineStr">
        <is>
          <t>SÍ — integrante</t>
        </is>
      </c>
      <c r="T584" s="11" t="inlineStr">
        <is>
          <t>B · INTEGRANTE</t>
        </is>
      </c>
      <c r="U584" s="11" t="inlineStr">
        <is>
          <t>DEL BANCO (se hereda)</t>
        </is>
      </c>
      <c r="V584" s="11" t="inlineStr">
        <is>
          <t>9152 · INDUSTRIA Y MANUFACTURA</t>
        </is>
      </c>
      <c r="W584" s="12" t="n"/>
      <c r="X584" s="12" t="n"/>
    </row>
    <row r="585" ht="15" customHeight="1">
      <c r="C585" t="inlineStr">
        <is>
          <t>Actividad económica / giro mercantil</t>
        </is>
      </c>
      <c r="D585" t="inlineStr">
        <is>
          <t>F12</t>
        </is>
      </c>
      <c r="E585" t="inlineStr">
        <is>
          <t>INHERENTE</t>
        </is>
      </c>
      <c r="F585" t="inlineStr">
        <is>
          <t>INDUSTRIALIZACION DE BASURA</t>
        </is>
      </c>
      <c r="G585" t="n">
        <v>3099042</v>
      </c>
      <c r="H585" t="n">
        <v>1</v>
      </c>
      <c r="I585" t="n">
        <v>1</v>
      </c>
      <c r="J585" t="n">
        <v>8</v>
      </c>
      <c r="K585" t="n">
        <v>8</v>
      </c>
      <c r="L585" t="n">
        <v>8</v>
      </c>
      <c r="M585" t="n">
        <v>8</v>
      </c>
      <c r="N585" t="n">
        <v>8</v>
      </c>
      <c r="O585" t="n">
        <v>40</v>
      </c>
      <c r="P585" t="n">
        <v>8</v>
      </c>
      <c r="R585" s="9" t="n">
        <v>0.08</v>
      </c>
      <c r="S585" s="10" t="inlineStr">
        <is>
          <t>SÍ — integrante</t>
        </is>
      </c>
      <c r="T585" s="11" t="inlineStr">
        <is>
          <t>B · INTEGRANTE</t>
        </is>
      </c>
      <c r="U585" s="11" t="inlineStr">
        <is>
          <t>DEL BANCO (se hereda)</t>
        </is>
      </c>
      <c r="V585" s="11" t="inlineStr">
        <is>
          <t>9152 · INDUSTRIA Y MANUFACTURA</t>
        </is>
      </c>
      <c r="W585" s="12" t="n"/>
      <c r="X585" s="12" t="n"/>
    </row>
    <row r="586" ht="15" customHeight="1">
      <c r="C586" t="inlineStr">
        <is>
          <t>Actividad económica / giro mercantil</t>
        </is>
      </c>
      <c r="D586" t="inlineStr">
        <is>
          <t>F12</t>
        </is>
      </c>
      <c r="E586" t="inlineStr">
        <is>
          <t>INHERENTE</t>
        </is>
      </c>
      <c r="F586" t="inlineStr">
        <is>
          <t>REFINACIÓN DE PETRÓLEO Y DERIVADOS DEL CARBÓN MINERAL</t>
        </is>
      </c>
      <c r="G586" t="n">
        <v>3100005</v>
      </c>
      <c r="H586" t="n">
        <v>1</v>
      </c>
      <c r="I586" t="n">
        <v>1</v>
      </c>
      <c r="J586" t="n">
        <v>8</v>
      </c>
      <c r="K586" t="n">
        <v>8</v>
      </c>
      <c r="L586" t="n">
        <v>8</v>
      </c>
      <c r="M586" t="n">
        <v>8</v>
      </c>
      <c r="N586" t="n">
        <v>8</v>
      </c>
      <c r="O586" t="n">
        <v>40</v>
      </c>
      <c r="P586" t="n">
        <v>8</v>
      </c>
      <c r="R586" s="9" t="n">
        <v>0.08</v>
      </c>
      <c r="S586" s="10" t="inlineStr">
        <is>
          <t>SÍ — integrante</t>
        </is>
      </c>
      <c r="T586" s="11" t="inlineStr">
        <is>
          <t>B · INTEGRANTE</t>
        </is>
      </c>
      <c r="U586" s="11" t="inlineStr">
        <is>
          <t>DEL BANCO (se hereda)</t>
        </is>
      </c>
      <c r="V586" s="11" t="inlineStr">
        <is>
          <t>9151 · SECTOR PRIMARIO (agropecuario, pesca, forestal, minería)</t>
        </is>
      </c>
      <c r="W586" s="12" t="n"/>
      <c r="X586" s="12" t="n"/>
    </row>
    <row r="587" ht="15" customHeight="1">
      <c r="C587" t="inlineStr">
        <is>
          <t>Actividad económica / giro mercantil</t>
        </is>
      </c>
      <c r="D587" t="inlineStr">
        <is>
          <t>F12</t>
        </is>
      </c>
      <c r="E587" t="inlineStr">
        <is>
          <t>INHERENTE</t>
        </is>
      </c>
      <c r="F587" t="inlineStr">
        <is>
          <t>FABRICACION DE GASOLINA Y OTROS PRODUCTOS DERIVADOS DE LA REFINACION DE PETROLEO</t>
        </is>
      </c>
      <c r="G587" t="n">
        <v>3111010</v>
      </c>
      <c r="H587" t="n">
        <v>4</v>
      </c>
      <c r="I587" t="n">
        <v>4</v>
      </c>
      <c r="J587" t="n">
        <v>8</v>
      </c>
      <c r="K587" t="n">
        <v>32</v>
      </c>
      <c r="L587" t="n">
        <v>32</v>
      </c>
      <c r="M587" t="n">
        <v>32</v>
      </c>
      <c r="N587" t="n">
        <v>32</v>
      </c>
      <c r="O587" t="n">
        <v>40</v>
      </c>
      <c r="P587" t="n">
        <v>8</v>
      </c>
      <c r="R587" s="9" t="n">
        <v>0.08</v>
      </c>
      <c r="S587" s="10" t="inlineStr">
        <is>
          <t>SÍ — integrante</t>
        </is>
      </c>
      <c r="T587" s="11" t="inlineStr">
        <is>
          <t>B · INTEGRANTE</t>
        </is>
      </c>
      <c r="U587" s="11" t="inlineStr">
        <is>
          <t>DEL BANCO (se hereda)</t>
        </is>
      </c>
      <c r="V587" s="11" t="inlineStr">
        <is>
          <t>9151 · SECTOR PRIMARIO (agropecuario, pesca, forestal, minería)</t>
        </is>
      </c>
      <c r="W587" s="12" t="n"/>
      <c r="X587" s="12" t="n"/>
    </row>
    <row r="588" ht="15" customHeight="1">
      <c r="C588" t="inlineStr">
        <is>
          <t>Actividad económica / giro mercantil</t>
        </is>
      </c>
      <c r="D588" t="inlineStr">
        <is>
          <t>F12</t>
        </is>
      </c>
      <c r="E588" t="inlineStr">
        <is>
          <t>INHERENTE</t>
        </is>
      </c>
      <c r="F588" t="inlineStr">
        <is>
          <t>FABRICACION DE PRODUCTOS PETROQUIMICOS BASICOS</t>
        </is>
      </c>
      <c r="G588" t="n">
        <v>3112018</v>
      </c>
      <c r="H588" t="n">
        <v>5</v>
      </c>
      <c r="I588" t="n">
        <v>5</v>
      </c>
      <c r="J588" t="n">
        <v>8</v>
      </c>
      <c r="K588" t="n">
        <v>40</v>
      </c>
      <c r="L588" t="n">
        <v>40</v>
      </c>
      <c r="M588" t="n">
        <v>40</v>
      </c>
      <c r="N588" t="n">
        <v>40</v>
      </c>
      <c r="O588" t="n">
        <v>40</v>
      </c>
      <c r="P588" t="n">
        <v>8</v>
      </c>
      <c r="R588" s="9" t="n">
        <v>0.08</v>
      </c>
      <c r="S588" s="10" t="inlineStr">
        <is>
          <t>SÍ — integrante</t>
        </is>
      </c>
      <c r="T588" s="11" t="inlineStr">
        <is>
          <t>B · INTEGRANTE</t>
        </is>
      </c>
      <c r="U588" s="11" t="inlineStr">
        <is>
          <t>DEL BANCO (se hereda)</t>
        </is>
      </c>
      <c r="V588" s="11" t="inlineStr">
        <is>
          <t>9152 · INDUSTRIA Y MANUFACTURA</t>
        </is>
      </c>
      <c r="W588" s="12" t="n"/>
      <c r="X588" s="12" t="n"/>
    </row>
    <row r="589" ht="15" customHeight="1">
      <c r="C589" t="inlineStr">
        <is>
          <t>Actividad económica / giro mercantil</t>
        </is>
      </c>
      <c r="D589" t="inlineStr">
        <is>
          <t>F12</t>
        </is>
      </c>
      <c r="E589" t="inlineStr">
        <is>
          <t>INHERENTE</t>
        </is>
      </c>
      <c r="F589" t="inlineStr">
        <is>
          <t>FABRICACION DE ACEITES Y LUBRICANTES</t>
        </is>
      </c>
      <c r="G589" t="n">
        <v>3113016</v>
      </c>
      <c r="H589" t="n">
        <v>1</v>
      </c>
      <c r="I589" t="n">
        <v>1</v>
      </c>
      <c r="J589" t="n">
        <v>8</v>
      </c>
      <c r="K589" t="n">
        <v>8</v>
      </c>
      <c r="L589" t="n">
        <v>8</v>
      </c>
      <c r="M589" t="n">
        <v>8</v>
      </c>
      <c r="N589" t="n">
        <v>8</v>
      </c>
      <c r="O589" t="n">
        <v>40</v>
      </c>
      <c r="P589" t="n">
        <v>8</v>
      </c>
      <c r="R589" s="9" t="n">
        <v>0.08</v>
      </c>
      <c r="S589" s="10" t="inlineStr">
        <is>
          <t>SÍ — integrante</t>
        </is>
      </c>
      <c r="T589" s="11" t="inlineStr">
        <is>
          <t>B · INTEGRANTE</t>
        </is>
      </c>
      <c r="U589" s="11" t="inlineStr">
        <is>
          <t>DEL BANCO (se hereda)</t>
        </is>
      </c>
      <c r="V589" s="11" t="inlineStr">
        <is>
          <t>9152 · INDUSTRIA Y MANUFACTURA</t>
        </is>
      </c>
      <c r="W589" s="12" t="n"/>
      <c r="X589" s="12" t="n"/>
    </row>
    <row r="590" ht="15" customHeight="1">
      <c r="C590" t="inlineStr">
        <is>
          <t>Actividad económica / giro mercantil</t>
        </is>
      </c>
      <c r="D590" t="inlineStr">
        <is>
          <t>F12</t>
        </is>
      </c>
      <c r="E590" t="inlineStr">
        <is>
          <t>INHERENTE</t>
        </is>
      </c>
      <c r="F590" t="inlineStr">
        <is>
          <t>FABRICACION DE COQUE Y OTROS DERIVADOS DEL CARBON MINERAL</t>
        </is>
      </c>
      <c r="G590" t="n">
        <v>3121019</v>
      </c>
      <c r="H590" t="n">
        <v>1</v>
      </c>
      <c r="I590" t="n">
        <v>1</v>
      </c>
      <c r="J590" t="n">
        <v>8</v>
      </c>
      <c r="K590" t="n">
        <v>8</v>
      </c>
      <c r="L590" t="n">
        <v>8</v>
      </c>
      <c r="M590" t="n">
        <v>8</v>
      </c>
      <c r="N590" t="n">
        <v>8</v>
      </c>
      <c r="O590" t="n">
        <v>40</v>
      </c>
      <c r="P590" t="n">
        <v>8</v>
      </c>
      <c r="R590" s="9" t="n">
        <v>0.08</v>
      </c>
      <c r="S590" s="10" t="inlineStr">
        <is>
          <t>SÍ — integrante</t>
        </is>
      </c>
      <c r="T590" s="11" t="inlineStr">
        <is>
          <t>B · INTEGRANTE</t>
        </is>
      </c>
      <c r="U590" s="11" t="inlineStr">
        <is>
          <t>DEL BANCO (se hereda)</t>
        </is>
      </c>
      <c r="V590" s="11" t="inlineStr">
        <is>
          <t>9151 · SECTOR PRIMARIO (agropecuario, pesca, forestal, minería)</t>
        </is>
      </c>
      <c r="W590" s="12" t="n"/>
      <c r="X590" s="12" t="n"/>
    </row>
    <row r="591" ht="15" customHeight="1">
      <c r="C591" t="inlineStr">
        <is>
          <t>Actividad económica / giro mercantil</t>
        </is>
      </c>
      <c r="D591" t="inlineStr">
        <is>
          <t>F12</t>
        </is>
      </c>
      <c r="E591" t="inlineStr">
        <is>
          <t>INHERENTE</t>
        </is>
      </c>
      <c r="F591" t="inlineStr">
        <is>
          <t>FABRICACION DE MATERIALES ASFALTICOS PARA PAVIMENTACION Y TECHADO</t>
        </is>
      </c>
      <c r="G591" t="n">
        <v>3122017</v>
      </c>
      <c r="H591" t="n">
        <v>1</v>
      </c>
      <c r="I591" t="n">
        <v>1</v>
      </c>
      <c r="J591" t="n">
        <v>8</v>
      </c>
      <c r="K591" t="n">
        <v>8</v>
      </c>
      <c r="L591" t="n">
        <v>8</v>
      </c>
      <c r="M591" t="n">
        <v>8</v>
      </c>
      <c r="N591" t="n">
        <v>8</v>
      </c>
      <c r="O591" t="n">
        <v>40</v>
      </c>
      <c r="P591" t="n">
        <v>8</v>
      </c>
      <c r="R591" s="9" t="n">
        <v>0.08</v>
      </c>
      <c r="S591" s="10" t="inlineStr">
        <is>
          <t>SÍ — integrante</t>
        </is>
      </c>
      <c r="T591" s="11" t="inlineStr">
        <is>
          <t>B · INTEGRANTE</t>
        </is>
      </c>
      <c r="U591" s="11" t="inlineStr">
        <is>
          <t>DEL BANCO (se hereda)</t>
        </is>
      </c>
      <c r="V591" s="11" t="inlineStr">
        <is>
          <t>9152 · INDUSTRIA Y MANUFACTURA</t>
        </is>
      </c>
      <c r="W591" s="12" t="n"/>
      <c r="X591" s="12" t="n"/>
    </row>
    <row r="592" ht="15" customHeight="1">
      <c r="C592" t="inlineStr">
        <is>
          <t>Actividad económica / giro mercantil</t>
        </is>
      </c>
      <c r="D592" t="inlineStr">
        <is>
          <t>F12</t>
        </is>
      </c>
      <c r="E592" t="inlineStr">
        <is>
          <t>INHERENTE</t>
        </is>
      </c>
      <c r="F592" t="inlineStr">
        <is>
          <t>FABRICACIÓN DE PRODUCTOS DE HULE Y DE PLÁSTICO</t>
        </is>
      </c>
      <c r="G592" t="n">
        <v>3200003</v>
      </c>
      <c r="H592" t="n">
        <v>1</v>
      </c>
      <c r="I592" t="n">
        <v>1</v>
      </c>
      <c r="J592" t="n">
        <v>8</v>
      </c>
      <c r="K592" t="n">
        <v>8</v>
      </c>
      <c r="L592" t="n">
        <v>8</v>
      </c>
      <c r="M592" t="n">
        <v>8</v>
      </c>
      <c r="N592" t="n">
        <v>8</v>
      </c>
      <c r="O592" t="n">
        <v>40</v>
      </c>
      <c r="P592" t="n">
        <v>8</v>
      </c>
      <c r="R592" s="9" t="n">
        <v>0.08</v>
      </c>
      <c r="S592" s="10" t="inlineStr">
        <is>
          <t>SÍ — integrante</t>
        </is>
      </c>
      <c r="T592" s="11" t="inlineStr">
        <is>
          <t>B · INTEGRANTE</t>
        </is>
      </c>
      <c r="U592" s="11" t="inlineStr">
        <is>
          <t>DEL BANCO (se hereda)</t>
        </is>
      </c>
      <c r="V592" s="11" t="inlineStr">
        <is>
          <t>9151 · SECTOR PRIMARIO (agropecuario, pesca, forestal, minería)</t>
        </is>
      </c>
      <c r="W592" s="12" t="n"/>
      <c r="X592" s="12" t="n"/>
    </row>
    <row r="593" ht="15" customHeight="1">
      <c r="C593" t="inlineStr">
        <is>
          <t>Actividad económica / giro mercantil</t>
        </is>
      </c>
      <c r="D593" t="inlineStr">
        <is>
          <t>F12</t>
        </is>
      </c>
      <c r="E593" t="inlineStr">
        <is>
          <t>INHERENTE</t>
        </is>
      </c>
      <c r="F593" t="inlineStr">
        <is>
          <t>FABRICACION DE LLANTAS Y CAMARAS PARA VEHICULOS</t>
        </is>
      </c>
      <c r="G593" t="n">
        <v>3211018</v>
      </c>
      <c r="H593" t="n">
        <v>1</v>
      </c>
      <c r="I593" t="n">
        <v>1</v>
      </c>
      <c r="J593" t="n">
        <v>8</v>
      </c>
      <c r="K593" t="n">
        <v>8</v>
      </c>
      <c r="L593" t="n">
        <v>8</v>
      </c>
      <c r="M593" t="n">
        <v>8</v>
      </c>
      <c r="N593" t="n">
        <v>8</v>
      </c>
      <c r="O593" t="n">
        <v>40</v>
      </c>
      <c r="P593" t="n">
        <v>8</v>
      </c>
      <c r="R593" s="9" t="n">
        <v>0.08</v>
      </c>
      <c r="S593" s="10" t="inlineStr">
        <is>
          <t>SÍ — integrante</t>
        </is>
      </c>
      <c r="T593" s="11" t="inlineStr">
        <is>
          <t>B · INTEGRANTE</t>
        </is>
      </c>
      <c r="U593" s="11" t="inlineStr">
        <is>
          <t>DEL BANCO (se hereda)</t>
        </is>
      </c>
      <c r="V593" s="11" t="inlineStr">
        <is>
          <t>9152 · INDUSTRIA Y MANUFACTURA</t>
        </is>
      </c>
      <c r="W593" s="12" t="n"/>
      <c r="X593" s="12" t="n"/>
    </row>
    <row r="594" ht="15" customHeight="1">
      <c r="C594" t="inlineStr">
        <is>
          <t>Actividad económica / giro mercantil</t>
        </is>
      </c>
      <c r="D594" t="inlineStr">
        <is>
          <t>F12</t>
        </is>
      </c>
      <c r="E594" t="inlineStr">
        <is>
          <t>INHERENTE</t>
        </is>
      </c>
      <c r="F594" t="inlineStr">
        <is>
          <t>REGENERACION DE HULE</t>
        </is>
      </c>
      <c r="G594" t="n">
        <v>3212016</v>
      </c>
      <c r="H594" t="n">
        <v>1</v>
      </c>
      <c r="I594" t="n">
        <v>1</v>
      </c>
      <c r="J594" t="n">
        <v>8</v>
      </c>
      <c r="K594" t="n">
        <v>8</v>
      </c>
      <c r="L594" t="n">
        <v>8</v>
      </c>
      <c r="M594" t="n">
        <v>8</v>
      </c>
      <c r="N594" t="n">
        <v>8</v>
      </c>
      <c r="O594" t="n">
        <v>40</v>
      </c>
      <c r="P594" t="n">
        <v>8</v>
      </c>
      <c r="R594" s="9" t="n">
        <v>0.08</v>
      </c>
      <c r="S594" s="10" t="inlineStr">
        <is>
          <t>SÍ — integrante</t>
        </is>
      </c>
      <c r="T594" s="11" t="inlineStr">
        <is>
          <t>B · INTEGRANTE</t>
        </is>
      </c>
      <c r="U594" s="11" t="inlineStr">
        <is>
          <t>DEL BANCO (se hereda)</t>
        </is>
      </c>
      <c r="V594" s="11" t="inlineStr">
        <is>
          <t>9151 · SECTOR PRIMARIO (agropecuario, pesca, forestal, minería)</t>
        </is>
      </c>
      <c r="W594" s="12" t="n"/>
      <c r="X594" s="12" t="n"/>
    </row>
    <row r="595" ht="15" customHeight="1">
      <c r="C595" t="inlineStr">
        <is>
          <t>Actividad económica / giro mercantil</t>
        </is>
      </c>
      <c r="D595" t="inlineStr">
        <is>
          <t>F12</t>
        </is>
      </c>
      <c r="E595" t="inlineStr">
        <is>
          <t>INHERENTE</t>
        </is>
      </c>
      <c r="F595" t="inlineStr">
        <is>
          <t>VULCANIZACION DE LLANTAS Y CAMARAS</t>
        </is>
      </c>
      <c r="G595" t="n">
        <v>3212024</v>
      </c>
      <c r="H595" t="n">
        <v>2</v>
      </c>
      <c r="I595" t="n">
        <v>2</v>
      </c>
      <c r="J595" t="n">
        <v>8</v>
      </c>
      <c r="K595" t="n">
        <v>16</v>
      </c>
      <c r="L595" t="n">
        <v>16</v>
      </c>
      <c r="M595" t="n">
        <v>16</v>
      </c>
      <c r="N595" t="n">
        <v>16</v>
      </c>
      <c r="O595" t="n">
        <v>40</v>
      </c>
      <c r="P595" t="n">
        <v>8</v>
      </c>
      <c r="R595" s="9" t="n">
        <v>0.08</v>
      </c>
      <c r="S595" s="10" t="inlineStr">
        <is>
          <t>SÍ — integrante</t>
        </is>
      </c>
      <c r="T595" s="11" t="inlineStr">
        <is>
          <t>B · INTEGRANTE</t>
        </is>
      </c>
      <c r="U595" s="11" t="inlineStr">
        <is>
          <t>DEL BANCO (se hereda)</t>
        </is>
      </c>
      <c r="V595" s="11" t="inlineStr">
        <is>
          <t>9154 · OTRAS ACTIVIDADES NO CLASIFICADAS</t>
        </is>
      </c>
      <c r="W595" s="12" t="n"/>
      <c r="X595" s="12" t="n"/>
    </row>
    <row r="596" ht="15" customHeight="1">
      <c r="C596" t="inlineStr">
        <is>
          <t>Actividad económica / giro mercantil</t>
        </is>
      </c>
      <c r="D596" t="inlineStr">
        <is>
          <t>F12</t>
        </is>
      </c>
      <c r="E596" t="inlineStr">
        <is>
          <t>INHERENTE</t>
        </is>
      </c>
      <c r="F596" t="inlineStr">
        <is>
          <t>FABRICACION DE ARTICULOS CON HULE USADO</t>
        </is>
      </c>
      <c r="G596" t="n">
        <v>3219012</v>
      </c>
      <c r="H596" t="n">
        <v>1</v>
      </c>
      <c r="I596" t="n">
        <v>1</v>
      </c>
      <c r="J596" t="n">
        <v>8</v>
      </c>
      <c r="K596" t="n">
        <v>8</v>
      </c>
      <c r="L596" t="n">
        <v>8</v>
      </c>
      <c r="M596" t="n">
        <v>8</v>
      </c>
      <c r="N596" t="n">
        <v>8</v>
      </c>
      <c r="O596" t="n">
        <v>40</v>
      </c>
      <c r="P596" t="n">
        <v>8</v>
      </c>
      <c r="R596" s="9" t="n">
        <v>0.08</v>
      </c>
      <c r="S596" s="10" t="inlineStr">
        <is>
          <t>SÍ — integrante</t>
        </is>
      </c>
      <c r="T596" s="11" t="inlineStr">
        <is>
          <t>B · INTEGRANTE</t>
        </is>
      </c>
      <c r="U596" s="11" t="inlineStr">
        <is>
          <t>DEL BANCO (se hereda)</t>
        </is>
      </c>
      <c r="V596" s="11" t="inlineStr">
        <is>
          <t>9151 · SECTOR PRIMARIO (agropecuario, pesca, forestal, minería)</t>
        </is>
      </c>
      <c r="W596" s="12" t="n"/>
      <c r="X596" s="12" t="n"/>
    </row>
    <row r="597" ht="15" customHeight="1">
      <c r="C597" t="inlineStr">
        <is>
          <t>Actividad económica / giro mercantil</t>
        </is>
      </c>
      <c r="D597" t="inlineStr">
        <is>
          <t>F12</t>
        </is>
      </c>
      <c r="E597" t="inlineStr">
        <is>
          <t>INHERENTE</t>
        </is>
      </c>
      <c r="F597" t="inlineStr">
        <is>
          <t>FABRICACION DE LINOLEO</t>
        </is>
      </c>
      <c r="G597" t="n">
        <v>3219020</v>
      </c>
      <c r="H597" t="n">
        <v>1</v>
      </c>
      <c r="I597" t="n">
        <v>1</v>
      </c>
      <c r="J597" t="n">
        <v>8</v>
      </c>
      <c r="K597" t="n">
        <v>8</v>
      </c>
      <c r="L597" t="n">
        <v>8</v>
      </c>
      <c r="M597" t="n">
        <v>8</v>
      </c>
      <c r="N597" t="n">
        <v>8</v>
      </c>
      <c r="O597" t="n">
        <v>40</v>
      </c>
      <c r="P597" t="n">
        <v>8</v>
      </c>
      <c r="R597" s="9" t="n">
        <v>0.08</v>
      </c>
      <c r="S597" s="10" t="inlineStr">
        <is>
          <t>SÍ — integrante</t>
        </is>
      </c>
      <c r="T597" s="11" t="inlineStr">
        <is>
          <t>B · INTEGRANTE</t>
        </is>
      </c>
      <c r="U597" s="11" t="inlineStr">
        <is>
          <t>DEL BANCO (se hereda)</t>
        </is>
      </c>
      <c r="V597" s="11" t="inlineStr">
        <is>
          <t>9152 · INDUSTRIA Y MANUFACTURA</t>
        </is>
      </c>
      <c r="W597" s="12" t="n"/>
      <c r="X597" s="12" t="n"/>
    </row>
    <row r="598" ht="15" customHeight="1">
      <c r="C598" t="inlineStr">
        <is>
          <t>Actividad económica / giro mercantil</t>
        </is>
      </c>
      <c r="D598" t="inlineStr">
        <is>
          <t>F12</t>
        </is>
      </c>
      <c r="E598" t="inlineStr">
        <is>
          <t>INHERENTE</t>
        </is>
      </c>
      <c r="F598" t="inlineStr">
        <is>
          <t>FABRICACION DE OTROS ARTICULOS DE HULE</t>
        </is>
      </c>
      <c r="G598" t="n">
        <v>3219038</v>
      </c>
      <c r="H598" t="n">
        <v>1</v>
      </c>
      <c r="I598" t="n">
        <v>1</v>
      </c>
      <c r="J598" t="n">
        <v>8</v>
      </c>
      <c r="K598" t="n">
        <v>8</v>
      </c>
      <c r="L598" t="n">
        <v>8</v>
      </c>
      <c r="M598" t="n">
        <v>8</v>
      </c>
      <c r="N598" t="n">
        <v>8</v>
      </c>
      <c r="O598" t="n">
        <v>40</v>
      </c>
      <c r="P598" t="n">
        <v>8</v>
      </c>
      <c r="R598" s="9" t="n">
        <v>0.08</v>
      </c>
      <c r="S598" s="10" t="inlineStr">
        <is>
          <t>SÍ — integrante</t>
        </is>
      </c>
      <c r="T598" s="11" t="inlineStr">
        <is>
          <t>B · INTEGRANTE</t>
        </is>
      </c>
      <c r="U598" s="11" t="inlineStr">
        <is>
          <t>DEL BANCO (se hereda)</t>
        </is>
      </c>
      <c r="V598" s="11" t="inlineStr">
        <is>
          <t>9151 · SECTOR PRIMARIO (agropecuario, pesca, forestal, minería)</t>
        </is>
      </c>
      <c r="W598" s="12" t="n"/>
      <c r="X598" s="12" t="n"/>
    </row>
    <row r="599" ht="15" customHeight="1">
      <c r="C599" t="inlineStr">
        <is>
          <t>Actividad económica / giro mercantil</t>
        </is>
      </c>
      <c r="D599" t="inlineStr">
        <is>
          <t>F12</t>
        </is>
      </c>
      <c r="E599" t="inlineStr">
        <is>
          <t>INHERENTE</t>
        </is>
      </c>
      <c r="F599" t="inlineStr">
        <is>
          <t>FABRICACION DE LAMINAS PERFILES TUBOS Y OTROS MATERIALES SIMILARES DE PLASTICO</t>
        </is>
      </c>
      <c r="G599" t="n">
        <v>3221017</v>
      </c>
      <c r="H599" t="n">
        <v>1</v>
      </c>
      <c r="I599" t="n">
        <v>1</v>
      </c>
      <c r="J599" t="n">
        <v>8</v>
      </c>
      <c r="K599" t="n">
        <v>8</v>
      </c>
      <c r="L599" t="n">
        <v>8</v>
      </c>
      <c r="M599" t="n">
        <v>8</v>
      </c>
      <c r="N599" t="n">
        <v>8</v>
      </c>
      <c r="O599" t="n">
        <v>40</v>
      </c>
      <c r="P599" t="n">
        <v>8</v>
      </c>
      <c r="R599" s="9" t="n">
        <v>0.08</v>
      </c>
      <c r="S599" s="10" t="inlineStr">
        <is>
          <t>SÍ — integrante</t>
        </is>
      </c>
      <c r="T599" s="11" t="inlineStr">
        <is>
          <t>B · INTEGRANTE</t>
        </is>
      </c>
      <c r="U599" s="11" t="inlineStr">
        <is>
          <t>DEL BANCO (se hereda)</t>
        </is>
      </c>
      <c r="V599" s="11" t="inlineStr">
        <is>
          <t>9151 · SECTOR PRIMARIO (agropecuario, pesca, forestal, minería)</t>
        </is>
      </c>
      <c r="W599" s="12" t="n"/>
      <c r="X599" s="12" t="n"/>
    </row>
    <row r="600" ht="15" customHeight="1">
      <c r="C600" t="inlineStr">
        <is>
          <t>Actividad económica / giro mercantil</t>
        </is>
      </c>
      <c r="D600" t="inlineStr">
        <is>
          <t>F12</t>
        </is>
      </c>
      <c r="E600" t="inlineStr">
        <is>
          <t>INHERENTE</t>
        </is>
      </c>
      <c r="F600" t="inlineStr">
        <is>
          <t>FABRICACION DE ARTICULOS DE POLIETILENO</t>
        </is>
      </c>
      <c r="G600" t="n">
        <v>3222015</v>
      </c>
      <c r="H600" t="n">
        <v>1</v>
      </c>
      <c r="I600" t="n">
        <v>1</v>
      </c>
      <c r="J600" t="n">
        <v>8</v>
      </c>
      <c r="K600" t="n">
        <v>8</v>
      </c>
      <c r="L600" t="n">
        <v>8</v>
      </c>
      <c r="M600" t="n">
        <v>8</v>
      </c>
      <c r="N600" t="n">
        <v>8</v>
      </c>
      <c r="O600" t="n">
        <v>40</v>
      </c>
      <c r="P600" t="n">
        <v>8</v>
      </c>
      <c r="R600" s="9" t="n">
        <v>0.08</v>
      </c>
      <c r="S600" s="10" t="inlineStr">
        <is>
          <t>SÍ — integrante</t>
        </is>
      </c>
      <c r="T600" s="11" t="inlineStr">
        <is>
          <t>B · INTEGRANTE</t>
        </is>
      </c>
      <c r="U600" s="11" t="inlineStr">
        <is>
          <t>DEL BANCO (se hereda)</t>
        </is>
      </c>
      <c r="V600" s="11" t="inlineStr">
        <is>
          <t>9152 · INDUSTRIA Y MANUFACTURA</t>
        </is>
      </c>
      <c r="W600" s="12" t="n"/>
      <c r="X600" s="12" t="n"/>
    </row>
    <row r="601" ht="15" customHeight="1">
      <c r="C601" t="inlineStr">
        <is>
          <t>Actividad económica / giro mercantil</t>
        </is>
      </c>
      <c r="D601" t="inlineStr">
        <is>
          <t>F12</t>
        </is>
      </c>
      <c r="E601" t="inlineStr">
        <is>
          <t>INHERENTE</t>
        </is>
      </c>
      <c r="F601" t="inlineStr">
        <is>
          <t>FABRICACION DE CELULOIDE Y POLIETILENO</t>
        </is>
      </c>
      <c r="G601" t="n">
        <v>3222023</v>
      </c>
      <c r="H601" t="n">
        <v>1</v>
      </c>
      <c r="I601" t="n">
        <v>1</v>
      </c>
      <c r="J601" t="n">
        <v>8</v>
      </c>
      <c r="K601" t="n">
        <v>8</v>
      </c>
      <c r="L601" t="n">
        <v>8</v>
      </c>
      <c r="M601" t="n">
        <v>8</v>
      </c>
      <c r="N601" t="n">
        <v>8</v>
      </c>
      <c r="O601" t="n">
        <v>40</v>
      </c>
      <c r="P601" t="n">
        <v>8</v>
      </c>
      <c r="R601" s="9" t="n">
        <v>0.08</v>
      </c>
      <c r="S601" s="10" t="inlineStr">
        <is>
          <t>SÍ — integrante</t>
        </is>
      </c>
      <c r="T601" s="11" t="inlineStr">
        <is>
          <t>B · INTEGRANTE</t>
        </is>
      </c>
      <c r="U601" s="11" t="inlineStr">
        <is>
          <t>DEL BANCO (se hereda)</t>
        </is>
      </c>
      <c r="V601" s="11" t="inlineStr">
        <is>
          <t>9152 · INDUSTRIA Y MANUFACTURA</t>
        </is>
      </c>
      <c r="W601" s="12" t="n"/>
      <c r="X601" s="12" t="n"/>
    </row>
    <row r="602" ht="15" customHeight="1">
      <c r="C602" t="inlineStr">
        <is>
          <t>Actividad económica / giro mercantil</t>
        </is>
      </c>
      <c r="D602" t="inlineStr">
        <is>
          <t>F12</t>
        </is>
      </c>
      <c r="E602" t="inlineStr">
        <is>
          <t>INHERENTE</t>
        </is>
      </c>
      <c r="F602" t="inlineStr">
        <is>
          <t>FABRICACION DE CALZADO DE PLASTICO</t>
        </is>
      </c>
      <c r="G602" t="n">
        <v>3223013</v>
      </c>
      <c r="H602" t="n">
        <v>1</v>
      </c>
      <c r="I602" t="n">
        <v>1</v>
      </c>
      <c r="J602" t="n">
        <v>8</v>
      </c>
      <c r="K602" t="n">
        <v>8</v>
      </c>
      <c r="L602" t="n">
        <v>8</v>
      </c>
      <c r="M602" t="n">
        <v>8</v>
      </c>
      <c r="N602" t="n">
        <v>8</v>
      </c>
      <c r="O602" t="n">
        <v>40</v>
      </c>
      <c r="P602" t="n">
        <v>8</v>
      </c>
      <c r="R602" s="9" t="n">
        <v>0.08</v>
      </c>
      <c r="S602" s="10" t="inlineStr">
        <is>
          <t>SÍ — integrante</t>
        </is>
      </c>
      <c r="T602" s="11" t="inlineStr">
        <is>
          <t>B · INTEGRANTE</t>
        </is>
      </c>
      <c r="U602" s="11" t="inlineStr">
        <is>
          <t>DEL BANCO (se hereda)</t>
        </is>
      </c>
      <c r="V602" s="11" t="inlineStr">
        <is>
          <t>9152 · INDUSTRIA Y MANUFACTURA</t>
        </is>
      </c>
      <c r="W602" s="12" t="n"/>
      <c r="X602" s="12" t="n"/>
    </row>
    <row r="603" ht="15" customHeight="1">
      <c r="C603" t="inlineStr">
        <is>
          <t>Actividad económica / giro mercantil</t>
        </is>
      </c>
      <c r="D603" t="inlineStr">
        <is>
          <t>F12</t>
        </is>
      </c>
      <c r="E603" t="inlineStr">
        <is>
          <t>INHERENTE</t>
        </is>
      </c>
      <c r="F603" t="inlineStr">
        <is>
          <t>FABRICACION DE OTROS JUGUETES DE PLASTICO</t>
        </is>
      </c>
      <c r="G603" t="n">
        <v>3223021</v>
      </c>
      <c r="H603" t="n">
        <v>1</v>
      </c>
      <c r="I603" t="n">
        <v>1</v>
      </c>
      <c r="J603" t="n">
        <v>8</v>
      </c>
      <c r="K603" t="n">
        <v>8</v>
      </c>
      <c r="L603" t="n">
        <v>8</v>
      </c>
      <c r="M603" t="n">
        <v>8</v>
      </c>
      <c r="N603" t="n">
        <v>8</v>
      </c>
      <c r="O603" t="n">
        <v>40</v>
      </c>
      <c r="P603" t="n">
        <v>8</v>
      </c>
      <c r="R603" s="9" t="n">
        <v>0.08</v>
      </c>
      <c r="S603" s="10" t="inlineStr">
        <is>
          <t>SÍ — integrante</t>
        </is>
      </c>
      <c r="T603" s="11" t="inlineStr">
        <is>
          <t>B · INTEGRANTE</t>
        </is>
      </c>
      <c r="U603" s="11" t="inlineStr">
        <is>
          <t>DEL BANCO (se hereda)</t>
        </is>
      </c>
      <c r="V603" s="11" t="inlineStr">
        <is>
          <t>9152 · INDUSTRIA Y MANUFACTURA</t>
        </is>
      </c>
      <c r="W603" s="12" t="n"/>
      <c r="X603" s="12" t="n"/>
    </row>
    <row r="604" ht="15" customHeight="1">
      <c r="C604" t="inlineStr">
        <is>
          <t>Actividad económica / giro mercantil</t>
        </is>
      </c>
      <c r="D604" t="inlineStr">
        <is>
          <t>F12</t>
        </is>
      </c>
      <c r="E604" t="inlineStr">
        <is>
          <t>INHERENTE</t>
        </is>
      </c>
      <c r="F604" t="inlineStr">
        <is>
          <t>FABRICACION DE ARTICULOS DE CELULOIDE</t>
        </is>
      </c>
      <c r="G604" t="n">
        <v>3229011</v>
      </c>
      <c r="H604" t="n">
        <v>1</v>
      </c>
      <c r="I604" t="n">
        <v>1</v>
      </c>
      <c r="J604" t="n">
        <v>8</v>
      </c>
      <c r="K604" t="n">
        <v>8</v>
      </c>
      <c r="L604" t="n">
        <v>8</v>
      </c>
      <c r="M604" t="n">
        <v>8</v>
      </c>
      <c r="N604" t="n">
        <v>8</v>
      </c>
      <c r="O604" t="n">
        <v>40</v>
      </c>
      <c r="P604" t="n">
        <v>8</v>
      </c>
      <c r="R604" s="9" t="n">
        <v>0.08</v>
      </c>
      <c r="S604" s="10" t="inlineStr">
        <is>
          <t>SÍ — integrante</t>
        </is>
      </c>
      <c r="T604" s="11" t="inlineStr">
        <is>
          <t>B · INTEGRANTE</t>
        </is>
      </c>
      <c r="U604" s="11" t="inlineStr">
        <is>
          <t>DEL BANCO (se hereda)</t>
        </is>
      </c>
      <c r="V604" s="11" t="inlineStr">
        <is>
          <t>9152 · INDUSTRIA Y MANUFACTURA</t>
        </is>
      </c>
      <c r="W604" s="12" t="n"/>
      <c r="X604" s="12" t="n"/>
    </row>
    <row r="605" ht="15" customHeight="1">
      <c r="C605" t="inlineStr">
        <is>
          <t>Actividad económica / giro mercantil</t>
        </is>
      </c>
      <c r="D605" t="inlineStr">
        <is>
          <t>F12</t>
        </is>
      </c>
      <c r="E605" t="inlineStr">
        <is>
          <t>INHERENTE</t>
        </is>
      </c>
      <c r="F605" t="inlineStr">
        <is>
          <t>FABRICACION DE BALONES GLOBOS Y PELOTAS</t>
        </is>
      </c>
      <c r="G605" t="n">
        <v>3229029</v>
      </c>
      <c r="H605" t="n">
        <v>1</v>
      </c>
      <c r="I605" t="n">
        <v>1</v>
      </c>
      <c r="J605" t="n">
        <v>8</v>
      </c>
      <c r="K605" t="n">
        <v>8</v>
      </c>
      <c r="L605" t="n">
        <v>8</v>
      </c>
      <c r="M605" t="n">
        <v>8</v>
      </c>
      <c r="N605" t="n">
        <v>8</v>
      </c>
      <c r="O605" t="n">
        <v>40</v>
      </c>
      <c r="P605" t="n">
        <v>8</v>
      </c>
      <c r="R605" s="9" t="n">
        <v>0.08</v>
      </c>
      <c r="S605" s="10" t="inlineStr">
        <is>
          <t>SÍ — integrante</t>
        </is>
      </c>
      <c r="T605" s="11" t="inlineStr">
        <is>
          <t>B · INTEGRANTE</t>
        </is>
      </c>
      <c r="U605" s="11" t="inlineStr">
        <is>
          <t>DEL BANCO (se hereda)</t>
        </is>
      </c>
      <c r="V605" s="11" t="inlineStr">
        <is>
          <t>9152 · INDUSTRIA Y MANUFACTURA</t>
        </is>
      </c>
      <c r="W605" s="12" t="n"/>
      <c r="X605" s="12" t="n"/>
    </row>
    <row r="606" ht="15" customHeight="1">
      <c r="C606" t="inlineStr">
        <is>
          <t>Actividad económica / giro mercantil</t>
        </is>
      </c>
      <c r="D606" t="inlineStr">
        <is>
          <t>F12</t>
        </is>
      </c>
      <c r="E606" t="inlineStr">
        <is>
          <t>INHERENTE</t>
        </is>
      </c>
      <c r="F606" t="inlineStr">
        <is>
          <t>FABRICACION DE BOTONES DE PLASTICO</t>
        </is>
      </c>
      <c r="G606" t="n">
        <v>3229037</v>
      </c>
      <c r="H606" t="n">
        <v>1</v>
      </c>
      <c r="I606" t="n">
        <v>1</v>
      </c>
      <c r="J606" t="n">
        <v>8</v>
      </c>
      <c r="K606" t="n">
        <v>8</v>
      </c>
      <c r="L606" t="n">
        <v>8</v>
      </c>
      <c r="M606" t="n">
        <v>8</v>
      </c>
      <c r="N606" t="n">
        <v>8</v>
      </c>
      <c r="O606" t="n">
        <v>40</v>
      </c>
      <c r="P606" t="n">
        <v>8</v>
      </c>
      <c r="R606" s="9" t="n">
        <v>0.08</v>
      </c>
      <c r="S606" s="10" t="inlineStr">
        <is>
          <t>SÍ — integrante</t>
        </is>
      </c>
      <c r="T606" s="11" t="inlineStr">
        <is>
          <t>B · INTEGRANTE</t>
        </is>
      </c>
      <c r="U606" s="11" t="inlineStr">
        <is>
          <t>DEL BANCO (se hereda)</t>
        </is>
      </c>
      <c r="V606" s="11" t="inlineStr">
        <is>
          <t>9152 · INDUSTRIA Y MANUFACTURA</t>
        </is>
      </c>
      <c r="W606" s="12" t="n"/>
      <c r="X606" s="12" t="n"/>
    </row>
    <row r="607" ht="15" customHeight="1">
      <c r="C607" t="inlineStr">
        <is>
          <t>Actividad económica / giro mercantil</t>
        </is>
      </c>
      <c r="D607" t="inlineStr">
        <is>
          <t>F12</t>
        </is>
      </c>
      <c r="E607" t="inlineStr">
        <is>
          <t>INHERENTE</t>
        </is>
      </c>
      <c r="F607" t="inlineStr">
        <is>
          <t>FABRICACION DE OTROS ARTICULOS DE PLASTICO</t>
        </is>
      </c>
      <c r="G607" t="n">
        <v>3229045</v>
      </c>
      <c r="H607" t="n">
        <v>1</v>
      </c>
      <c r="I607" t="n">
        <v>1</v>
      </c>
      <c r="J607" t="n">
        <v>8</v>
      </c>
      <c r="K607" t="n">
        <v>8</v>
      </c>
      <c r="L607" t="n">
        <v>8</v>
      </c>
      <c r="M607" t="n">
        <v>8</v>
      </c>
      <c r="N607" t="n">
        <v>8</v>
      </c>
      <c r="O607" t="n">
        <v>40</v>
      </c>
      <c r="P607" t="n">
        <v>8</v>
      </c>
      <c r="R607" s="9" t="n">
        <v>0.08</v>
      </c>
      <c r="S607" s="10" t="inlineStr">
        <is>
          <t>SÍ — integrante</t>
        </is>
      </c>
      <c r="T607" s="11" t="inlineStr">
        <is>
          <t>B · INTEGRANTE</t>
        </is>
      </c>
      <c r="U607" s="11" t="inlineStr">
        <is>
          <t>DEL BANCO (se hereda)</t>
        </is>
      </c>
      <c r="V607" s="11" t="inlineStr">
        <is>
          <t>9152 · INDUSTRIA Y MANUFACTURA</t>
        </is>
      </c>
      <c r="W607" s="12" t="n"/>
      <c r="X607" s="12" t="n"/>
    </row>
    <row r="608" ht="15" customHeight="1">
      <c r="C608" t="inlineStr">
        <is>
          <t>Actividad económica / giro mercantil</t>
        </is>
      </c>
      <c r="D608" t="inlineStr">
        <is>
          <t>F12</t>
        </is>
      </c>
      <c r="E608" t="inlineStr">
        <is>
          <t>INHERENTE</t>
        </is>
      </c>
      <c r="F608" t="inlineStr">
        <is>
          <t>FABRICACION DE OTROS MATERIALES DE PLASTICO</t>
        </is>
      </c>
      <c r="G608" t="n">
        <v>3229053</v>
      </c>
      <c r="H608" t="n">
        <v>1</v>
      </c>
      <c r="I608" t="n">
        <v>1</v>
      </c>
      <c r="J608" t="n">
        <v>8</v>
      </c>
      <c r="K608" t="n">
        <v>8</v>
      </c>
      <c r="L608" t="n">
        <v>8</v>
      </c>
      <c r="M608" t="n">
        <v>8</v>
      </c>
      <c r="N608" t="n">
        <v>8</v>
      </c>
      <c r="O608" t="n">
        <v>40</v>
      </c>
      <c r="P608" t="n">
        <v>8</v>
      </c>
      <c r="R608" s="9" t="n">
        <v>0.08</v>
      </c>
      <c r="S608" s="10" t="inlineStr">
        <is>
          <t>SÍ — integrante</t>
        </is>
      </c>
      <c r="T608" s="11" t="inlineStr">
        <is>
          <t>B · INTEGRANTE</t>
        </is>
      </c>
      <c r="U608" s="11" t="inlineStr">
        <is>
          <t>DEL BANCO (se hereda)</t>
        </is>
      </c>
      <c r="V608" s="11" t="inlineStr">
        <is>
          <t>9152 · INDUSTRIA Y MANUFACTURA</t>
        </is>
      </c>
      <c r="W608" s="12" t="n"/>
      <c r="X608" s="12" t="n"/>
    </row>
    <row r="609" ht="15" customHeight="1">
      <c r="C609" t="inlineStr">
        <is>
          <t>Actividad económica / giro mercantil</t>
        </is>
      </c>
      <c r="D609" t="inlineStr">
        <is>
          <t>F12</t>
        </is>
      </c>
      <c r="E609" t="inlineStr">
        <is>
          <t>INHERENTE</t>
        </is>
      </c>
      <c r="F609" t="inlineStr">
        <is>
          <t>FABRICACION DE PEINES PEINETAS Y CEPILLOS PARA USO PERSONAL</t>
        </is>
      </c>
      <c r="G609" t="n">
        <v>3229061</v>
      </c>
      <c r="H609" t="n">
        <v>1</v>
      </c>
      <c r="I609" t="n">
        <v>1</v>
      </c>
      <c r="J609" t="n">
        <v>8</v>
      </c>
      <c r="K609" t="n">
        <v>8</v>
      </c>
      <c r="L609" t="n">
        <v>8</v>
      </c>
      <c r="M609" t="n">
        <v>8</v>
      </c>
      <c r="N609" t="n">
        <v>8</v>
      </c>
      <c r="O609" t="n">
        <v>40</v>
      </c>
      <c r="P609" t="n">
        <v>8</v>
      </c>
      <c r="R609" s="9" t="n">
        <v>0.08</v>
      </c>
      <c r="S609" s="10" t="inlineStr">
        <is>
          <t>SÍ — integrante</t>
        </is>
      </c>
      <c r="T609" s="11" t="inlineStr">
        <is>
          <t>B · INTEGRANTE</t>
        </is>
      </c>
      <c r="U609" s="11" t="inlineStr">
        <is>
          <t>DEL BANCO (se hereda)</t>
        </is>
      </c>
      <c r="V609" s="11" t="inlineStr">
        <is>
          <t>9152 · INDUSTRIA Y MANUFACTURA</t>
        </is>
      </c>
      <c r="W609" s="12" t="n"/>
      <c r="X609" s="12" t="n"/>
    </row>
    <row r="610" ht="15" customHeight="1">
      <c r="C610" t="inlineStr">
        <is>
          <t>Actividad económica / giro mercantil</t>
        </is>
      </c>
      <c r="D610" t="inlineStr">
        <is>
          <t>F12</t>
        </is>
      </c>
      <c r="E610" t="inlineStr">
        <is>
          <t>INHERENTE</t>
        </is>
      </c>
      <c r="F610" t="inlineStr">
        <is>
          <t>FABRICACION DE PIELES ARTIFICIALES</t>
        </is>
      </c>
      <c r="G610" t="n">
        <v>3229079</v>
      </c>
      <c r="H610" t="n">
        <v>1</v>
      </c>
      <c r="I610" t="n">
        <v>1</v>
      </c>
      <c r="J610" t="n">
        <v>8</v>
      </c>
      <c r="K610" t="n">
        <v>8</v>
      </c>
      <c r="L610" t="n">
        <v>8</v>
      </c>
      <c r="M610" t="n">
        <v>8</v>
      </c>
      <c r="N610" t="n">
        <v>8</v>
      </c>
      <c r="O610" t="n">
        <v>40</v>
      </c>
      <c r="P610" t="n">
        <v>8</v>
      </c>
      <c r="R610" s="9" t="n">
        <v>0.08</v>
      </c>
      <c r="S610" s="10" t="inlineStr">
        <is>
          <t>SÍ — integrante</t>
        </is>
      </c>
      <c r="T610" s="11" t="inlineStr">
        <is>
          <t>B · INTEGRANTE</t>
        </is>
      </c>
      <c r="U610" s="11" t="inlineStr">
        <is>
          <t>DEL BANCO (se hereda)</t>
        </is>
      </c>
      <c r="V610" s="11" t="inlineStr">
        <is>
          <t>9152 · INDUSTRIA Y MANUFACTURA</t>
        </is>
      </c>
      <c r="W610" s="12" t="n"/>
      <c r="X610" s="12" t="n"/>
    </row>
    <row r="611" ht="15" customHeight="1">
      <c r="C611" t="inlineStr">
        <is>
          <t>Actividad económica / giro mercantil</t>
        </is>
      </c>
      <c r="D611" t="inlineStr">
        <is>
          <t>F12</t>
        </is>
      </c>
      <c r="E611" t="inlineStr">
        <is>
          <t>INHERENTE</t>
        </is>
      </c>
      <c r="F611" t="inlineStr">
        <is>
          <t>FABRICACIÓN DE PRODUCTOS DE MINERALES NO METÁLICOS; EXCEPTO DEL PETRÓLEO Y DEL CARBÓN MINERAL</t>
        </is>
      </c>
      <c r="G611" t="n">
        <v>3300001</v>
      </c>
      <c r="H611" t="n">
        <v>1</v>
      </c>
      <c r="I611" t="n">
        <v>1</v>
      </c>
      <c r="J611" t="n">
        <v>8</v>
      </c>
      <c r="K611" t="n">
        <v>8</v>
      </c>
      <c r="L611" t="n">
        <v>8</v>
      </c>
      <c r="M611" t="n">
        <v>8</v>
      </c>
      <c r="N611" t="n">
        <v>8</v>
      </c>
      <c r="O611" t="n">
        <v>40</v>
      </c>
      <c r="P611" t="n">
        <v>8</v>
      </c>
      <c r="R611" s="9" t="n">
        <v>0.08</v>
      </c>
      <c r="S611" s="10" t="inlineStr">
        <is>
          <t>SÍ — integrante</t>
        </is>
      </c>
      <c r="T611" s="11" t="inlineStr">
        <is>
          <t>B · INTEGRANTE</t>
        </is>
      </c>
      <c r="U611" s="11" t="inlineStr">
        <is>
          <t>DEL BANCO (se hereda)</t>
        </is>
      </c>
      <c r="V611" s="11" t="inlineStr">
        <is>
          <t>9151 · SECTOR PRIMARIO (agropecuario, pesca, forestal, minería)</t>
        </is>
      </c>
      <c r="W611" s="12" t="n"/>
      <c r="X611" s="12" t="n"/>
    </row>
    <row r="612" ht="15" customHeight="1">
      <c r="C612" t="inlineStr">
        <is>
          <t>Actividad económica / giro mercantil</t>
        </is>
      </c>
      <c r="D612" t="inlineStr">
        <is>
          <t>F12</t>
        </is>
      </c>
      <c r="E612" t="inlineStr">
        <is>
          <t>INHERENTE</t>
        </is>
      </c>
      <c r="F612" t="inlineStr">
        <is>
          <t>FABRICACION DE VAJILLAS Y OTROS PRODUCTOS DE ALFARERIA Y CERAMICA PARA EL HOGAR</t>
        </is>
      </c>
      <c r="G612" t="n">
        <v>3311016</v>
      </c>
      <c r="H612" t="n">
        <v>1</v>
      </c>
      <c r="I612" t="n">
        <v>1</v>
      </c>
      <c r="J612" t="n">
        <v>8</v>
      </c>
      <c r="K612" t="n">
        <v>8</v>
      </c>
      <c r="L612" t="n">
        <v>8</v>
      </c>
      <c r="M612" t="n">
        <v>8</v>
      </c>
      <c r="N612" t="n">
        <v>8</v>
      </c>
      <c r="O612" t="n">
        <v>40</v>
      </c>
      <c r="P612" t="n">
        <v>8</v>
      </c>
      <c r="R612" s="9" t="n">
        <v>0.08</v>
      </c>
      <c r="S612" s="10" t="inlineStr">
        <is>
          <t>SÍ — integrante</t>
        </is>
      </c>
      <c r="T612" s="11" t="inlineStr">
        <is>
          <t>B · INTEGRANTE</t>
        </is>
      </c>
      <c r="U612" s="11" t="inlineStr">
        <is>
          <t>DEL BANCO (se hereda)</t>
        </is>
      </c>
      <c r="V612" s="11" t="inlineStr">
        <is>
          <t>9111 · SIN ACTIVIDAD DE RIESGO / ASALARIADO</t>
        </is>
      </c>
      <c r="W612" s="12" t="n"/>
      <c r="X612" s="12" t="n"/>
    </row>
    <row r="613" ht="15" customHeight="1">
      <c r="C613" t="inlineStr">
        <is>
          <t>Actividad económica / giro mercantil</t>
        </is>
      </c>
      <c r="D613" t="inlineStr">
        <is>
          <t>F12</t>
        </is>
      </c>
      <c r="E613" t="inlineStr">
        <is>
          <t>INHERENTE</t>
        </is>
      </c>
      <c r="F613" t="inlineStr">
        <is>
          <t>ELABORACION DE OBJETOS ARTISTICOS DE ALFARERIA Y CERAMICA</t>
        </is>
      </c>
      <c r="G613" t="n">
        <v>3319010</v>
      </c>
      <c r="H613" t="n">
        <v>1</v>
      </c>
      <c r="I613" t="n">
        <v>1</v>
      </c>
      <c r="J613" t="n">
        <v>8</v>
      </c>
      <c r="K613" t="n">
        <v>8</v>
      </c>
      <c r="L613" t="n">
        <v>8</v>
      </c>
      <c r="M613" t="n">
        <v>8</v>
      </c>
      <c r="N613" t="n">
        <v>8</v>
      </c>
      <c r="O613" t="n">
        <v>40</v>
      </c>
      <c r="P613" t="n">
        <v>8</v>
      </c>
      <c r="R613" s="9" t="n">
        <v>0.08</v>
      </c>
      <c r="S613" s="10" t="inlineStr">
        <is>
          <t>SÍ — integrante</t>
        </is>
      </c>
      <c r="T613" s="11" t="inlineStr">
        <is>
          <t>B · INTEGRANTE</t>
        </is>
      </c>
      <c r="U613" s="11" t="inlineStr">
        <is>
          <t>DEL BANCO (se hereda)</t>
        </is>
      </c>
      <c r="V613" s="11" t="inlineStr">
        <is>
          <t>9152 · INDUSTRIA Y MANUFACTURA</t>
        </is>
      </c>
      <c r="W613" s="12" t="n"/>
      <c r="X613" s="12" t="n"/>
    </row>
    <row r="614" ht="15" customHeight="1">
      <c r="C614" t="inlineStr">
        <is>
          <t>Actividad económica / giro mercantil</t>
        </is>
      </c>
      <c r="D614" t="inlineStr">
        <is>
          <t>F12</t>
        </is>
      </c>
      <c r="E614" t="inlineStr">
        <is>
          <t>INHERENTE</t>
        </is>
      </c>
      <c r="F614" t="inlineStr">
        <is>
          <t>FABRICACION DE AZULEJOS</t>
        </is>
      </c>
      <c r="G614" t="n">
        <v>3319028</v>
      </c>
      <c r="H614" t="n">
        <v>1</v>
      </c>
      <c r="I614" t="n">
        <v>1</v>
      </c>
      <c r="J614" t="n">
        <v>8</v>
      </c>
      <c r="K614" t="n">
        <v>8</v>
      </c>
      <c r="L614" t="n">
        <v>8</v>
      </c>
      <c r="M614" t="n">
        <v>8</v>
      </c>
      <c r="N614" t="n">
        <v>8</v>
      </c>
      <c r="O614" t="n">
        <v>40</v>
      </c>
      <c r="P614" t="n">
        <v>8</v>
      </c>
      <c r="R614" s="9" t="n">
        <v>0.08</v>
      </c>
      <c r="S614" s="10" t="inlineStr">
        <is>
          <t>SÍ — integrante</t>
        </is>
      </c>
      <c r="T614" s="11" t="inlineStr">
        <is>
          <t>B · INTEGRANTE</t>
        </is>
      </c>
      <c r="U614" s="11" t="inlineStr">
        <is>
          <t>DEL BANCO (se hereda)</t>
        </is>
      </c>
      <c r="V614" s="11" t="inlineStr">
        <is>
          <t>9152 · INDUSTRIA Y MANUFACTURA</t>
        </is>
      </c>
      <c r="W614" s="12" t="n"/>
      <c r="X614" s="12" t="n"/>
    </row>
    <row r="615" ht="15" customHeight="1">
      <c r="C615" t="inlineStr">
        <is>
          <t>Actividad económica / giro mercantil</t>
        </is>
      </c>
      <c r="D615" t="inlineStr">
        <is>
          <t>F12</t>
        </is>
      </c>
      <c r="E615" t="inlineStr">
        <is>
          <t>INHERENTE</t>
        </is>
      </c>
      <c r="F615" t="inlineStr">
        <is>
          <t>FABRICACION DE LOZA Y PORCELANA</t>
        </is>
      </c>
      <c r="G615" t="n">
        <v>3319036</v>
      </c>
      <c r="H615" t="n">
        <v>1</v>
      </c>
      <c r="I615" t="n">
        <v>1</v>
      </c>
      <c r="J615" t="n">
        <v>8</v>
      </c>
      <c r="K615" t="n">
        <v>8</v>
      </c>
      <c r="L615" t="n">
        <v>8</v>
      </c>
      <c r="M615" t="n">
        <v>8</v>
      </c>
      <c r="N615" t="n">
        <v>8</v>
      </c>
      <c r="O615" t="n">
        <v>40</v>
      </c>
      <c r="P615" t="n">
        <v>8</v>
      </c>
      <c r="R615" s="9" t="n">
        <v>0.08</v>
      </c>
      <c r="S615" s="10" t="inlineStr">
        <is>
          <t>SÍ — integrante</t>
        </is>
      </c>
      <c r="T615" s="11" t="inlineStr">
        <is>
          <t>B · INTEGRANTE</t>
        </is>
      </c>
      <c r="U615" s="11" t="inlineStr">
        <is>
          <t>DEL BANCO (se hereda)</t>
        </is>
      </c>
      <c r="V615" s="11" t="inlineStr">
        <is>
          <t>9152 · INDUSTRIA Y MANUFACTURA</t>
        </is>
      </c>
      <c r="W615" s="12" t="n"/>
      <c r="X615" s="12" t="n"/>
    </row>
    <row r="616" ht="15" customHeight="1">
      <c r="C616" t="inlineStr">
        <is>
          <t>Actividad económica / giro mercantil</t>
        </is>
      </c>
      <c r="D616" t="inlineStr">
        <is>
          <t>F12</t>
        </is>
      </c>
      <c r="E616" t="inlineStr">
        <is>
          <t>INHERENTE</t>
        </is>
      </c>
      <c r="F616" t="inlineStr">
        <is>
          <t>FABRICACION DE MUEBLES Y ARTICULOS SANITARIOS</t>
        </is>
      </c>
      <c r="G616" t="n">
        <v>3319044</v>
      </c>
      <c r="H616" t="n">
        <v>1</v>
      </c>
      <c r="I616" t="n">
        <v>1</v>
      </c>
      <c r="J616" t="n">
        <v>8</v>
      </c>
      <c r="K616" t="n">
        <v>8</v>
      </c>
      <c r="L616" t="n">
        <v>8</v>
      </c>
      <c r="M616" t="n">
        <v>8</v>
      </c>
      <c r="N616" t="n">
        <v>8</v>
      </c>
      <c r="O616" t="n">
        <v>40</v>
      </c>
      <c r="P616" t="n">
        <v>8</v>
      </c>
      <c r="R616" s="9" t="n">
        <v>0.08</v>
      </c>
      <c r="S616" s="10" t="inlineStr">
        <is>
          <t>SÍ — integrante</t>
        </is>
      </c>
      <c r="T616" s="11" t="inlineStr">
        <is>
          <t>B · INTEGRANTE</t>
        </is>
      </c>
      <c r="U616" s="11" t="inlineStr">
        <is>
          <t>DEL BANCO (se hereda)</t>
        </is>
      </c>
      <c r="V616" s="11" t="inlineStr">
        <is>
          <t>9152 · INDUSTRIA Y MANUFACTURA</t>
        </is>
      </c>
      <c r="W616" s="12" t="n"/>
      <c r="X616" s="12" t="n"/>
    </row>
    <row r="617" ht="15" customHeight="1">
      <c r="C617" t="inlineStr">
        <is>
          <t>Actividad económica / giro mercantil</t>
        </is>
      </c>
      <c r="D617" t="inlineStr">
        <is>
          <t>F12</t>
        </is>
      </c>
      <c r="E617" t="inlineStr">
        <is>
          <t>INHERENTE</t>
        </is>
      </c>
      <c r="F617" t="inlineStr">
        <is>
          <t>FABRICACION DE VIDRIO</t>
        </is>
      </c>
      <c r="G617" t="n">
        <v>3321015</v>
      </c>
      <c r="H617" t="n">
        <v>1</v>
      </c>
      <c r="I617" t="n">
        <v>1</v>
      </c>
      <c r="J617" t="n">
        <v>8</v>
      </c>
      <c r="K617" t="n">
        <v>8</v>
      </c>
      <c r="L617" t="n">
        <v>8</v>
      </c>
      <c r="M617" t="n">
        <v>8</v>
      </c>
      <c r="N617" t="n">
        <v>8</v>
      </c>
      <c r="O617" t="n">
        <v>40</v>
      </c>
      <c r="P617" t="n">
        <v>8</v>
      </c>
      <c r="R617" s="9" t="n">
        <v>0.08</v>
      </c>
      <c r="S617" s="10" t="inlineStr">
        <is>
          <t>SÍ — integrante</t>
        </is>
      </c>
      <c r="T617" s="11" t="inlineStr">
        <is>
          <t>B · INTEGRANTE</t>
        </is>
      </c>
      <c r="U617" s="11" t="inlineStr">
        <is>
          <t>DEL BANCO (se hereda)</t>
        </is>
      </c>
      <c r="V617" s="11" t="inlineStr">
        <is>
          <t>9152 · INDUSTRIA Y MANUFACTURA</t>
        </is>
      </c>
      <c r="W617" s="12" t="n"/>
      <c r="X617" s="12" t="n"/>
    </row>
    <row r="618" ht="15" customHeight="1">
      <c r="C618" t="inlineStr">
        <is>
          <t>Actividad económica / giro mercantil</t>
        </is>
      </c>
      <c r="D618" t="inlineStr">
        <is>
          <t>F12</t>
        </is>
      </c>
      <c r="E618" t="inlineStr">
        <is>
          <t>INHERENTE</t>
        </is>
      </c>
      <c r="F618" t="inlineStr">
        <is>
          <t>FABRICACION DE CRISTALES PARA AUTOMOVIL</t>
        </is>
      </c>
      <c r="G618" t="n">
        <v>3322013</v>
      </c>
      <c r="H618" t="n">
        <v>1</v>
      </c>
      <c r="I618" t="n">
        <v>1</v>
      </c>
      <c r="J618" t="n">
        <v>8</v>
      </c>
      <c r="K618" t="n">
        <v>8</v>
      </c>
      <c r="L618" t="n">
        <v>8</v>
      </c>
      <c r="M618" t="n">
        <v>8</v>
      </c>
      <c r="N618" t="n">
        <v>8</v>
      </c>
      <c r="O618" t="n">
        <v>40</v>
      </c>
      <c r="P618" t="n">
        <v>8</v>
      </c>
      <c r="R618" s="9" t="n">
        <v>0.08</v>
      </c>
      <c r="S618" s="10" t="inlineStr">
        <is>
          <t>SÍ — integrante</t>
        </is>
      </c>
      <c r="T618" s="11" t="inlineStr">
        <is>
          <t>B · INTEGRANTE</t>
        </is>
      </c>
      <c r="U618" s="11" t="inlineStr">
        <is>
          <t>DEL BANCO (se hereda)</t>
        </is>
      </c>
      <c r="V618" s="11" t="inlineStr">
        <is>
          <t>9152 · INDUSTRIA Y MANUFACTURA</t>
        </is>
      </c>
      <c r="W618" s="12" t="n"/>
      <c r="X618" s="12" t="n"/>
    </row>
    <row r="619" ht="15" customHeight="1">
      <c r="C619" t="inlineStr">
        <is>
          <t>Actividad económica / giro mercantil</t>
        </is>
      </c>
      <c r="D619" t="inlineStr">
        <is>
          <t>F12</t>
        </is>
      </c>
      <c r="E619" t="inlineStr">
        <is>
          <t>INHERENTE</t>
        </is>
      </c>
      <c r="F619" t="inlineStr">
        <is>
          <t>FABRICACION DE FIBRA DE VIDRIO</t>
        </is>
      </c>
      <c r="G619" t="n">
        <v>3322021</v>
      </c>
      <c r="H619" t="n">
        <v>1</v>
      </c>
      <c r="I619" t="n">
        <v>1</v>
      </c>
      <c r="J619" t="n">
        <v>8</v>
      </c>
      <c r="K619" t="n">
        <v>8</v>
      </c>
      <c r="L619" t="n">
        <v>8</v>
      </c>
      <c r="M619" t="n">
        <v>8</v>
      </c>
      <c r="N619" t="n">
        <v>8</v>
      </c>
      <c r="O619" t="n">
        <v>40</v>
      </c>
      <c r="P619" t="n">
        <v>8</v>
      </c>
      <c r="R619" s="9" t="n">
        <v>0.08</v>
      </c>
      <c r="S619" s="10" t="inlineStr">
        <is>
          <t>SÍ — integrante</t>
        </is>
      </c>
      <c r="T619" s="11" t="inlineStr">
        <is>
          <t>B · INTEGRANTE</t>
        </is>
      </c>
      <c r="U619" s="11" t="inlineStr">
        <is>
          <t>DEL BANCO (se hereda)</t>
        </is>
      </c>
      <c r="V619" s="11" t="inlineStr">
        <is>
          <t>9152 · INDUSTRIA Y MANUFACTURA</t>
        </is>
      </c>
      <c r="W619" s="12" t="n"/>
      <c r="X619" s="12" t="n"/>
    </row>
    <row r="620" ht="15" customHeight="1">
      <c r="C620" t="inlineStr">
        <is>
          <t>Actividad económica / giro mercantil</t>
        </is>
      </c>
      <c r="D620" t="inlineStr">
        <is>
          <t>F12</t>
        </is>
      </c>
      <c r="E620" t="inlineStr">
        <is>
          <t>INHERENTE</t>
        </is>
      </c>
      <c r="F620" t="inlineStr">
        <is>
          <t>FABRICACION DE AMPOLLETAS</t>
        </is>
      </c>
      <c r="G620" t="n">
        <v>3323011</v>
      </c>
      <c r="H620" t="n">
        <v>1</v>
      </c>
      <c r="I620" t="n">
        <v>1</v>
      </c>
      <c r="J620" t="n">
        <v>8</v>
      </c>
      <c r="K620" t="n">
        <v>8</v>
      </c>
      <c r="L620" t="n">
        <v>8</v>
      </c>
      <c r="M620" t="n">
        <v>8</v>
      </c>
      <c r="N620" t="n">
        <v>8</v>
      </c>
      <c r="O620" t="n">
        <v>40</v>
      </c>
      <c r="P620" t="n">
        <v>8</v>
      </c>
      <c r="R620" s="9" t="n">
        <v>0.08</v>
      </c>
      <c r="S620" s="10" t="inlineStr">
        <is>
          <t>SÍ — integrante</t>
        </is>
      </c>
      <c r="T620" s="11" t="inlineStr">
        <is>
          <t>B · INTEGRANTE</t>
        </is>
      </c>
      <c r="U620" s="11" t="inlineStr">
        <is>
          <t>DEL BANCO (se hereda)</t>
        </is>
      </c>
      <c r="V620" s="11" t="inlineStr">
        <is>
          <t>9152 · INDUSTRIA Y MANUFACTURA</t>
        </is>
      </c>
      <c r="W620" s="12" t="n"/>
      <c r="X620" s="12" t="n"/>
    </row>
    <row r="621" ht="15" customHeight="1">
      <c r="C621" t="inlineStr">
        <is>
          <t>Actividad económica / giro mercantil</t>
        </is>
      </c>
      <c r="D621" t="inlineStr">
        <is>
          <t>F12</t>
        </is>
      </c>
      <c r="E621" t="inlineStr">
        <is>
          <t>INHERENTE</t>
        </is>
      </c>
      <c r="F621" t="inlineStr">
        <is>
          <t>FABRICACION DE BOTELLAS</t>
        </is>
      </c>
      <c r="G621" t="n">
        <v>3323029</v>
      </c>
      <c r="H621" t="n">
        <v>1</v>
      </c>
      <c r="I621" t="n">
        <v>1</v>
      </c>
      <c r="J621" t="n">
        <v>8</v>
      </c>
      <c r="K621" t="n">
        <v>8</v>
      </c>
      <c r="L621" t="n">
        <v>8</v>
      </c>
      <c r="M621" t="n">
        <v>8</v>
      </c>
      <c r="N621" t="n">
        <v>8</v>
      </c>
      <c r="O621" t="n">
        <v>40</v>
      </c>
      <c r="P621" t="n">
        <v>8</v>
      </c>
      <c r="R621" s="9" t="n">
        <v>0.08</v>
      </c>
      <c r="S621" s="10" t="inlineStr">
        <is>
          <t>SÍ — integrante</t>
        </is>
      </c>
      <c r="T621" s="11" t="inlineStr">
        <is>
          <t>B · INTEGRANTE</t>
        </is>
      </c>
      <c r="U621" s="11" t="inlineStr">
        <is>
          <t>DEL BANCO (se hereda)</t>
        </is>
      </c>
      <c r="V621" s="11" t="inlineStr">
        <is>
          <t>9152 · INDUSTRIA Y MANUFACTURA</t>
        </is>
      </c>
      <c r="W621" s="12" t="n"/>
      <c r="X621" s="12" t="n"/>
    </row>
    <row r="622" ht="15" customHeight="1">
      <c r="C622" t="inlineStr">
        <is>
          <t>Actividad económica / giro mercantil</t>
        </is>
      </c>
      <c r="D622" t="inlineStr">
        <is>
          <t>F12</t>
        </is>
      </c>
      <c r="E622" t="inlineStr">
        <is>
          <t>INHERENTE</t>
        </is>
      </c>
      <c r="F622" t="inlineStr">
        <is>
          <t>FABRICACION DE CRISOLES</t>
        </is>
      </c>
      <c r="G622" t="n">
        <v>3323037</v>
      </c>
      <c r="H622" t="n">
        <v>1</v>
      </c>
      <c r="I622" t="n">
        <v>1</v>
      </c>
      <c r="J622" t="n">
        <v>8</v>
      </c>
      <c r="K622" t="n">
        <v>8</v>
      </c>
      <c r="L622" t="n">
        <v>8</v>
      </c>
      <c r="M622" t="n">
        <v>8</v>
      </c>
      <c r="N622" t="n">
        <v>8</v>
      </c>
      <c r="O622" t="n">
        <v>40</v>
      </c>
      <c r="P622" t="n">
        <v>8</v>
      </c>
      <c r="R622" s="9" t="n">
        <v>0.08</v>
      </c>
      <c r="S622" s="10" t="inlineStr">
        <is>
          <t>SÍ — integrante</t>
        </is>
      </c>
      <c r="T622" s="11" t="inlineStr">
        <is>
          <t>B · INTEGRANTE</t>
        </is>
      </c>
      <c r="U622" s="11" t="inlineStr">
        <is>
          <t>DEL BANCO (se hereda)</t>
        </is>
      </c>
      <c r="V622" s="11" t="inlineStr">
        <is>
          <t>9152 · INDUSTRIA Y MANUFACTURA</t>
        </is>
      </c>
      <c r="W622" s="12" t="n"/>
      <c r="X622" s="12" t="n"/>
    </row>
    <row r="623" ht="15" customHeight="1">
      <c r="C623" t="inlineStr">
        <is>
          <t>Actividad económica / giro mercantil</t>
        </is>
      </c>
      <c r="D623" t="inlineStr">
        <is>
          <t>F12</t>
        </is>
      </c>
      <c r="E623" t="inlineStr">
        <is>
          <t>INHERENTE</t>
        </is>
      </c>
      <c r="F623" t="inlineStr">
        <is>
          <t>FABRICACION DE OTROS ENVASES DE VIDRIO</t>
        </is>
      </c>
      <c r="G623" t="n">
        <v>3323045</v>
      </c>
      <c r="H623" t="n">
        <v>1</v>
      </c>
      <c r="I623" t="n">
        <v>1</v>
      </c>
      <c r="J623" t="n">
        <v>8</v>
      </c>
      <c r="K623" t="n">
        <v>8</v>
      </c>
      <c r="L623" t="n">
        <v>8</v>
      </c>
      <c r="M623" t="n">
        <v>8</v>
      </c>
      <c r="N623" t="n">
        <v>8</v>
      </c>
      <c r="O623" t="n">
        <v>40</v>
      </c>
      <c r="P623" t="n">
        <v>8</v>
      </c>
      <c r="R623" s="9" t="n">
        <v>0.08</v>
      </c>
      <c r="S623" s="10" t="inlineStr">
        <is>
          <t>SÍ — integrante</t>
        </is>
      </c>
      <c r="T623" s="11" t="inlineStr">
        <is>
          <t>B · INTEGRANTE</t>
        </is>
      </c>
      <c r="U623" s="11" t="inlineStr">
        <is>
          <t>DEL BANCO (se hereda)</t>
        </is>
      </c>
      <c r="V623" s="11" t="inlineStr">
        <is>
          <t>9152 · INDUSTRIA Y MANUFACTURA</t>
        </is>
      </c>
      <c r="W623" s="12" t="n"/>
      <c r="X623" s="12" t="n"/>
    </row>
    <row r="624" ht="15" customHeight="1">
      <c r="C624" t="inlineStr">
        <is>
          <t>Actividad económica / giro mercantil</t>
        </is>
      </c>
      <c r="D624" t="inlineStr">
        <is>
          <t>F12</t>
        </is>
      </c>
      <c r="E624" t="inlineStr">
        <is>
          <t>INHERENTE</t>
        </is>
      </c>
      <c r="F624" t="inlineStr">
        <is>
          <t>FABRICACION DE EMPLOMADOS</t>
        </is>
      </c>
      <c r="G624" t="n">
        <v>3324019</v>
      </c>
      <c r="H624" t="n">
        <v>1</v>
      </c>
      <c r="I624" t="n">
        <v>1</v>
      </c>
      <c r="J624" t="n">
        <v>8</v>
      </c>
      <c r="K624" t="n">
        <v>8</v>
      </c>
      <c r="L624" t="n">
        <v>8</v>
      </c>
      <c r="M624" t="n">
        <v>8</v>
      </c>
      <c r="N624" t="n">
        <v>8</v>
      </c>
      <c r="O624" t="n">
        <v>40</v>
      </c>
      <c r="P624" t="n">
        <v>8</v>
      </c>
      <c r="R624" s="9" t="n">
        <v>0.08</v>
      </c>
      <c r="S624" s="10" t="inlineStr">
        <is>
          <t>SÍ — integrante</t>
        </is>
      </c>
      <c r="T624" s="11" t="inlineStr">
        <is>
          <t>B · INTEGRANTE</t>
        </is>
      </c>
      <c r="U624" s="11" t="inlineStr">
        <is>
          <t>DEL BANCO (se hereda)</t>
        </is>
      </c>
      <c r="V624" s="11" t="inlineStr">
        <is>
          <t>9152 · INDUSTRIA Y MANUFACTURA</t>
        </is>
      </c>
      <c r="W624" s="12" t="n"/>
      <c r="X624" s="12" t="n"/>
    </row>
    <row r="625" ht="15" customHeight="1">
      <c r="C625" t="inlineStr">
        <is>
          <t>Actividad económica / giro mercantil</t>
        </is>
      </c>
      <c r="D625" t="inlineStr">
        <is>
          <t>F12</t>
        </is>
      </c>
      <c r="E625" t="inlineStr">
        <is>
          <t>INHERENTE</t>
        </is>
      </c>
      <c r="F625" t="inlineStr">
        <is>
          <t>FABRICACION DE ESPEJOS Y LUNAS</t>
        </is>
      </c>
      <c r="G625" t="n">
        <v>3324027</v>
      </c>
      <c r="H625" t="n">
        <v>1</v>
      </c>
      <c r="I625" t="n">
        <v>1</v>
      </c>
      <c r="J625" t="n">
        <v>8</v>
      </c>
      <c r="K625" t="n">
        <v>8</v>
      </c>
      <c r="L625" t="n">
        <v>8</v>
      </c>
      <c r="M625" t="n">
        <v>8</v>
      </c>
      <c r="N625" t="n">
        <v>8</v>
      </c>
      <c r="O625" t="n">
        <v>40</v>
      </c>
      <c r="P625" t="n">
        <v>8</v>
      </c>
      <c r="R625" s="9" t="n">
        <v>0.08</v>
      </c>
      <c r="S625" s="10" t="inlineStr">
        <is>
          <t>SÍ — integrante</t>
        </is>
      </c>
      <c r="T625" s="11" t="inlineStr">
        <is>
          <t>B · INTEGRANTE</t>
        </is>
      </c>
      <c r="U625" s="11" t="inlineStr">
        <is>
          <t>DEL BANCO (se hereda)</t>
        </is>
      </c>
      <c r="V625" s="11" t="inlineStr">
        <is>
          <t>9152 · INDUSTRIA Y MANUFACTURA</t>
        </is>
      </c>
      <c r="W625" s="12" t="n"/>
      <c r="X625" s="12" t="n"/>
    </row>
    <row r="626" ht="15" customHeight="1">
      <c r="C626" t="inlineStr">
        <is>
          <t>Actividad económica / giro mercantil</t>
        </is>
      </c>
      <c r="D626" t="inlineStr">
        <is>
          <t>F12</t>
        </is>
      </c>
      <c r="E626" t="inlineStr">
        <is>
          <t>INHERENTE</t>
        </is>
      </c>
      <c r="F626" t="inlineStr">
        <is>
          <t>FABRICACION DE ESFERAS DE VIDRIO</t>
        </is>
      </c>
      <c r="G626" t="n">
        <v>3329019</v>
      </c>
      <c r="H626" t="n">
        <v>1</v>
      </c>
      <c r="I626" t="n">
        <v>1</v>
      </c>
      <c r="J626" t="n">
        <v>8</v>
      </c>
      <c r="K626" t="n">
        <v>8</v>
      </c>
      <c r="L626" t="n">
        <v>8</v>
      </c>
      <c r="M626" t="n">
        <v>8</v>
      </c>
      <c r="N626" t="n">
        <v>8</v>
      </c>
      <c r="O626" t="n">
        <v>40</v>
      </c>
      <c r="P626" t="n">
        <v>8</v>
      </c>
      <c r="R626" s="9" t="n">
        <v>0.08</v>
      </c>
      <c r="S626" s="10" t="inlineStr">
        <is>
          <t>SÍ — integrante</t>
        </is>
      </c>
      <c r="T626" s="11" t="inlineStr">
        <is>
          <t>B · INTEGRANTE</t>
        </is>
      </c>
      <c r="U626" s="11" t="inlineStr">
        <is>
          <t>DEL BANCO (se hereda)</t>
        </is>
      </c>
      <c r="V626" s="11" t="inlineStr">
        <is>
          <t>9152 · INDUSTRIA Y MANUFACTURA</t>
        </is>
      </c>
      <c r="W626" s="12" t="n"/>
      <c r="X626" s="12" t="n"/>
    </row>
    <row r="627" ht="15" customHeight="1">
      <c r="C627" t="inlineStr">
        <is>
          <t>Actividad económica / giro mercantil</t>
        </is>
      </c>
      <c r="D627" t="inlineStr">
        <is>
          <t>F12</t>
        </is>
      </c>
      <c r="E627" t="inlineStr">
        <is>
          <t>INHERENTE</t>
        </is>
      </c>
      <c r="F627" t="inlineStr">
        <is>
          <t>FABRICACION DE OBJETOS ARTISTICOS DE VIDRIO Y CRISTAL</t>
        </is>
      </c>
      <c r="G627" t="n">
        <v>3329027</v>
      </c>
      <c r="H627" t="n">
        <v>1</v>
      </c>
      <c r="I627" t="n">
        <v>1</v>
      </c>
      <c r="J627" t="n">
        <v>8</v>
      </c>
      <c r="K627" t="n">
        <v>8</v>
      </c>
      <c r="L627" t="n">
        <v>8</v>
      </c>
      <c r="M627" t="n">
        <v>8</v>
      </c>
      <c r="N627" t="n">
        <v>8</v>
      </c>
      <c r="O627" t="n">
        <v>40</v>
      </c>
      <c r="P627" t="n">
        <v>8</v>
      </c>
      <c r="R627" s="9" t="n">
        <v>0.08</v>
      </c>
      <c r="S627" s="10" t="inlineStr">
        <is>
          <t>SÍ — integrante</t>
        </is>
      </c>
      <c r="T627" s="11" t="inlineStr">
        <is>
          <t>B · INTEGRANTE</t>
        </is>
      </c>
      <c r="U627" s="11" t="inlineStr">
        <is>
          <t>DEL BANCO (se hereda)</t>
        </is>
      </c>
      <c r="V627" s="11" t="inlineStr">
        <is>
          <t>9152 · INDUSTRIA Y MANUFACTURA</t>
        </is>
      </c>
      <c r="W627" s="12" t="n"/>
      <c r="X627" s="12" t="n"/>
    </row>
    <row r="628" ht="15" customHeight="1">
      <c r="C628" t="inlineStr">
        <is>
          <t>Actividad económica / giro mercantil</t>
        </is>
      </c>
      <c r="D628" t="inlineStr">
        <is>
          <t>F12</t>
        </is>
      </c>
      <c r="E628" t="inlineStr">
        <is>
          <t>INHERENTE</t>
        </is>
      </c>
      <c r="F628" t="inlineStr">
        <is>
          <t>FABRICACION DE OTROS OBJETOS DE CRISTAL</t>
        </is>
      </c>
      <c r="G628" t="n">
        <v>3329035</v>
      </c>
      <c r="H628" t="n">
        <v>1</v>
      </c>
      <c r="I628" t="n">
        <v>1</v>
      </c>
      <c r="J628" t="n">
        <v>8</v>
      </c>
      <c r="K628" t="n">
        <v>8</v>
      </c>
      <c r="L628" t="n">
        <v>8</v>
      </c>
      <c r="M628" t="n">
        <v>8</v>
      </c>
      <c r="N628" t="n">
        <v>8</v>
      </c>
      <c r="O628" t="n">
        <v>40</v>
      </c>
      <c r="P628" t="n">
        <v>8</v>
      </c>
      <c r="R628" s="9" t="n">
        <v>0.08</v>
      </c>
      <c r="S628" s="10" t="inlineStr">
        <is>
          <t>SÍ — integrante</t>
        </is>
      </c>
      <c r="T628" s="11" t="inlineStr">
        <is>
          <t>B · INTEGRANTE</t>
        </is>
      </c>
      <c r="U628" s="11" t="inlineStr">
        <is>
          <t>DEL BANCO (se hereda)</t>
        </is>
      </c>
      <c r="V628" s="11" t="inlineStr">
        <is>
          <t>9152 · INDUSTRIA Y MANUFACTURA</t>
        </is>
      </c>
      <c r="W628" s="12" t="n"/>
      <c r="X628" s="12" t="n"/>
    </row>
    <row r="629" ht="15" customHeight="1">
      <c r="C629" t="inlineStr">
        <is>
          <t>Actividad económica / giro mercantil</t>
        </is>
      </c>
      <c r="D629" t="inlineStr">
        <is>
          <t>F12</t>
        </is>
      </c>
      <c r="E629" t="inlineStr">
        <is>
          <t>INHERENTE</t>
        </is>
      </c>
      <c r="F629" t="inlineStr">
        <is>
          <t>FABRICACION DE ADOBE</t>
        </is>
      </c>
      <c r="G629" t="n">
        <v>3331014</v>
      </c>
      <c r="H629" t="n">
        <v>1</v>
      </c>
      <c r="I629" t="n">
        <v>1</v>
      </c>
      <c r="J629" t="n">
        <v>8</v>
      </c>
      <c r="K629" t="n">
        <v>8</v>
      </c>
      <c r="L629" t="n">
        <v>8</v>
      </c>
      <c r="M629" t="n">
        <v>8</v>
      </c>
      <c r="N629" t="n">
        <v>8</v>
      </c>
      <c r="O629" t="n">
        <v>40</v>
      </c>
      <c r="P629" t="n">
        <v>8</v>
      </c>
      <c r="R629" s="9" t="n">
        <v>0.08</v>
      </c>
      <c r="S629" s="10" t="inlineStr">
        <is>
          <t>SÍ — integrante</t>
        </is>
      </c>
      <c r="T629" s="11" t="inlineStr">
        <is>
          <t>B · INTEGRANTE</t>
        </is>
      </c>
      <c r="U629" s="11" t="inlineStr">
        <is>
          <t>DEL BANCO (se hereda)</t>
        </is>
      </c>
      <c r="V629" s="11" t="inlineStr">
        <is>
          <t>9152 · INDUSTRIA Y MANUFACTURA</t>
        </is>
      </c>
      <c r="W629" s="12" t="n"/>
      <c r="X629" s="12" t="n"/>
    </row>
    <row r="630" ht="15" customHeight="1">
      <c r="C630" t="inlineStr">
        <is>
          <t>Actividad económica / giro mercantil</t>
        </is>
      </c>
      <c r="D630" t="inlineStr">
        <is>
          <t>F12</t>
        </is>
      </c>
      <c r="E630" t="inlineStr">
        <is>
          <t>INHERENTE</t>
        </is>
      </c>
      <c r="F630" t="inlineStr">
        <is>
          <t>FABRICACION DE LADRILLOS</t>
        </is>
      </c>
      <c r="G630" t="n">
        <v>3331022</v>
      </c>
      <c r="H630" t="n">
        <v>1</v>
      </c>
      <c r="I630" t="n">
        <v>1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40</v>
      </c>
      <c r="P630" t="n">
        <v>8</v>
      </c>
      <c r="R630" s="9" t="n">
        <v>0.08</v>
      </c>
      <c r="S630" s="10" t="inlineStr">
        <is>
          <t>SÍ — integrante</t>
        </is>
      </c>
      <c r="T630" s="11" t="inlineStr">
        <is>
          <t>B · INTEGRANTE</t>
        </is>
      </c>
      <c r="U630" s="11" t="inlineStr">
        <is>
          <t>DEL BANCO (se hereda)</t>
        </is>
      </c>
      <c r="V630" s="11" t="inlineStr">
        <is>
          <t>9152 · INDUSTRIA Y MANUFACTURA</t>
        </is>
      </c>
      <c r="W630" s="12" t="n"/>
      <c r="X630" s="12" t="n"/>
    </row>
    <row r="631" ht="15" customHeight="1">
      <c r="C631" t="inlineStr">
        <is>
          <t>Actividad económica / giro mercantil</t>
        </is>
      </c>
      <c r="D631" t="inlineStr">
        <is>
          <t>F12</t>
        </is>
      </c>
      <c r="E631" t="inlineStr">
        <is>
          <t>INHERENTE</t>
        </is>
      </c>
      <c r="F631" t="inlineStr">
        <is>
          <t>FABRICACION DE TEJA Y TUBO DE ARCILLA</t>
        </is>
      </c>
      <c r="G631" t="n">
        <v>3331030</v>
      </c>
      <c r="H631" t="n">
        <v>1</v>
      </c>
      <c r="I631" t="n">
        <v>1</v>
      </c>
      <c r="J631" t="n">
        <v>8</v>
      </c>
      <c r="K631" t="n">
        <v>8</v>
      </c>
      <c r="L631" t="n">
        <v>8</v>
      </c>
      <c r="M631" t="n">
        <v>8</v>
      </c>
      <c r="N631" t="n">
        <v>8</v>
      </c>
      <c r="O631" t="n">
        <v>40</v>
      </c>
      <c r="P631" t="n">
        <v>8</v>
      </c>
      <c r="R631" s="9" t="n">
        <v>0.08</v>
      </c>
      <c r="S631" s="10" t="inlineStr">
        <is>
          <t>SÍ — integrante</t>
        </is>
      </c>
      <c r="T631" s="11" t="inlineStr">
        <is>
          <t>B · INTEGRANTE</t>
        </is>
      </c>
      <c r="U631" s="11" t="inlineStr">
        <is>
          <t>DEL BANCO (se hereda)</t>
        </is>
      </c>
      <c r="V631" s="11" t="inlineStr">
        <is>
          <t>9152 · INDUSTRIA Y MANUFACTURA</t>
        </is>
      </c>
      <c r="W631" s="12" t="n"/>
      <c r="X631" s="12" t="n"/>
    </row>
    <row r="632" ht="15" customHeight="1">
      <c r="C632" t="inlineStr">
        <is>
          <t>Actividad económica / giro mercantil</t>
        </is>
      </c>
      <c r="D632" t="inlineStr">
        <is>
          <t>F12</t>
        </is>
      </c>
      <c r="E632" t="inlineStr">
        <is>
          <t>INHERENTE</t>
        </is>
      </c>
      <c r="F632" t="inlineStr">
        <is>
          <t>FABRICACION DE MATERIALES PARA MUROS</t>
        </is>
      </c>
      <c r="G632" t="n">
        <v>3332012</v>
      </c>
      <c r="H632" t="n">
        <v>1</v>
      </c>
      <c r="I632" t="n">
        <v>1</v>
      </c>
      <c r="J632" t="n">
        <v>8</v>
      </c>
      <c r="K632" t="n">
        <v>8</v>
      </c>
      <c r="L632" t="n">
        <v>8</v>
      </c>
      <c r="M632" t="n">
        <v>8</v>
      </c>
      <c r="N632" t="n">
        <v>8</v>
      </c>
      <c r="O632" t="n">
        <v>40</v>
      </c>
      <c r="P632" t="n">
        <v>8</v>
      </c>
      <c r="R632" s="9" t="n">
        <v>0.08</v>
      </c>
      <c r="S632" s="10" t="inlineStr">
        <is>
          <t>SÍ — integrante</t>
        </is>
      </c>
      <c r="T632" s="11" t="inlineStr">
        <is>
          <t>B · INTEGRANTE</t>
        </is>
      </c>
      <c r="U632" s="11" t="inlineStr">
        <is>
          <t>DEL BANCO (se hereda)</t>
        </is>
      </c>
      <c r="V632" s="11" t="inlineStr">
        <is>
          <t>9152 · INDUSTRIA Y MANUFACTURA</t>
        </is>
      </c>
      <c r="W632" s="12" t="n"/>
      <c r="X632" s="12" t="n"/>
    </row>
    <row r="633" ht="15" customHeight="1">
      <c r="C633" t="inlineStr">
        <is>
          <t>Actividad económica / giro mercantil</t>
        </is>
      </c>
      <c r="D633" t="inlineStr">
        <is>
          <t>F12</t>
        </is>
      </c>
      <c r="E633" t="inlineStr">
        <is>
          <t>INHERENTE</t>
        </is>
      </c>
      <c r="F633" t="inlineStr">
        <is>
          <t>FABRICACION DE PRODUCTOS REFRACTARIOS</t>
        </is>
      </c>
      <c r="G633" t="n">
        <v>3332020</v>
      </c>
      <c r="H633" t="n">
        <v>1</v>
      </c>
      <c r="I633" t="n">
        <v>1</v>
      </c>
      <c r="J633" t="n">
        <v>8</v>
      </c>
      <c r="K633" t="n">
        <v>8</v>
      </c>
      <c r="L633" t="n">
        <v>8</v>
      </c>
      <c r="M633" t="n">
        <v>8</v>
      </c>
      <c r="N633" t="n">
        <v>8</v>
      </c>
      <c r="O633" t="n">
        <v>40</v>
      </c>
      <c r="P633" t="n">
        <v>8</v>
      </c>
      <c r="R633" s="9" t="n">
        <v>0.08</v>
      </c>
      <c r="S633" s="10" t="inlineStr">
        <is>
          <t>SÍ — integrante</t>
        </is>
      </c>
      <c r="T633" s="11" t="inlineStr">
        <is>
          <t>B · INTEGRANTE</t>
        </is>
      </c>
      <c r="U633" s="11" t="inlineStr">
        <is>
          <t>DEL BANCO (se hereda)</t>
        </is>
      </c>
      <c r="V633" s="11" t="inlineStr">
        <is>
          <t>9152 · INDUSTRIA Y MANUFACTURA</t>
        </is>
      </c>
      <c r="W633" s="12" t="n"/>
      <c r="X633" s="12" t="n"/>
    </row>
    <row r="634" ht="15" customHeight="1">
      <c r="C634" t="inlineStr">
        <is>
          <t>Actividad económica / giro mercantil</t>
        </is>
      </c>
      <c r="D634" t="inlineStr">
        <is>
          <t>F12</t>
        </is>
      </c>
      <c r="E634" t="inlineStr">
        <is>
          <t>INHERENTE</t>
        </is>
      </c>
      <c r="F634" t="inlineStr">
        <is>
          <t>FABRICACION DE CEMENTO</t>
        </is>
      </c>
      <c r="G634" t="n">
        <v>3341013</v>
      </c>
      <c r="H634" t="n">
        <v>1</v>
      </c>
      <c r="I634" t="n">
        <v>1</v>
      </c>
      <c r="J634" t="n">
        <v>8</v>
      </c>
      <c r="K634" t="n">
        <v>8</v>
      </c>
      <c r="L634" t="n">
        <v>8</v>
      </c>
      <c r="M634" t="n">
        <v>8</v>
      </c>
      <c r="N634" t="n">
        <v>8</v>
      </c>
      <c r="O634" t="n">
        <v>40</v>
      </c>
      <c r="P634" t="n">
        <v>8</v>
      </c>
      <c r="R634" s="9" t="n">
        <v>0.08</v>
      </c>
      <c r="S634" s="10" t="inlineStr">
        <is>
          <t>SÍ — integrante</t>
        </is>
      </c>
      <c r="T634" s="11" t="inlineStr">
        <is>
          <t>B · INTEGRANTE</t>
        </is>
      </c>
      <c r="U634" s="11" t="inlineStr">
        <is>
          <t>DEL BANCO (se hereda)</t>
        </is>
      </c>
      <c r="V634" s="11" t="inlineStr">
        <is>
          <t>9152 · INDUSTRIA Y MANUFACTURA</t>
        </is>
      </c>
      <c r="W634" s="12" t="n"/>
      <c r="X634" s="12" t="n"/>
    </row>
    <row r="635" ht="15" customHeight="1">
      <c r="C635" t="inlineStr">
        <is>
          <t>Actividad económica / giro mercantil</t>
        </is>
      </c>
      <c r="D635" t="inlineStr">
        <is>
          <t>F12</t>
        </is>
      </c>
      <c r="E635" t="inlineStr">
        <is>
          <t>INHERENTE</t>
        </is>
      </c>
      <c r="F635" t="inlineStr">
        <is>
          <t>FABRICACION DE CONCRETO CIENTIFICO</t>
        </is>
      </c>
      <c r="G635" t="n">
        <v>3341021</v>
      </c>
      <c r="H635" t="n">
        <v>1</v>
      </c>
      <c r="I635" t="n">
        <v>1</v>
      </c>
      <c r="J635" t="n">
        <v>8</v>
      </c>
      <c r="K635" t="n">
        <v>8</v>
      </c>
      <c r="L635" t="n">
        <v>8</v>
      </c>
      <c r="M635" t="n">
        <v>8</v>
      </c>
      <c r="N635" t="n">
        <v>8</v>
      </c>
      <c r="O635" t="n">
        <v>40</v>
      </c>
      <c r="P635" t="n">
        <v>8</v>
      </c>
      <c r="R635" s="9" t="n">
        <v>0.08</v>
      </c>
      <c r="S635" s="10" t="inlineStr">
        <is>
          <t>SÍ — integrante</t>
        </is>
      </c>
      <c r="T635" s="11" t="inlineStr">
        <is>
          <t>B · INTEGRANTE</t>
        </is>
      </c>
      <c r="U635" s="11" t="inlineStr">
        <is>
          <t>DEL BANCO (se hereda)</t>
        </is>
      </c>
      <c r="V635" s="11" t="inlineStr">
        <is>
          <t>9152 · INDUSTRIA Y MANUFACTURA</t>
        </is>
      </c>
      <c r="W635" s="12" t="n"/>
      <c r="X635" s="12" t="n"/>
    </row>
    <row r="636" ht="15" customHeight="1">
      <c r="C636" t="inlineStr">
        <is>
          <t>Actividad económica / giro mercantil</t>
        </is>
      </c>
      <c r="D636" t="inlineStr">
        <is>
          <t>F12</t>
        </is>
      </c>
      <c r="E636" t="inlineStr">
        <is>
          <t>INHERENTE</t>
        </is>
      </c>
      <c r="F636" t="inlineStr">
        <is>
          <t>FABRICACION DE CONCRETO PARA CONSTRUCCION</t>
        </is>
      </c>
      <c r="G636" t="n">
        <v>3341039</v>
      </c>
      <c r="H636" t="n">
        <v>1</v>
      </c>
      <c r="I636" t="n">
        <v>1</v>
      </c>
      <c r="J636" t="n">
        <v>8</v>
      </c>
      <c r="K636" t="n">
        <v>8</v>
      </c>
      <c r="L636" t="n">
        <v>8</v>
      </c>
      <c r="M636" t="n">
        <v>8</v>
      </c>
      <c r="N636" t="n">
        <v>8</v>
      </c>
      <c r="O636" t="n">
        <v>40</v>
      </c>
      <c r="P636" t="n">
        <v>8</v>
      </c>
      <c r="R636" s="9" t="n">
        <v>0.08</v>
      </c>
      <c r="S636" s="10" t="inlineStr">
        <is>
          <t>SÍ — integrante</t>
        </is>
      </c>
      <c r="T636" s="11" t="inlineStr">
        <is>
          <t>B · INTEGRANTE</t>
        </is>
      </c>
      <c r="U636" s="11" t="inlineStr">
        <is>
          <t>DEL BANCO (se hereda)</t>
        </is>
      </c>
      <c r="V636" s="11" t="inlineStr">
        <is>
          <t>9117 · INMOBILIARIO / CONSTRUCCIÓN</t>
        </is>
      </c>
      <c r="W636" s="12" t="n"/>
      <c r="X636" s="12" t="n"/>
    </row>
    <row r="637" ht="15" customHeight="1">
      <c r="C637" t="inlineStr">
        <is>
          <t>Actividad económica / giro mercantil</t>
        </is>
      </c>
      <c r="D637" t="inlineStr">
        <is>
          <t>F12</t>
        </is>
      </c>
      <c r="E637" t="inlineStr">
        <is>
          <t>INHERENTE</t>
        </is>
      </c>
      <c r="F637" t="inlineStr">
        <is>
          <t>FABRICACION DE BLOQUES DE CEMENTO</t>
        </is>
      </c>
      <c r="G637" t="n">
        <v>3342011</v>
      </c>
      <c r="H637" t="n">
        <v>1</v>
      </c>
      <c r="I637" t="n">
        <v>1</v>
      </c>
      <c r="J637" t="n">
        <v>8</v>
      </c>
      <c r="K637" t="n">
        <v>8</v>
      </c>
      <c r="L637" t="n">
        <v>8</v>
      </c>
      <c r="M637" t="n">
        <v>8</v>
      </c>
      <c r="N637" t="n">
        <v>8</v>
      </c>
      <c r="O637" t="n">
        <v>40</v>
      </c>
      <c r="P637" t="n">
        <v>8</v>
      </c>
      <c r="R637" s="9" t="n">
        <v>0.08</v>
      </c>
      <c r="S637" s="10" t="inlineStr">
        <is>
          <t>SÍ — integrante</t>
        </is>
      </c>
      <c r="T637" s="11" t="inlineStr">
        <is>
          <t>B · INTEGRANTE</t>
        </is>
      </c>
      <c r="U637" s="11" t="inlineStr">
        <is>
          <t>DEL BANCO (se hereda)</t>
        </is>
      </c>
      <c r="V637" s="11" t="inlineStr">
        <is>
          <t>9152 · INDUSTRIA Y MANUFACTURA</t>
        </is>
      </c>
      <c r="W637" s="12" t="n"/>
      <c r="X637" s="12" t="n"/>
    </row>
    <row r="638" ht="15" customHeight="1">
      <c r="C638" t="inlineStr">
        <is>
          <t>Actividad económica / giro mercantil</t>
        </is>
      </c>
      <c r="D638" t="inlineStr">
        <is>
          <t>F12</t>
        </is>
      </c>
      <c r="E638" t="inlineStr">
        <is>
          <t>INHERENTE</t>
        </is>
      </c>
      <c r="F638" t="inlineStr">
        <is>
          <t>FABRICACION DE YESO</t>
        </is>
      </c>
      <c r="G638" t="n">
        <v>3342029</v>
      </c>
      <c r="H638" t="n">
        <v>1</v>
      </c>
      <c r="I638" t="n">
        <v>1</v>
      </c>
      <c r="J638" t="n">
        <v>8</v>
      </c>
      <c r="K638" t="n">
        <v>8</v>
      </c>
      <c r="L638" t="n">
        <v>8</v>
      </c>
      <c r="M638" t="n">
        <v>8</v>
      </c>
      <c r="N638" t="n">
        <v>8</v>
      </c>
      <c r="O638" t="n">
        <v>40</v>
      </c>
      <c r="P638" t="n">
        <v>8</v>
      </c>
      <c r="R638" s="9" t="n">
        <v>0.08</v>
      </c>
      <c r="S638" s="10" t="inlineStr">
        <is>
          <t>SÍ — integrante</t>
        </is>
      </c>
      <c r="T638" s="11" t="inlineStr">
        <is>
          <t>B · INTEGRANTE</t>
        </is>
      </c>
      <c r="U638" s="11" t="inlineStr">
        <is>
          <t>DEL BANCO (se hereda)</t>
        </is>
      </c>
      <c r="V638" s="11" t="inlineStr">
        <is>
          <t>9152 · INDUSTRIA Y MANUFACTURA</t>
        </is>
      </c>
      <c r="W638" s="12" t="n"/>
      <c r="X638" s="12" t="n"/>
    </row>
    <row r="639" ht="15" customHeight="1">
      <c r="C639" t="inlineStr">
        <is>
          <t>Actividad económica / giro mercantil</t>
        </is>
      </c>
      <c r="D639" t="inlineStr">
        <is>
          <t>F12</t>
        </is>
      </c>
      <c r="E639" t="inlineStr">
        <is>
          <t>INHERENTE</t>
        </is>
      </c>
      <c r="F639" t="inlineStr">
        <is>
          <t>HORNO DE CAL</t>
        </is>
      </c>
      <c r="G639" t="n">
        <v>3343019</v>
      </c>
      <c r="H639" t="n">
        <v>1</v>
      </c>
      <c r="I639" t="n">
        <v>1</v>
      </c>
      <c r="J639" t="n">
        <v>8</v>
      </c>
      <c r="K639" t="n">
        <v>8</v>
      </c>
      <c r="L639" t="n">
        <v>8</v>
      </c>
      <c r="M639" t="n">
        <v>8</v>
      </c>
      <c r="N639" t="n">
        <v>8</v>
      </c>
      <c r="O639" t="n">
        <v>40</v>
      </c>
      <c r="P639" t="n">
        <v>8</v>
      </c>
      <c r="R639" s="9" t="n">
        <v>0.08</v>
      </c>
      <c r="S639" s="10" t="inlineStr">
        <is>
          <t>SÍ — integrante</t>
        </is>
      </c>
      <c r="T639" s="11" t="inlineStr">
        <is>
          <t>B · INTEGRANTE</t>
        </is>
      </c>
      <c r="U639" s="11" t="inlineStr">
        <is>
          <t>DEL BANCO (se hereda)</t>
        </is>
      </c>
      <c r="V639" s="11" t="inlineStr">
        <is>
          <t>9152 · INDUSTRIA Y MANUFACTURA</t>
        </is>
      </c>
      <c r="W639" s="12" t="n"/>
      <c r="X639" s="12" t="n"/>
    </row>
    <row r="640" ht="15" customHeight="1">
      <c r="C640" t="inlineStr">
        <is>
          <t>Actividad económica / giro mercantil</t>
        </is>
      </c>
      <c r="D640" t="inlineStr">
        <is>
          <t>F12</t>
        </is>
      </c>
      <c r="E640" t="inlineStr">
        <is>
          <t>INHERENTE</t>
        </is>
      </c>
      <c r="F640" t="inlineStr">
        <is>
          <t>FABRICACION DE TINACOS DE ASBESTO</t>
        </is>
      </c>
      <c r="G640" t="n">
        <v>3351012</v>
      </c>
      <c r="H640" t="n">
        <v>1</v>
      </c>
      <c r="I640" t="n">
        <v>1</v>
      </c>
      <c r="J640" t="n">
        <v>8</v>
      </c>
      <c r="K640" t="n">
        <v>8</v>
      </c>
      <c r="L640" t="n">
        <v>8</v>
      </c>
      <c r="M640" t="n">
        <v>8</v>
      </c>
      <c r="N640" t="n">
        <v>8</v>
      </c>
      <c r="O640" t="n">
        <v>40</v>
      </c>
      <c r="P640" t="n">
        <v>8</v>
      </c>
      <c r="R640" s="9" t="n">
        <v>0.08</v>
      </c>
      <c r="S640" s="10" t="inlineStr">
        <is>
          <t>SÍ — integrante</t>
        </is>
      </c>
      <c r="T640" s="11" t="inlineStr">
        <is>
          <t>B · INTEGRANTE</t>
        </is>
      </c>
      <c r="U640" s="11" t="inlineStr">
        <is>
          <t>DEL BANCO (se hereda)</t>
        </is>
      </c>
      <c r="V640" s="11" t="inlineStr">
        <is>
          <t>9152 · INDUSTRIA Y MANUFACTURA</t>
        </is>
      </c>
      <c r="W640" s="12" t="n"/>
      <c r="X640" s="12" t="n"/>
    </row>
    <row r="641" ht="15" customHeight="1">
      <c r="C641" t="inlineStr">
        <is>
          <t>Actividad económica / giro mercantil</t>
        </is>
      </c>
      <c r="D641" t="inlineStr">
        <is>
          <t>F12</t>
        </is>
      </c>
      <c r="E641" t="inlineStr">
        <is>
          <t>INHERENTE</t>
        </is>
      </c>
      <c r="F641" t="inlineStr">
        <is>
          <t>FABRICACION DE ABRASIVOS</t>
        </is>
      </c>
      <c r="G641" t="n">
        <v>3352010</v>
      </c>
      <c r="H641" t="n">
        <v>1</v>
      </c>
      <c r="I641" t="n">
        <v>1</v>
      </c>
      <c r="J641" t="n">
        <v>8</v>
      </c>
      <c r="K641" t="n">
        <v>8</v>
      </c>
      <c r="L641" t="n">
        <v>8</v>
      </c>
      <c r="M641" t="n">
        <v>8</v>
      </c>
      <c r="N641" t="n">
        <v>8</v>
      </c>
      <c r="O641" t="n">
        <v>40</v>
      </c>
      <c r="P641" t="n">
        <v>8</v>
      </c>
      <c r="R641" s="9" t="n">
        <v>0.08</v>
      </c>
      <c r="S641" s="10" t="inlineStr">
        <is>
          <t>SÍ — integrante</t>
        </is>
      </c>
      <c r="T641" s="11" t="inlineStr">
        <is>
          <t>B · INTEGRANTE</t>
        </is>
      </c>
      <c r="U641" s="11" t="inlineStr">
        <is>
          <t>DEL BANCO (se hereda)</t>
        </is>
      </c>
      <c r="V641" s="11" t="inlineStr">
        <is>
          <t>9152 · INDUSTRIA Y MANUFACTURA</t>
        </is>
      </c>
      <c r="W641" s="12" t="n"/>
      <c r="X641" s="12" t="n"/>
    </row>
    <row r="642" ht="15" customHeight="1">
      <c r="C642" t="inlineStr">
        <is>
          <t>Actividad económica / giro mercantil</t>
        </is>
      </c>
      <c r="D642" t="inlineStr">
        <is>
          <t>F12</t>
        </is>
      </c>
      <c r="E642" t="inlineStr">
        <is>
          <t>INHERENTE</t>
        </is>
      </c>
      <c r="F642" t="inlineStr">
        <is>
          <t>FABRICACION DE ESMERILES</t>
        </is>
      </c>
      <c r="G642" t="n">
        <v>3352028</v>
      </c>
      <c r="H642" t="n">
        <v>1</v>
      </c>
      <c r="I642" t="n">
        <v>1</v>
      </c>
      <c r="J642" t="n">
        <v>8</v>
      </c>
      <c r="K642" t="n">
        <v>8</v>
      </c>
      <c r="L642" t="n">
        <v>8</v>
      </c>
      <c r="M642" t="n">
        <v>8</v>
      </c>
      <c r="N642" t="n">
        <v>8</v>
      </c>
      <c r="O642" t="n">
        <v>40</v>
      </c>
      <c r="P642" t="n">
        <v>8</v>
      </c>
      <c r="R642" s="9" t="n">
        <v>0.08</v>
      </c>
      <c r="S642" s="10" t="inlineStr">
        <is>
          <t>SÍ — integrante</t>
        </is>
      </c>
      <c r="T642" s="11" t="inlineStr">
        <is>
          <t>B · INTEGRANTE</t>
        </is>
      </c>
      <c r="U642" s="11" t="inlineStr">
        <is>
          <t>DEL BANCO (se hereda)</t>
        </is>
      </c>
      <c r="V642" s="11" t="inlineStr">
        <is>
          <t>9152 · INDUSTRIA Y MANUFACTURA</t>
        </is>
      </c>
      <c r="W642" s="12" t="n"/>
      <c r="X642" s="12" t="n"/>
    </row>
    <row r="643" ht="15" customHeight="1">
      <c r="C643" t="inlineStr">
        <is>
          <t>Actividad económica / giro mercantil</t>
        </is>
      </c>
      <c r="D643" t="inlineStr">
        <is>
          <t>F12</t>
        </is>
      </c>
      <c r="E643" t="inlineStr">
        <is>
          <t>INHERENTE</t>
        </is>
      </c>
      <c r="F643" t="inlineStr">
        <is>
          <t>FABRICACION DE LIJA</t>
        </is>
      </c>
      <c r="G643" t="n">
        <v>3352036</v>
      </c>
      <c r="H643" t="n">
        <v>1</v>
      </c>
      <c r="I643" t="n">
        <v>1</v>
      </c>
      <c r="J643" t="n">
        <v>8</v>
      </c>
      <c r="K643" t="n">
        <v>8</v>
      </c>
      <c r="L643" t="n">
        <v>8</v>
      </c>
      <c r="M643" t="n">
        <v>8</v>
      </c>
      <c r="N643" t="n">
        <v>8</v>
      </c>
      <c r="O643" t="n">
        <v>40</v>
      </c>
      <c r="P643" t="n">
        <v>8</v>
      </c>
      <c r="R643" s="9" t="n">
        <v>0.08</v>
      </c>
      <c r="S643" s="10" t="inlineStr">
        <is>
          <t>SÍ — integrante</t>
        </is>
      </c>
      <c r="T643" s="11" t="inlineStr">
        <is>
          <t>B · INTEGRANTE</t>
        </is>
      </c>
      <c r="U643" s="11" t="inlineStr">
        <is>
          <t>DEL BANCO (se hereda)</t>
        </is>
      </c>
      <c r="V643" s="11" t="inlineStr">
        <is>
          <t>9152 · INDUSTRIA Y MANUFACTURA</t>
        </is>
      </c>
      <c r="W643" s="12" t="n"/>
      <c r="X643" s="12" t="n"/>
    </row>
    <row r="644" ht="15" customHeight="1">
      <c r="C644" t="inlineStr">
        <is>
          <t>Actividad económica / giro mercantil</t>
        </is>
      </c>
      <c r="D644" t="inlineStr">
        <is>
          <t>F12</t>
        </is>
      </c>
      <c r="E644" t="inlineStr">
        <is>
          <t>INHERENTE</t>
        </is>
      </c>
      <c r="F644" t="inlineStr">
        <is>
          <t>TALLER DE MARMOLERIA</t>
        </is>
      </c>
      <c r="G644" t="n">
        <v>3353018</v>
      </c>
      <c r="H644" t="n">
        <v>1</v>
      </c>
      <c r="I644" t="n">
        <v>1</v>
      </c>
      <c r="J644" t="n">
        <v>8</v>
      </c>
      <c r="K644" t="n">
        <v>8</v>
      </c>
      <c r="L644" t="n">
        <v>8</v>
      </c>
      <c r="M644" t="n">
        <v>8</v>
      </c>
      <c r="N644" t="n">
        <v>8</v>
      </c>
      <c r="O644" t="n">
        <v>40</v>
      </c>
      <c r="P644" t="n">
        <v>8</v>
      </c>
      <c r="R644" s="9" t="n">
        <v>0.08</v>
      </c>
      <c r="S644" s="10" t="inlineStr">
        <is>
          <t>SÍ — integrante</t>
        </is>
      </c>
      <c r="T644" s="11" t="inlineStr">
        <is>
          <t>B · INTEGRANTE</t>
        </is>
      </c>
      <c r="U644" s="11" t="inlineStr">
        <is>
          <t>DEL BANCO (se hereda)</t>
        </is>
      </c>
      <c r="V644" s="11" t="inlineStr">
        <is>
          <t>9152 · INDUSTRIA Y MANUFACTURA</t>
        </is>
      </c>
      <c r="W644" s="12" t="n"/>
      <c r="X644" s="12" t="n"/>
    </row>
    <row r="645" ht="15" customHeight="1">
      <c r="C645" t="inlineStr">
        <is>
          <t>Actividad económica / giro mercantil</t>
        </is>
      </c>
      <c r="D645" t="inlineStr">
        <is>
          <t>F12</t>
        </is>
      </c>
      <c r="E645" t="inlineStr">
        <is>
          <t>INHERENTE</t>
        </is>
      </c>
      <c r="F645" t="inlineStr">
        <is>
          <t>FABRICACION DE MOSAICOS TERRAZOS Y GRANITO</t>
        </is>
      </c>
      <c r="G645" t="n">
        <v>3354016</v>
      </c>
      <c r="H645" t="n">
        <v>1</v>
      </c>
      <c r="I645" t="n">
        <v>1</v>
      </c>
      <c r="J645" t="n">
        <v>8</v>
      </c>
      <c r="K645" t="n">
        <v>8</v>
      </c>
      <c r="L645" t="n">
        <v>8</v>
      </c>
      <c r="M645" t="n">
        <v>8</v>
      </c>
      <c r="N645" t="n">
        <v>8</v>
      </c>
      <c r="O645" t="n">
        <v>40</v>
      </c>
      <c r="P645" t="n">
        <v>8</v>
      </c>
      <c r="R645" s="9" t="n">
        <v>0.08</v>
      </c>
      <c r="S645" s="10" t="inlineStr">
        <is>
          <t>SÍ — integrante</t>
        </is>
      </c>
      <c r="T645" s="11" t="inlineStr">
        <is>
          <t>B · INTEGRANTE</t>
        </is>
      </c>
      <c r="U645" s="11" t="inlineStr">
        <is>
          <t>DEL BANCO (se hereda)</t>
        </is>
      </c>
      <c r="V645" s="11" t="inlineStr">
        <is>
          <t>9152 · INDUSTRIA Y MANUFACTURA</t>
        </is>
      </c>
      <c r="W645" s="12" t="n"/>
      <c r="X645" s="12" t="n"/>
    </row>
    <row r="646" ht="15" customHeight="1">
      <c r="C646" t="inlineStr">
        <is>
          <t>Actividad económica / giro mercantil</t>
        </is>
      </c>
      <c r="D646" t="inlineStr">
        <is>
          <t>F12</t>
        </is>
      </c>
      <c r="E646" t="inlineStr">
        <is>
          <t>INHERENTE</t>
        </is>
      </c>
      <c r="F646" t="inlineStr">
        <is>
          <t>FABRICACION DE POSTES Y DURMIENTES DE CONCRETO</t>
        </is>
      </c>
      <c r="G646" t="n">
        <v>3354024</v>
      </c>
      <c r="H646" t="n">
        <v>1</v>
      </c>
      <c r="I646" t="n">
        <v>1</v>
      </c>
      <c r="J646" t="n">
        <v>8</v>
      </c>
      <c r="K646" t="n">
        <v>8</v>
      </c>
      <c r="L646" t="n">
        <v>8</v>
      </c>
      <c r="M646" t="n">
        <v>8</v>
      </c>
      <c r="N646" t="n">
        <v>8</v>
      </c>
      <c r="O646" t="n">
        <v>40</v>
      </c>
      <c r="P646" t="n">
        <v>8</v>
      </c>
      <c r="R646" s="9" t="n">
        <v>0.08</v>
      </c>
      <c r="S646" s="10" t="inlineStr">
        <is>
          <t>SÍ — integrante</t>
        </is>
      </c>
      <c r="T646" s="11" t="inlineStr">
        <is>
          <t>B · INTEGRANTE</t>
        </is>
      </c>
      <c r="U646" s="11" t="inlineStr">
        <is>
          <t>DEL BANCO (se hereda)</t>
        </is>
      </c>
      <c r="V646" s="11" t="inlineStr">
        <is>
          <t>9152 · INDUSTRIA Y MANUFACTURA</t>
        </is>
      </c>
      <c r="W646" s="12" t="n"/>
      <c r="X646" s="12" t="n"/>
    </row>
    <row r="647" ht="15" customHeight="1">
      <c r="C647" t="inlineStr">
        <is>
          <t>Actividad económica / giro mercantil</t>
        </is>
      </c>
      <c r="D647" t="inlineStr">
        <is>
          <t>F12</t>
        </is>
      </c>
      <c r="E647" t="inlineStr">
        <is>
          <t>INHERENTE</t>
        </is>
      </c>
      <c r="F647" t="inlineStr">
        <is>
          <t>FABRICACION DE TUBOS DE CONCRETO</t>
        </is>
      </c>
      <c r="G647" t="n">
        <v>3354032</v>
      </c>
      <c r="H647" t="n">
        <v>1</v>
      </c>
      <c r="I647" t="n">
        <v>1</v>
      </c>
      <c r="J647" t="n">
        <v>8</v>
      </c>
      <c r="K647" t="n">
        <v>8</v>
      </c>
      <c r="L647" t="n">
        <v>8</v>
      </c>
      <c r="M647" t="n">
        <v>8</v>
      </c>
      <c r="N647" t="n">
        <v>8</v>
      </c>
      <c r="O647" t="n">
        <v>40</v>
      </c>
      <c r="P647" t="n">
        <v>8</v>
      </c>
      <c r="R647" s="9" t="n">
        <v>0.08</v>
      </c>
      <c r="S647" s="10" t="inlineStr">
        <is>
          <t>SÍ — integrante</t>
        </is>
      </c>
      <c r="T647" s="11" t="inlineStr">
        <is>
          <t>B · INTEGRANTE</t>
        </is>
      </c>
      <c r="U647" s="11" t="inlineStr">
        <is>
          <t>DEL BANCO (se hereda)</t>
        </is>
      </c>
      <c r="V647" s="11" t="inlineStr">
        <is>
          <t>9152 · INDUSTRIA Y MANUFACTURA</t>
        </is>
      </c>
      <c r="W647" s="12" t="n"/>
      <c r="X647" s="12" t="n"/>
    </row>
    <row r="648" ht="15" customHeight="1">
      <c r="C648" t="inlineStr">
        <is>
          <t>Actividad económica / giro mercantil</t>
        </is>
      </c>
      <c r="D648" t="inlineStr">
        <is>
          <t>F12</t>
        </is>
      </c>
      <c r="E648" t="inlineStr">
        <is>
          <t>INHERENTE</t>
        </is>
      </c>
      <c r="F648" t="inlineStr">
        <is>
          <t>USUARIOS MENORES INDUSTRIA PRODUCTOS DE MINERALES NO METALICOS</t>
        </is>
      </c>
      <c r="G648" t="n">
        <v>3354909</v>
      </c>
      <c r="H648" t="n">
        <v>1</v>
      </c>
      <c r="I648" t="n">
        <v>1</v>
      </c>
      <c r="J648" t="n">
        <v>8</v>
      </c>
      <c r="K648" t="n">
        <v>8</v>
      </c>
      <c r="L648" t="n">
        <v>8</v>
      </c>
      <c r="M648" t="n">
        <v>8</v>
      </c>
      <c r="N648" t="n">
        <v>8</v>
      </c>
      <c r="O648" t="n">
        <v>40</v>
      </c>
      <c r="P648" t="n">
        <v>8</v>
      </c>
      <c r="R648" s="9" t="n">
        <v>0.08</v>
      </c>
      <c r="S648" s="10" t="inlineStr">
        <is>
          <t>SÍ — integrante</t>
        </is>
      </c>
      <c r="T648" s="11" t="inlineStr">
        <is>
          <t>B · INTEGRANTE</t>
        </is>
      </c>
      <c r="U648" s="11" t="inlineStr">
        <is>
          <t>DEL BANCO (se hereda)</t>
        </is>
      </c>
      <c r="V648" s="11" t="inlineStr">
        <is>
          <t>9151 · SECTOR PRIMARIO (agropecuario, pesca, forestal, minería)</t>
        </is>
      </c>
      <c r="W648" s="12" t="n"/>
      <c r="X648" s="12" t="n"/>
    </row>
    <row r="649" ht="15" customHeight="1">
      <c r="C649" t="inlineStr">
        <is>
          <t>Actividad económica / giro mercantil</t>
        </is>
      </c>
      <c r="D649" t="inlineStr">
        <is>
          <t>F12</t>
        </is>
      </c>
      <c r="E649" t="inlineStr">
        <is>
          <t>INHERENTE</t>
        </is>
      </c>
      <c r="F649" t="inlineStr">
        <is>
          <t>CARTERA DE PRODUCTOS MINERALES NO METALICOS DE EST</t>
        </is>
      </c>
      <c r="G649" t="n">
        <v>3354917</v>
      </c>
      <c r="H649" t="n">
        <v>2</v>
      </c>
      <c r="I649" t="n">
        <v>2</v>
      </c>
      <c r="J649" t="n">
        <v>8</v>
      </c>
      <c r="K649" t="n">
        <v>16</v>
      </c>
      <c r="L649" t="n">
        <v>16</v>
      </c>
      <c r="M649" t="n">
        <v>16</v>
      </c>
      <c r="N649" t="n">
        <v>16</v>
      </c>
      <c r="O649" t="n">
        <v>40</v>
      </c>
      <c r="P649" t="n">
        <v>8</v>
      </c>
      <c r="R649" s="9" t="n">
        <v>0.08</v>
      </c>
      <c r="S649" s="10" t="inlineStr">
        <is>
          <t>SÍ — integrante</t>
        </is>
      </c>
      <c r="T649" s="11" t="inlineStr">
        <is>
          <t>B · INTEGRANTE</t>
        </is>
      </c>
      <c r="U649" s="11" t="inlineStr">
        <is>
          <t>DEL BANCO (se hereda)</t>
        </is>
      </c>
      <c r="V649" s="11" t="inlineStr">
        <is>
          <t>9151 · SECTOR PRIMARIO (agropecuario, pesca, forestal, minería)</t>
        </is>
      </c>
      <c r="W649" s="12" t="n"/>
      <c r="X649" s="12" t="n"/>
    </row>
    <row r="650" ht="15" customHeight="1">
      <c r="C650" t="inlineStr">
        <is>
          <t>Actividad económica / giro mercantil</t>
        </is>
      </c>
      <c r="D650" t="inlineStr">
        <is>
          <t>F12</t>
        </is>
      </c>
      <c r="E650" t="inlineStr">
        <is>
          <t>INHERENTE</t>
        </is>
      </c>
      <c r="F650" t="inlineStr">
        <is>
          <t>INDUSTRIAS METÁLICAS BÁSICAS</t>
        </is>
      </c>
      <c r="G650" t="n">
        <v>3400009</v>
      </c>
      <c r="H650" t="n">
        <v>1</v>
      </c>
      <c r="I650" t="n">
        <v>1</v>
      </c>
      <c r="J650" t="n">
        <v>8</v>
      </c>
      <c r="K650" t="n">
        <v>8</v>
      </c>
      <c r="L650" t="n">
        <v>8</v>
      </c>
      <c r="M650" t="n">
        <v>8</v>
      </c>
      <c r="N650" t="n">
        <v>8</v>
      </c>
      <c r="O650" t="n">
        <v>40</v>
      </c>
      <c r="P650" t="n">
        <v>8</v>
      </c>
      <c r="R650" s="9" t="n">
        <v>0.08</v>
      </c>
      <c r="S650" s="10" t="inlineStr">
        <is>
          <t>SÍ — integrante</t>
        </is>
      </c>
      <c r="T650" s="11" t="inlineStr">
        <is>
          <t>B · INTEGRANTE</t>
        </is>
      </c>
      <c r="U650" s="11" t="inlineStr">
        <is>
          <t>DEL BANCO (se hereda)</t>
        </is>
      </c>
      <c r="V650" s="11" t="inlineStr">
        <is>
          <t>9152 · INDUSTRIA Y MANUFACTURA</t>
        </is>
      </c>
      <c r="W650" s="12" t="n"/>
      <c r="X650" s="12" t="n"/>
    </row>
    <row r="651" ht="15" customHeight="1">
      <c r="C651" t="inlineStr">
        <is>
          <t>Actividad económica / giro mercantil</t>
        </is>
      </c>
      <c r="D651" t="inlineStr">
        <is>
          <t>F12</t>
        </is>
      </c>
      <c r="E651" t="inlineStr">
        <is>
          <t>INHERENTE</t>
        </is>
      </c>
      <c r="F651" t="inlineStr">
        <is>
          <t>FABRICACION DE FIERRO ESPONJA</t>
        </is>
      </c>
      <c r="G651" t="n">
        <v>3411014</v>
      </c>
      <c r="H651" t="n">
        <v>1</v>
      </c>
      <c r="I651" t="n">
        <v>1</v>
      </c>
      <c r="J651" t="n">
        <v>8</v>
      </c>
      <c r="K651" t="n">
        <v>8</v>
      </c>
      <c r="L651" t="n">
        <v>8</v>
      </c>
      <c r="M651" t="n">
        <v>8</v>
      </c>
      <c r="N651" t="n">
        <v>8</v>
      </c>
      <c r="O651" t="n">
        <v>40</v>
      </c>
      <c r="P651" t="n">
        <v>8</v>
      </c>
      <c r="R651" s="9" t="n">
        <v>0.08</v>
      </c>
      <c r="S651" s="10" t="inlineStr">
        <is>
          <t>SÍ — integrante</t>
        </is>
      </c>
      <c r="T651" s="11" t="inlineStr">
        <is>
          <t>B · INTEGRANTE</t>
        </is>
      </c>
      <c r="U651" s="11" t="inlineStr">
        <is>
          <t>DEL BANCO (se hereda)</t>
        </is>
      </c>
      <c r="V651" s="11" t="inlineStr">
        <is>
          <t>9152 · INDUSTRIA Y MANUFACTURA</t>
        </is>
      </c>
      <c r="W651" s="12" t="n"/>
      <c r="X651" s="12" t="n"/>
    </row>
    <row r="652" ht="15" customHeight="1">
      <c r="C652" t="inlineStr">
        <is>
          <t>Actividad económica / giro mercantil</t>
        </is>
      </c>
      <c r="D652" t="inlineStr">
        <is>
          <t>F12</t>
        </is>
      </c>
      <c r="E652" t="inlineStr">
        <is>
          <t>INHERENTE</t>
        </is>
      </c>
      <c r="F652" t="inlineStr">
        <is>
          <t>FUNDICION DE FIERRO Y ACERO</t>
        </is>
      </c>
      <c r="G652" t="n">
        <v>3411022</v>
      </c>
      <c r="H652" t="n">
        <v>1</v>
      </c>
      <c r="I652" t="n">
        <v>1</v>
      </c>
      <c r="J652" t="n">
        <v>8</v>
      </c>
      <c r="K652" t="n">
        <v>8</v>
      </c>
      <c r="L652" t="n">
        <v>8</v>
      </c>
      <c r="M652" t="n">
        <v>8</v>
      </c>
      <c r="N652" t="n">
        <v>8</v>
      </c>
      <c r="O652" t="n">
        <v>40</v>
      </c>
      <c r="P652" t="n">
        <v>8</v>
      </c>
      <c r="R652" s="9" t="n">
        <v>0.08</v>
      </c>
      <c r="S652" s="10" t="inlineStr">
        <is>
          <t>SÍ — integrante</t>
        </is>
      </c>
      <c r="T652" s="11" t="inlineStr">
        <is>
          <t>B · INTEGRANTE</t>
        </is>
      </c>
      <c r="U652" s="11" t="inlineStr">
        <is>
          <t>DEL BANCO (se hereda)</t>
        </is>
      </c>
      <c r="V652" s="11" t="inlineStr">
        <is>
          <t>9152 · INDUSTRIA Y MANUFACTURA</t>
        </is>
      </c>
      <c r="W652" s="12" t="n"/>
      <c r="X652" s="12" t="n"/>
    </row>
    <row r="653" ht="15" customHeight="1">
      <c r="C653" t="inlineStr">
        <is>
          <t>Actividad económica / giro mercantil</t>
        </is>
      </c>
      <c r="D653" t="inlineStr">
        <is>
          <t>F12</t>
        </is>
      </c>
      <c r="E653" t="inlineStr">
        <is>
          <t>INHERENTE</t>
        </is>
      </c>
      <c r="F653" t="inlineStr">
        <is>
          <t>PLANTA METALURGICA</t>
        </is>
      </c>
      <c r="G653" t="n">
        <v>3411030</v>
      </c>
      <c r="H653" t="n">
        <v>1</v>
      </c>
      <c r="I653" t="n">
        <v>1</v>
      </c>
      <c r="J653" t="n">
        <v>8</v>
      </c>
      <c r="K653" t="n">
        <v>8</v>
      </c>
      <c r="L653" t="n">
        <v>8</v>
      </c>
      <c r="M653" t="n">
        <v>8</v>
      </c>
      <c r="N653" t="n">
        <v>8</v>
      </c>
      <c r="O653" t="n">
        <v>40</v>
      </c>
      <c r="P653" t="n">
        <v>8</v>
      </c>
      <c r="R653" s="9" t="n">
        <v>0.08</v>
      </c>
      <c r="S653" s="10" t="inlineStr">
        <is>
          <t>SÍ — integrante</t>
        </is>
      </c>
      <c r="T653" s="11" t="inlineStr">
        <is>
          <t>B · INTEGRANTE</t>
        </is>
      </c>
      <c r="U653" s="11" t="inlineStr">
        <is>
          <t>DEL BANCO (se hereda)</t>
        </is>
      </c>
      <c r="V653" s="11" t="inlineStr">
        <is>
          <t>9152 · INDUSTRIA Y MANUFACTURA</t>
        </is>
      </c>
      <c r="W653" s="12" t="n"/>
      <c r="X653" s="12" t="n"/>
    </row>
    <row r="654" ht="15" customHeight="1">
      <c r="C654" t="inlineStr">
        <is>
          <t>Actividad económica / giro mercantil</t>
        </is>
      </c>
      <c r="D654" t="inlineStr">
        <is>
          <t>F12</t>
        </is>
      </c>
      <c r="E654" t="inlineStr">
        <is>
          <t>INHERENTE</t>
        </is>
      </c>
      <c r="F654" t="inlineStr">
        <is>
          <t>USUARIOS MENORES DE INDUSTRIA SIDERURGICA Y PRODUCTOS METALICOS</t>
        </is>
      </c>
      <c r="G654" t="n">
        <v>3411907</v>
      </c>
      <c r="H654" t="n">
        <v>1</v>
      </c>
      <c r="I654" t="n">
        <v>1</v>
      </c>
      <c r="J654" t="n">
        <v>8</v>
      </c>
      <c r="K654" t="n">
        <v>8</v>
      </c>
      <c r="L654" t="n">
        <v>8</v>
      </c>
      <c r="M654" t="n">
        <v>8</v>
      </c>
      <c r="N654" t="n">
        <v>8</v>
      </c>
      <c r="O654" t="n">
        <v>40</v>
      </c>
      <c r="P654" t="n">
        <v>8</v>
      </c>
      <c r="R654" s="9" t="n">
        <v>0.08</v>
      </c>
      <c r="S654" s="10" t="inlineStr">
        <is>
          <t>SÍ — integrante</t>
        </is>
      </c>
      <c r="T654" s="11" t="inlineStr">
        <is>
          <t>B · INTEGRANTE</t>
        </is>
      </c>
      <c r="U654" s="11" t="inlineStr">
        <is>
          <t>DEL BANCO (se hereda)</t>
        </is>
      </c>
      <c r="V654" s="11" t="inlineStr">
        <is>
          <t>9152 · INDUSTRIA Y MANUFACTURA</t>
        </is>
      </c>
      <c r="W654" s="12" t="n"/>
      <c r="X654" s="12" t="n"/>
    </row>
    <row r="655" ht="15" customHeight="1">
      <c r="C655" t="inlineStr">
        <is>
          <t>Actividad económica / giro mercantil</t>
        </is>
      </c>
      <c r="D655" t="inlineStr">
        <is>
          <t>F12</t>
        </is>
      </c>
      <c r="E655" t="inlineStr">
        <is>
          <t>INHERENTE</t>
        </is>
      </c>
      <c r="F655" t="inlineStr">
        <is>
          <t>CARTERA SIDERURGICA Y DE PRODUCTOS METALICOS DE ES</t>
        </is>
      </c>
      <c r="G655" t="n">
        <v>3411915</v>
      </c>
      <c r="H655" t="n">
        <v>2</v>
      </c>
      <c r="I655" t="n">
        <v>2</v>
      </c>
      <c r="J655" t="n">
        <v>8</v>
      </c>
      <c r="K655" t="n">
        <v>16</v>
      </c>
      <c r="L655" t="n">
        <v>16</v>
      </c>
      <c r="M655" t="n">
        <v>16</v>
      </c>
      <c r="N655" t="n">
        <v>16</v>
      </c>
      <c r="O655" t="n">
        <v>40</v>
      </c>
      <c r="P655" t="n">
        <v>8</v>
      </c>
      <c r="R655" s="9" t="n">
        <v>0.08</v>
      </c>
      <c r="S655" s="10" t="inlineStr">
        <is>
          <t>SÍ — integrante</t>
        </is>
      </c>
      <c r="T655" s="11" t="inlineStr">
        <is>
          <t>B · INTEGRANTE</t>
        </is>
      </c>
      <c r="U655" s="11" t="inlineStr">
        <is>
          <t>DEL BANCO (se hereda)</t>
        </is>
      </c>
      <c r="V655" s="11" t="inlineStr">
        <is>
          <t>9152 · INDUSTRIA Y MANUFACTURA</t>
        </is>
      </c>
      <c r="W655" s="12" t="n"/>
      <c r="X655" s="12" t="n"/>
    </row>
    <row r="656" ht="15" customHeight="1">
      <c r="C656" t="inlineStr">
        <is>
          <t>Actividad económica / giro mercantil</t>
        </is>
      </c>
      <c r="D656" t="inlineStr">
        <is>
          <t>F12</t>
        </is>
      </c>
      <c r="E656" t="inlineStr">
        <is>
          <t>INHERENTE</t>
        </is>
      </c>
      <c r="F656" t="inlineStr">
        <is>
          <t>FABRICACION DE LAMINAS DE HIERRO Y ACERO</t>
        </is>
      </c>
      <c r="G656" t="n">
        <v>3412012</v>
      </c>
      <c r="H656" t="n">
        <v>1</v>
      </c>
      <c r="I656" t="n">
        <v>1</v>
      </c>
      <c r="J656" t="n">
        <v>8</v>
      </c>
      <c r="K656" t="n">
        <v>8</v>
      </c>
      <c r="L656" t="n">
        <v>8</v>
      </c>
      <c r="M656" t="n">
        <v>8</v>
      </c>
      <c r="N656" t="n">
        <v>8</v>
      </c>
      <c r="O656" t="n">
        <v>40</v>
      </c>
      <c r="P656" t="n">
        <v>8</v>
      </c>
      <c r="R656" s="9" t="n">
        <v>0.08</v>
      </c>
      <c r="S656" s="10" t="inlineStr">
        <is>
          <t>SÍ — integrante</t>
        </is>
      </c>
      <c r="T656" s="11" t="inlineStr">
        <is>
          <t>B · INTEGRANTE</t>
        </is>
      </c>
      <c r="U656" s="11" t="inlineStr">
        <is>
          <t>DEL BANCO (se hereda)</t>
        </is>
      </c>
      <c r="V656" s="11" t="inlineStr">
        <is>
          <t>9151 · SECTOR PRIMARIO (agropecuario, pesca, forestal, minería)</t>
        </is>
      </c>
      <c r="W656" s="12" t="n"/>
      <c r="X656" s="12" t="n"/>
    </row>
    <row r="657" ht="15" customHeight="1">
      <c r="C657" t="inlineStr">
        <is>
          <t>Actividad económica / giro mercantil</t>
        </is>
      </c>
      <c r="D657" t="inlineStr">
        <is>
          <t>F12</t>
        </is>
      </c>
      <c r="E657" t="inlineStr">
        <is>
          <t>INHERENTE</t>
        </is>
      </c>
      <c r="F657" t="inlineStr">
        <is>
          <t>FABRICACION DE OTROS ARTICULOS DE LAMINA</t>
        </is>
      </c>
      <c r="G657" t="n">
        <v>3412020</v>
      </c>
      <c r="H657" t="n">
        <v>1</v>
      </c>
      <c r="I657" t="n">
        <v>1</v>
      </c>
      <c r="J657" t="n">
        <v>8</v>
      </c>
      <c r="K657" t="n">
        <v>8</v>
      </c>
      <c r="L657" t="n">
        <v>8</v>
      </c>
      <c r="M657" t="n">
        <v>8</v>
      </c>
      <c r="N657" t="n">
        <v>8</v>
      </c>
      <c r="O657" t="n">
        <v>40</v>
      </c>
      <c r="P657" t="n">
        <v>8</v>
      </c>
      <c r="R657" s="9" t="n">
        <v>0.08</v>
      </c>
      <c r="S657" s="10" t="inlineStr">
        <is>
          <t>SÍ — integrante</t>
        </is>
      </c>
      <c r="T657" s="11" t="inlineStr">
        <is>
          <t>B · INTEGRANTE</t>
        </is>
      </c>
      <c r="U657" s="11" t="inlineStr">
        <is>
          <t>DEL BANCO (se hereda)</t>
        </is>
      </c>
      <c r="V657" s="11" t="inlineStr">
        <is>
          <t>9151 · SECTOR PRIMARIO (agropecuario, pesca, forestal, minería)</t>
        </is>
      </c>
      <c r="W657" s="12" t="n"/>
      <c r="X657" s="12" t="n"/>
    </row>
    <row r="658" ht="15" customHeight="1">
      <c r="C658" t="inlineStr">
        <is>
          <t>Actividad económica / giro mercantil</t>
        </is>
      </c>
      <c r="D658" t="inlineStr">
        <is>
          <t>F12</t>
        </is>
      </c>
      <c r="E658" t="inlineStr">
        <is>
          <t>INHERENTE</t>
        </is>
      </c>
      <c r="F658" t="inlineStr">
        <is>
          <t>FABRICACION DE TUBOS DE HIERRO Y ACERO</t>
        </is>
      </c>
      <c r="G658" t="n">
        <v>3413010</v>
      </c>
      <c r="H658" t="n">
        <v>1</v>
      </c>
      <c r="I658" t="n">
        <v>1</v>
      </c>
      <c r="J658" t="n">
        <v>8</v>
      </c>
      <c r="K658" t="n">
        <v>8</v>
      </c>
      <c r="L658" t="n">
        <v>8</v>
      </c>
      <c r="M658" t="n">
        <v>8</v>
      </c>
      <c r="N658" t="n">
        <v>8</v>
      </c>
      <c r="O658" t="n">
        <v>40</v>
      </c>
      <c r="P658" t="n">
        <v>8</v>
      </c>
      <c r="R658" s="9" t="n">
        <v>0.08</v>
      </c>
      <c r="S658" s="10" t="inlineStr">
        <is>
          <t>SÍ — integrante</t>
        </is>
      </c>
      <c r="T658" s="11" t="inlineStr">
        <is>
          <t>B · INTEGRANTE</t>
        </is>
      </c>
      <c r="U658" s="11" t="inlineStr">
        <is>
          <t>DEL BANCO (se hereda)</t>
        </is>
      </c>
      <c r="V658" s="11" t="inlineStr">
        <is>
          <t>9152 · INDUSTRIA Y MANUFACTURA</t>
        </is>
      </c>
      <c r="W658" s="12" t="n"/>
      <c r="X658" s="12" t="n"/>
    </row>
    <row r="659" ht="15" customHeight="1">
      <c r="C659" t="inlineStr">
        <is>
          <t>Actividad económica / giro mercantil</t>
        </is>
      </c>
      <c r="D659" t="inlineStr">
        <is>
          <t>F12</t>
        </is>
      </c>
      <c r="E659" t="inlineStr">
        <is>
          <t>INHERENTE</t>
        </is>
      </c>
      <c r="F659" t="inlineStr">
        <is>
          <t>FUNDICION REFINACION LAMINACION EXTRUSION Y ESTIRAJE DE COBRE Y SUS ALEACIONES</t>
        </is>
      </c>
      <c r="G659" t="n">
        <v>3421013</v>
      </c>
      <c r="H659" t="n">
        <v>1</v>
      </c>
      <c r="I659" t="n">
        <v>1</v>
      </c>
      <c r="J659" t="n">
        <v>8</v>
      </c>
      <c r="K659" t="n">
        <v>8</v>
      </c>
      <c r="L659" t="n">
        <v>8</v>
      </c>
      <c r="M659" t="n">
        <v>8</v>
      </c>
      <c r="N659" t="n">
        <v>8</v>
      </c>
      <c r="O659" t="n">
        <v>40</v>
      </c>
      <c r="P659" t="n">
        <v>8</v>
      </c>
      <c r="R659" s="9" t="n">
        <v>0.08</v>
      </c>
      <c r="S659" s="10" t="inlineStr">
        <is>
          <t>SÍ — integrante</t>
        </is>
      </c>
      <c r="T659" s="11" t="inlineStr">
        <is>
          <t>B · INTEGRANTE</t>
        </is>
      </c>
      <c r="U659" s="11" t="inlineStr">
        <is>
          <t>DEL BANCO (se hereda)</t>
        </is>
      </c>
      <c r="V659" s="11" t="inlineStr">
        <is>
          <t>9151 · SECTOR PRIMARIO (agropecuario, pesca, forestal, minería)</t>
        </is>
      </c>
      <c r="W659" s="12" t="n"/>
      <c r="X659" s="12" t="n"/>
    </row>
    <row r="660" ht="15" customHeight="1">
      <c r="C660" t="inlineStr">
        <is>
          <t>Actividad económica / giro mercantil</t>
        </is>
      </c>
      <c r="D660" t="inlineStr">
        <is>
          <t>F12</t>
        </is>
      </c>
      <c r="E660" t="inlineStr">
        <is>
          <t>INHERENTE</t>
        </is>
      </c>
      <c r="F660" t="inlineStr">
        <is>
          <t>FUNDICION LAMINACION EXTRUSION Y ESTIRAJE DE ALUMINIO Y FABRICACION DE SOLDADURAS ALUMINOTERMICAS</t>
        </is>
      </c>
      <c r="G660" t="n">
        <v>3422011</v>
      </c>
      <c r="H660" t="n">
        <v>1</v>
      </c>
      <c r="I660" t="n">
        <v>1</v>
      </c>
      <c r="J660" t="n">
        <v>8</v>
      </c>
      <c r="K660" t="n">
        <v>8</v>
      </c>
      <c r="L660" t="n">
        <v>8</v>
      </c>
      <c r="M660" t="n">
        <v>8</v>
      </c>
      <c r="N660" t="n">
        <v>8</v>
      </c>
      <c r="O660" t="n">
        <v>40</v>
      </c>
      <c r="P660" t="n">
        <v>8</v>
      </c>
      <c r="R660" s="9" t="n">
        <v>0.08</v>
      </c>
      <c r="S660" s="10" t="inlineStr">
        <is>
          <t>SÍ — integrante</t>
        </is>
      </c>
      <c r="T660" s="11" t="inlineStr">
        <is>
          <t>B · INTEGRANTE</t>
        </is>
      </c>
      <c r="U660" s="11" t="inlineStr">
        <is>
          <t>DEL BANCO (se hereda)</t>
        </is>
      </c>
      <c r="V660" s="11" t="inlineStr">
        <is>
          <t>9151 · SECTOR PRIMARIO (agropecuario, pesca, forestal, minería)</t>
        </is>
      </c>
      <c r="W660" s="12" t="n"/>
      <c r="X660" s="12" t="n"/>
    </row>
    <row r="661" ht="15" customHeight="1">
      <c r="C661" t="inlineStr">
        <is>
          <t>Actividad económica / giro mercantil</t>
        </is>
      </c>
      <c r="D661" t="inlineStr">
        <is>
          <t>F12</t>
        </is>
      </c>
      <c r="E661" t="inlineStr">
        <is>
          <t>INHERENTE</t>
        </is>
      </c>
      <c r="F661" t="inlineStr">
        <is>
          <t>FABRICACION DE TUBOS DE ESTAÑO</t>
        </is>
      </c>
      <c r="G661" t="n">
        <v>3423019</v>
      </c>
      <c r="H661" t="n">
        <v>1</v>
      </c>
      <c r="I661" t="n">
        <v>1</v>
      </c>
      <c r="J661" t="n">
        <v>8</v>
      </c>
      <c r="K661" t="n">
        <v>8</v>
      </c>
      <c r="L661" t="n">
        <v>8</v>
      </c>
      <c r="M661" t="n">
        <v>8</v>
      </c>
      <c r="N661" t="n">
        <v>8</v>
      </c>
      <c r="O661" t="n">
        <v>40</v>
      </c>
      <c r="P661" t="n">
        <v>8</v>
      </c>
      <c r="R661" s="9" t="n">
        <v>0.08</v>
      </c>
      <c r="S661" s="10" t="inlineStr">
        <is>
          <t>SÍ — integrante</t>
        </is>
      </c>
      <c r="T661" s="11" t="inlineStr">
        <is>
          <t>B · INTEGRANTE</t>
        </is>
      </c>
      <c r="U661" s="11" t="inlineStr">
        <is>
          <t>DEL BANCO (se hereda)</t>
        </is>
      </c>
      <c r="V661" s="11" t="inlineStr">
        <is>
          <t>9152 · INDUSTRIA Y MANUFACTURA</t>
        </is>
      </c>
      <c r="W661" s="12" t="n"/>
      <c r="X661" s="12" t="n"/>
    </row>
    <row r="662" ht="15" customHeight="1">
      <c r="C662" t="inlineStr">
        <is>
          <t>Actividad económica / giro mercantil</t>
        </is>
      </c>
      <c r="D662" t="inlineStr">
        <is>
          <t>F12</t>
        </is>
      </c>
      <c r="E662" t="inlineStr">
        <is>
          <t>INHERENTE</t>
        </is>
      </c>
      <c r="F662" t="inlineStr">
        <is>
          <t>FABRICACION DE EQUIPOS PARA SOLDAR Y SOLDADURAS</t>
        </is>
      </c>
      <c r="G662" t="n">
        <v>3423027</v>
      </c>
      <c r="H662" t="n">
        <v>1</v>
      </c>
      <c r="I662" t="n">
        <v>1</v>
      </c>
      <c r="J662" t="n">
        <v>8</v>
      </c>
      <c r="K662" t="n">
        <v>8</v>
      </c>
      <c r="L662" t="n">
        <v>8</v>
      </c>
      <c r="M662" t="n">
        <v>8</v>
      </c>
      <c r="N662" t="n">
        <v>8</v>
      </c>
      <c r="O662" t="n">
        <v>40</v>
      </c>
      <c r="P662" t="n">
        <v>8</v>
      </c>
      <c r="R662" s="9" t="n">
        <v>0.08</v>
      </c>
      <c r="S662" s="10" t="inlineStr">
        <is>
          <t>SÍ — integrante</t>
        </is>
      </c>
      <c r="T662" s="11" t="inlineStr">
        <is>
          <t>B · INTEGRANTE</t>
        </is>
      </c>
      <c r="U662" s="11" t="inlineStr">
        <is>
          <t>DEL BANCO (se hereda)</t>
        </is>
      </c>
      <c r="V662" s="11" t="inlineStr">
        <is>
          <t>9152 · INDUSTRIA Y MANUFACTURA</t>
        </is>
      </c>
      <c r="W662" s="12" t="n"/>
      <c r="X662" s="12" t="n"/>
    </row>
    <row r="663" ht="15" customHeight="1">
      <c r="C663" t="inlineStr">
        <is>
          <t>Actividad económica / giro mercantil</t>
        </is>
      </c>
      <c r="D663" t="inlineStr">
        <is>
          <t>F12</t>
        </is>
      </c>
      <c r="E663" t="inlineStr">
        <is>
          <t>INHERENTE</t>
        </is>
      </c>
      <c r="F663" t="inlineStr">
        <is>
          <t>FUNDICION DE METALES NO FERRUGINOSOS</t>
        </is>
      </c>
      <c r="G663" t="n">
        <v>3429017</v>
      </c>
      <c r="H663" t="n">
        <v>1</v>
      </c>
      <c r="I663" t="n">
        <v>1</v>
      </c>
      <c r="J663" t="n">
        <v>8</v>
      </c>
      <c r="K663" t="n">
        <v>8</v>
      </c>
      <c r="L663" t="n">
        <v>8</v>
      </c>
      <c r="M663" t="n">
        <v>8</v>
      </c>
      <c r="N663" t="n">
        <v>8</v>
      </c>
      <c r="O663" t="n">
        <v>40</v>
      </c>
      <c r="P663" t="n">
        <v>8</v>
      </c>
      <c r="R663" s="9" t="n">
        <v>0.08</v>
      </c>
      <c r="S663" s="10" t="inlineStr">
        <is>
          <t>SÍ — integrante</t>
        </is>
      </c>
      <c r="T663" s="11" t="inlineStr">
        <is>
          <t>B · INTEGRANTE</t>
        </is>
      </c>
      <c r="U663" s="11" t="inlineStr">
        <is>
          <t>DEL BANCO (se hereda)</t>
        </is>
      </c>
      <c r="V663" s="11" t="inlineStr">
        <is>
          <t>9152 · INDUSTRIA Y MANUFACTURA</t>
        </is>
      </c>
      <c r="W663" s="12" t="n"/>
      <c r="X663" s="12" t="n"/>
    </row>
    <row r="664" ht="15" customHeight="1">
      <c r="C664" t="inlineStr">
        <is>
          <t>Actividad económica / giro mercantil</t>
        </is>
      </c>
      <c r="D664" t="inlineStr">
        <is>
          <t>F12</t>
        </is>
      </c>
      <c r="E664" t="inlineStr">
        <is>
          <t>INHERENTE</t>
        </is>
      </c>
      <c r="F664" t="inlineStr">
        <is>
          <t>FABRICACIÓN DE PRODUCTOS METÁLICOS; EXCEPTO MAQUINARIA Y EQUIPO</t>
        </is>
      </c>
      <c r="G664" t="n">
        <v>3500007</v>
      </c>
      <c r="H664" t="n">
        <v>1</v>
      </c>
      <c r="I664" t="n">
        <v>1</v>
      </c>
      <c r="J664" t="n">
        <v>8</v>
      </c>
      <c r="K664" t="n">
        <v>8</v>
      </c>
      <c r="L664" t="n">
        <v>8</v>
      </c>
      <c r="M664" t="n">
        <v>8</v>
      </c>
      <c r="N664" t="n">
        <v>8</v>
      </c>
      <c r="O664" t="n">
        <v>40</v>
      </c>
      <c r="P664" t="n">
        <v>8</v>
      </c>
      <c r="R664" s="9" t="n">
        <v>0.08</v>
      </c>
      <c r="S664" s="10" t="inlineStr">
        <is>
          <t>SÍ — integrante</t>
        </is>
      </c>
      <c r="T664" s="11" t="inlineStr">
        <is>
          <t>B · INTEGRANTE</t>
        </is>
      </c>
      <c r="U664" s="11" t="inlineStr">
        <is>
          <t>DEL BANCO (se hereda)</t>
        </is>
      </c>
      <c r="V664" s="11" t="inlineStr">
        <is>
          <t>9152 · INDUSTRIA Y MANUFACTURA</t>
        </is>
      </c>
      <c r="W664" s="12" t="n"/>
      <c r="X664" s="12" t="n"/>
    </row>
    <row r="665" ht="15" customHeight="1">
      <c r="C665" t="inlineStr">
        <is>
          <t>Actividad económica / giro mercantil</t>
        </is>
      </c>
      <c r="D665" t="inlineStr">
        <is>
          <t>F12</t>
        </is>
      </c>
      <c r="E665" t="inlineStr">
        <is>
          <t>INHERENTE</t>
        </is>
      </c>
      <c r="F665" t="inlineStr">
        <is>
          <t>FABRICACION DE CUBIERTOS Y CUCHILLERIA</t>
        </is>
      </c>
      <c r="G665" t="n">
        <v>3511012</v>
      </c>
      <c r="H665" t="n">
        <v>1</v>
      </c>
      <c r="I665" t="n">
        <v>1</v>
      </c>
      <c r="J665" t="n">
        <v>8</v>
      </c>
      <c r="K665" t="n">
        <v>8</v>
      </c>
      <c r="L665" t="n">
        <v>8</v>
      </c>
      <c r="M665" t="n">
        <v>8</v>
      </c>
      <c r="N665" t="n">
        <v>8</v>
      </c>
      <c r="O665" t="n">
        <v>40</v>
      </c>
      <c r="P665" t="n">
        <v>8</v>
      </c>
      <c r="R665" s="9" t="n">
        <v>0.08</v>
      </c>
      <c r="S665" s="10" t="inlineStr">
        <is>
          <t>SÍ — integrante</t>
        </is>
      </c>
      <c r="T665" s="11" t="inlineStr">
        <is>
          <t>B · INTEGRANTE</t>
        </is>
      </c>
      <c r="U665" s="11" t="inlineStr">
        <is>
          <t>DEL BANCO (se hereda)</t>
        </is>
      </c>
      <c r="V665" s="11" t="inlineStr">
        <is>
          <t>9152 · INDUSTRIA Y MANUFACTURA</t>
        </is>
      </c>
      <c r="W665" s="12" t="n"/>
      <c r="X665" s="12" t="n"/>
    </row>
    <row r="666" ht="15" customHeight="1">
      <c r="C666" t="inlineStr">
        <is>
          <t>Actividad económica / giro mercantil</t>
        </is>
      </c>
      <c r="D666" t="inlineStr">
        <is>
          <t>F12</t>
        </is>
      </c>
      <c r="E666" t="inlineStr">
        <is>
          <t>INHERENTE</t>
        </is>
      </c>
      <c r="F666" t="inlineStr">
        <is>
          <t>FABRICACION DE UTENSILIOS AGRICOLAS Y HERRAMIENTAS DE MANO</t>
        </is>
      </c>
      <c r="G666" t="n">
        <v>3512010</v>
      </c>
      <c r="H666" t="n">
        <v>1</v>
      </c>
      <c r="I666" t="n">
        <v>1</v>
      </c>
      <c r="J666" t="n">
        <v>8</v>
      </c>
      <c r="K666" t="n">
        <v>8</v>
      </c>
      <c r="L666" t="n">
        <v>8</v>
      </c>
      <c r="M666" t="n">
        <v>8</v>
      </c>
      <c r="N666" t="n">
        <v>8</v>
      </c>
      <c r="O666" t="n">
        <v>40</v>
      </c>
      <c r="P666" t="n">
        <v>8</v>
      </c>
      <c r="R666" s="9" t="n">
        <v>0.08</v>
      </c>
      <c r="S666" s="10" t="inlineStr">
        <is>
          <t>SÍ — integrante</t>
        </is>
      </c>
      <c r="T666" s="11" t="inlineStr">
        <is>
          <t>B · INTEGRANTE</t>
        </is>
      </c>
      <c r="U666" s="11" t="inlineStr">
        <is>
          <t>DEL BANCO (se hereda)</t>
        </is>
      </c>
      <c r="V666" s="11" t="inlineStr">
        <is>
          <t>9152 · INDUSTRIA Y MANUFACTURA</t>
        </is>
      </c>
      <c r="W666" s="12" t="n"/>
      <c r="X666" s="12" t="n"/>
    </row>
    <row r="667" ht="15" customHeight="1">
      <c r="C667" t="inlineStr">
        <is>
          <t>Actividad económica / giro mercantil</t>
        </is>
      </c>
      <c r="D667" t="inlineStr">
        <is>
          <t>F12</t>
        </is>
      </c>
      <c r="E667" t="inlineStr">
        <is>
          <t>INHERENTE</t>
        </is>
      </c>
      <c r="F667" t="inlineStr">
        <is>
          <t>FABRICACION DE REMACHES</t>
        </is>
      </c>
      <c r="G667" t="n">
        <v>3513018</v>
      </c>
      <c r="H667" t="n">
        <v>1</v>
      </c>
      <c r="I667" t="n">
        <v>1</v>
      </c>
      <c r="J667" t="n">
        <v>8</v>
      </c>
      <c r="K667" t="n">
        <v>8</v>
      </c>
      <c r="L667" t="n">
        <v>8</v>
      </c>
      <c r="M667" t="n">
        <v>8</v>
      </c>
      <c r="N667" t="n">
        <v>8</v>
      </c>
      <c r="O667" t="n">
        <v>40</v>
      </c>
      <c r="P667" t="n">
        <v>8</v>
      </c>
      <c r="R667" s="9" t="n">
        <v>0.08</v>
      </c>
      <c r="S667" s="10" t="inlineStr">
        <is>
          <t>SÍ — integrante</t>
        </is>
      </c>
      <c r="T667" s="11" t="inlineStr">
        <is>
          <t>B · INTEGRANTE</t>
        </is>
      </c>
      <c r="U667" s="11" t="inlineStr">
        <is>
          <t>DEL BANCO (se hereda)</t>
        </is>
      </c>
      <c r="V667" s="11" t="inlineStr">
        <is>
          <t>9152 · INDUSTRIA Y MANUFACTURA</t>
        </is>
      </c>
      <c r="W667" s="12" t="n"/>
      <c r="X667" s="12" t="n"/>
    </row>
    <row r="668" ht="15" customHeight="1">
      <c r="C668" t="inlineStr">
        <is>
          <t>Actividad económica / giro mercantil</t>
        </is>
      </c>
      <c r="D668" t="inlineStr">
        <is>
          <t>F12</t>
        </is>
      </c>
      <c r="E668" t="inlineStr">
        <is>
          <t>INHERENTE</t>
        </is>
      </c>
      <c r="F668" t="inlineStr">
        <is>
          <t>FABRICACION DE TORNILLOS TUERCAS Y PIJAS</t>
        </is>
      </c>
      <c r="G668" t="n">
        <v>3513026</v>
      </c>
      <c r="H668" t="n">
        <v>1</v>
      </c>
      <c r="I668" t="n">
        <v>1</v>
      </c>
      <c r="J668" t="n">
        <v>8</v>
      </c>
      <c r="K668" t="n">
        <v>8</v>
      </c>
      <c r="L668" t="n">
        <v>8</v>
      </c>
      <c r="M668" t="n">
        <v>8</v>
      </c>
      <c r="N668" t="n">
        <v>8</v>
      </c>
      <c r="O668" t="n">
        <v>40</v>
      </c>
      <c r="P668" t="n">
        <v>8</v>
      </c>
      <c r="R668" s="9" t="n">
        <v>0.08</v>
      </c>
      <c r="S668" s="10" t="inlineStr">
        <is>
          <t>SÍ — integrante</t>
        </is>
      </c>
      <c r="T668" s="11" t="inlineStr">
        <is>
          <t>B · INTEGRANTE</t>
        </is>
      </c>
      <c r="U668" s="11" t="inlineStr">
        <is>
          <t>DEL BANCO (se hereda)</t>
        </is>
      </c>
      <c r="V668" s="11" t="inlineStr">
        <is>
          <t>9152 · INDUSTRIA Y MANUFACTURA</t>
        </is>
      </c>
      <c r="W668" s="12" t="n"/>
      <c r="X668" s="12" t="n"/>
    </row>
    <row r="669" ht="15" customHeight="1">
      <c r="C669" t="inlineStr">
        <is>
          <t>Actividad económica / giro mercantil</t>
        </is>
      </c>
      <c r="D669" t="inlineStr">
        <is>
          <t>F12</t>
        </is>
      </c>
      <c r="E669" t="inlineStr">
        <is>
          <t>INHERENTE</t>
        </is>
      </c>
      <c r="F669" t="inlineStr">
        <is>
          <t>FABRICACION DE CLAVOS CADENAS GRAPAS Y TACHUELAS</t>
        </is>
      </c>
      <c r="G669" t="n">
        <v>3514016</v>
      </c>
      <c r="H669" t="n">
        <v>1</v>
      </c>
      <c r="I669" t="n">
        <v>1</v>
      </c>
      <c r="J669" t="n">
        <v>8</v>
      </c>
      <c r="K669" t="n">
        <v>8</v>
      </c>
      <c r="L669" t="n">
        <v>8</v>
      </c>
      <c r="M669" t="n">
        <v>8</v>
      </c>
      <c r="N669" t="n">
        <v>8</v>
      </c>
      <c r="O669" t="n">
        <v>40</v>
      </c>
      <c r="P669" t="n">
        <v>8</v>
      </c>
      <c r="R669" s="9" t="n">
        <v>0.08</v>
      </c>
      <c r="S669" s="10" t="inlineStr">
        <is>
          <t>SÍ — integrante</t>
        </is>
      </c>
      <c r="T669" s="11" t="inlineStr">
        <is>
          <t>B · INTEGRANTE</t>
        </is>
      </c>
      <c r="U669" s="11" t="inlineStr">
        <is>
          <t>DEL BANCO (se hereda)</t>
        </is>
      </c>
      <c r="V669" s="11" t="inlineStr">
        <is>
          <t>9152 · INDUSTRIA Y MANUFACTURA</t>
        </is>
      </c>
      <c r="W669" s="12" t="n"/>
      <c r="X669" s="12" t="n"/>
    </row>
    <row r="670" ht="15" customHeight="1">
      <c r="C670" t="inlineStr">
        <is>
          <t>Actividad económica / giro mercantil</t>
        </is>
      </c>
      <c r="D670" t="inlineStr">
        <is>
          <t>F12</t>
        </is>
      </c>
      <c r="E670" t="inlineStr">
        <is>
          <t>INHERENTE</t>
        </is>
      </c>
      <c r="F670" t="inlineStr">
        <is>
          <t>FABRICACION DE CANDADOS</t>
        </is>
      </c>
      <c r="G670" t="n">
        <v>3515014</v>
      </c>
      <c r="H670" t="n">
        <v>1</v>
      </c>
      <c r="I670" t="n">
        <v>1</v>
      </c>
      <c r="J670" t="n">
        <v>8</v>
      </c>
      <c r="K670" t="n">
        <v>8</v>
      </c>
      <c r="L670" t="n">
        <v>8</v>
      </c>
      <c r="M670" t="n">
        <v>8</v>
      </c>
      <c r="N670" t="n">
        <v>8</v>
      </c>
      <c r="O670" t="n">
        <v>40</v>
      </c>
      <c r="P670" t="n">
        <v>8</v>
      </c>
      <c r="R670" s="9" t="n">
        <v>0.08</v>
      </c>
      <c r="S670" s="10" t="inlineStr">
        <is>
          <t>SÍ — integrante</t>
        </is>
      </c>
      <c r="T670" s="11" t="inlineStr">
        <is>
          <t>B · INTEGRANTE</t>
        </is>
      </c>
      <c r="U670" s="11" t="inlineStr">
        <is>
          <t>DEL BANCO (se hereda)</t>
        </is>
      </c>
      <c r="V670" s="11" t="inlineStr">
        <is>
          <t>9152 · INDUSTRIA Y MANUFACTURA</t>
        </is>
      </c>
      <c r="W670" s="12" t="n"/>
      <c r="X670" s="12" t="n"/>
    </row>
    <row r="671" ht="15" customHeight="1">
      <c r="C671" t="inlineStr">
        <is>
          <t>Actividad económica / giro mercantil</t>
        </is>
      </c>
      <c r="D671" t="inlineStr">
        <is>
          <t>F12</t>
        </is>
      </c>
      <c r="E671" t="inlineStr">
        <is>
          <t>INHERENTE</t>
        </is>
      </c>
      <c r="F671" t="inlineStr">
        <is>
          <t>FABRICACION DE CERRADURAS</t>
        </is>
      </c>
      <c r="G671" t="n">
        <v>3515022</v>
      </c>
      <c r="H671" t="n">
        <v>1</v>
      </c>
      <c r="I671" t="n">
        <v>1</v>
      </c>
      <c r="J671" t="n">
        <v>8</v>
      </c>
      <c r="K671" t="n">
        <v>8</v>
      </c>
      <c r="L671" t="n">
        <v>8</v>
      </c>
      <c r="M671" t="n">
        <v>8</v>
      </c>
      <c r="N671" t="n">
        <v>8</v>
      </c>
      <c r="O671" t="n">
        <v>40</v>
      </c>
      <c r="P671" t="n">
        <v>8</v>
      </c>
      <c r="R671" s="9" t="n">
        <v>0.08</v>
      </c>
      <c r="S671" s="10" t="inlineStr">
        <is>
          <t>SÍ — integrante</t>
        </is>
      </c>
      <c r="T671" s="11" t="inlineStr">
        <is>
          <t>B · INTEGRANTE</t>
        </is>
      </c>
      <c r="U671" s="11" t="inlineStr">
        <is>
          <t>DEL BANCO (se hereda)</t>
        </is>
      </c>
      <c r="V671" s="11" t="inlineStr">
        <is>
          <t>9152 · INDUSTRIA Y MANUFACTURA</t>
        </is>
      </c>
      <c r="W671" s="12" t="n"/>
      <c r="X671" s="12" t="n"/>
    </row>
    <row r="672" ht="15" customHeight="1">
      <c r="C672" t="inlineStr">
        <is>
          <t>Actividad económica / giro mercantil</t>
        </is>
      </c>
      <c r="D672" t="inlineStr">
        <is>
          <t>F12</t>
        </is>
      </c>
      <c r="E672" t="inlineStr">
        <is>
          <t>INHERENTE</t>
        </is>
      </c>
      <c r="F672" t="inlineStr">
        <is>
          <t>FABRICACION DE CORTINAS DE METAL</t>
        </is>
      </c>
      <c r="G672" t="n">
        <v>3516012</v>
      </c>
      <c r="H672" t="n">
        <v>1</v>
      </c>
      <c r="I672" t="n">
        <v>1</v>
      </c>
      <c r="J672" t="n">
        <v>8</v>
      </c>
      <c r="K672" t="n">
        <v>8</v>
      </c>
      <c r="L672" t="n">
        <v>8</v>
      </c>
      <c r="M672" t="n">
        <v>8</v>
      </c>
      <c r="N672" t="n">
        <v>8</v>
      </c>
      <c r="O672" t="n">
        <v>40</v>
      </c>
      <c r="P672" t="n">
        <v>8</v>
      </c>
      <c r="R672" s="9" t="n">
        <v>0.08</v>
      </c>
      <c r="S672" s="10" t="inlineStr">
        <is>
          <t>SÍ — integrante</t>
        </is>
      </c>
      <c r="T672" s="11" t="inlineStr">
        <is>
          <t>B · INTEGRANTE</t>
        </is>
      </c>
      <c r="U672" s="11" t="inlineStr">
        <is>
          <t>DEL BANCO (se hereda)</t>
        </is>
      </c>
      <c r="V672" s="11" t="inlineStr">
        <is>
          <t>9152 · INDUSTRIA Y MANUFACTURA</t>
        </is>
      </c>
      <c r="W672" s="12" t="n"/>
      <c r="X672" s="12" t="n"/>
    </row>
    <row r="673" ht="15" customHeight="1">
      <c r="C673" t="inlineStr">
        <is>
          <t>Actividad económica / giro mercantil</t>
        </is>
      </c>
      <c r="D673" t="inlineStr">
        <is>
          <t>F12</t>
        </is>
      </c>
      <c r="E673" t="inlineStr">
        <is>
          <t>INHERENTE</t>
        </is>
      </c>
      <c r="F673" t="inlineStr">
        <is>
          <t>FABRICACION DE JAULAS DE METAL</t>
        </is>
      </c>
      <c r="G673" t="n">
        <v>3516020</v>
      </c>
      <c r="H673" t="n">
        <v>1</v>
      </c>
      <c r="I673" t="n">
        <v>1</v>
      </c>
      <c r="J673" t="n">
        <v>8</v>
      </c>
      <c r="K673" t="n">
        <v>8</v>
      </c>
      <c r="L673" t="n">
        <v>8</v>
      </c>
      <c r="M673" t="n">
        <v>8</v>
      </c>
      <c r="N673" t="n">
        <v>8</v>
      </c>
      <c r="O673" t="n">
        <v>40</v>
      </c>
      <c r="P673" t="n">
        <v>8</v>
      </c>
      <c r="R673" s="9" t="n">
        <v>0.08</v>
      </c>
      <c r="S673" s="10" t="inlineStr">
        <is>
          <t>SÍ — integrante</t>
        </is>
      </c>
      <c r="T673" s="11" t="inlineStr">
        <is>
          <t>B · INTEGRANTE</t>
        </is>
      </c>
      <c r="U673" s="11" t="inlineStr">
        <is>
          <t>DEL BANCO (se hereda)</t>
        </is>
      </c>
      <c r="V673" s="11" t="inlineStr">
        <is>
          <t>9152 · INDUSTRIA Y MANUFACTURA</t>
        </is>
      </c>
      <c r="W673" s="12" t="n"/>
      <c r="X673" s="12" t="n"/>
    </row>
    <row r="674" ht="15" customHeight="1">
      <c r="C674" t="inlineStr">
        <is>
          <t>Actividad económica / giro mercantil</t>
        </is>
      </c>
      <c r="D674" t="inlineStr">
        <is>
          <t>F12</t>
        </is>
      </c>
      <c r="E674" t="inlineStr">
        <is>
          <t>INHERENTE</t>
        </is>
      </c>
      <c r="F674" t="inlineStr">
        <is>
          <t>FABRICACION DE OTROS ARTICULOS DE ALUMINIO</t>
        </is>
      </c>
      <c r="G674" t="n">
        <v>3516038</v>
      </c>
      <c r="H674" t="n">
        <v>1</v>
      </c>
      <c r="I674" t="n">
        <v>1</v>
      </c>
      <c r="J674" t="n">
        <v>8</v>
      </c>
      <c r="K674" t="n">
        <v>8</v>
      </c>
      <c r="L674" t="n">
        <v>8</v>
      </c>
      <c r="M674" t="n">
        <v>8</v>
      </c>
      <c r="N674" t="n">
        <v>8</v>
      </c>
      <c r="O674" t="n">
        <v>40</v>
      </c>
      <c r="P674" t="n">
        <v>8</v>
      </c>
      <c r="R674" s="9" t="n">
        <v>0.08</v>
      </c>
      <c r="S674" s="10" t="inlineStr">
        <is>
          <t>SÍ — integrante</t>
        </is>
      </c>
      <c r="T674" s="11" t="inlineStr">
        <is>
          <t>B · INTEGRANTE</t>
        </is>
      </c>
      <c r="U674" s="11" t="inlineStr">
        <is>
          <t>DEL BANCO (se hereda)</t>
        </is>
      </c>
      <c r="V674" s="11" t="inlineStr">
        <is>
          <t>9152 · INDUSTRIA Y MANUFACTURA</t>
        </is>
      </c>
      <c r="W674" s="12" t="n"/>
      <c r="X674" s="12" t="n"/>
    </row>
    <row r="675" ht="15" customHeight="1">
      <c r="C675" t="inlineStr">
        <is>
          <t>Actividad económica / giro mercantil</t>
        </is>
      </c>
      <c r="D675" t="inlineStr">
        <is>
          <t>F12</t>
        </is>
      </c>
      <c r="E675" t="inlineStr">
        <is>
          <t>INHERENTE</t>
        </is>
      </c>
      <c r="F675" t="inlineStr">
        <is>
          <t>FABRICACION DE PERFILES PUERTAS Y VENTANAS DE METAL</t>
        </is>
      </c>
      <c r="G675" t="n">
        <v>3516046</v>
      </c>
      <c r="H675" t="n">
        <v>1</v>
      </c>
      <c r="I675" t="n">
        <v>1</v>
      </c>
      <c r="J675" t="n">
        <v>8</v>
      </c>
      <c r="K675" t="n">
        <v>8</v>
      </c>
      <c r="L675" t="n">
        <v>8</v>
      </c>
      <c r="M675" t="n">
        <v>8</v>
      </c>
      <c r="N675" t="n">
        <v>8</v>
      </c>
      <c r="O675" t="n">
        <v>40</v>
      </c>
      <c r="P675" t="n">
        <v>8</v>
      </c>
      <c r="R675" s="9" t="n">
        <v>0.08</v>
      </c>
      <c r="S675" s="10" t="inlineStr">
        <is>
          <t>SÍ — integrante</t>
        </is>
      </c>
      <c r="T675" s="11" t="inlineStr">
        <is>
          <t>B · INTEGRANTE</t>
        </is>
      </c>
      <c r="U675" s="11" t="inlineStr">
        <is>
          <t>DEL BANCO (se hereda)</t>
        </is>
      </c>
      <c r="V675" s="11" t="inlineStr">
        <is>
          <t>9152 · INDUSTRIA Y MANUFACTURA</t>
        </is>
      </c>
      <c r="W675" s="12" t="n"/>
      <c r="X675" s="12" t="n"/>
    </row>
    <row r="676" ht="15" customHeight="1">
      <c r="C676" t="inlineStr">
        <is>
          <t>Actividad económica / giro mercantil</t>
        </is>
      </c>
      <c r="D676" t="inlineStr">
        <is>
          <t>F12</t>
        </is>
      </c>
      <c r="E676" t="inlineStr">
        <is>
          <t>INHERENTE</t>
        </is>
      </c>
      <c r="F676" t="inlineStr">
        <is>
          <t>TALLER DE HERRERIA</t>
        </is>
      </c>
      <c r="G676" t="n">
        <v>3516054</v>
      </c>
      <c r="H676" t="n">
        <v>1</v>
      </c>
      <c r="I676" t="n">
        <v>1</v>
      </c>
      <c r="J676" t="n">
        <v>8</v>
      </c>
      <c r="K676" t="n">
        <v>8</v>
      </c>
      <c r="L676" t="n">
        <v>8</v>
      </c>
      <c r="M676" t="n">
        <v>8</v>
      </c>
      <c r="N676" t="n">
        <v>8</v>
      </c>
      <c r="O676" t="n">
        <v>40</v>
      </c>
      <c r="P676" t="n">
        <v>8</v>
      </c>
      <c r="R676" s="9" t="n">
        <v>0.08</v>
      </c>
      <c r="S676" s="10" t="inlineStr">
        <is>
          <t>SÍ — integrante</t>
        </is>
      </c>
      <c r="T676" s="11" t="inlineStr">
        <is>
          <t>B · INTEGRANTE</t>
        </is>
      </c>
      <c r="U676" s="11" t="inlineStr">
        <is>
          <t>DEL BANCO (se hereda)</t>
        </is>
      </c>
      <c r="V676" s="11" t="inlineStr">
        <is>
          <t>9152 · INDUSTRIA Y MANUFACTURA</t>
        </is>
      </c>
      <c r="W676" s="12" t="n"/>
      <c r="X676" s="12" t="n"/>
    </row>
    <row r="677" ht="15" customHeight="1">
      <c r="C677" t="inlineStr">
        <is>
          <t>Actividad económica / giro mercantil</t>
        </is>
      </c>
      <c r="D677" t="inlineStr">
        <is>
          <t>F12</t>
        </is>
      </c>
      <c r="E677" t="inlineStr">
        <is>
          <t>INHERENTE</t>
        </is>
      </c>
      <c r="F677" t="inlineStr">
        <is>
          <t>FABRICACION DE BUTACAS DE METAL</t>
        </is>
      </c>
      <c r="G677" t="n">
        <v>3521011</v>
      </c>
      <c r="H677" t="n">
        <v>1</v>
      </c>
      <c r="I677" t="n">
        <v>1</v>
      </c>
      <c r="J677" t="n">
        <v>8</v>
      </c>
      <c r="K677" t="n">
        <v>8</v>
      </c>
      <c r="L677" t="n">
        <v>8</v>
      </c>
      <c r="M677" t="n">
        <v>8</v>
      </c>
      <c r="N677" t="n">
        <v>8</v>
      </c>
      <c r="O677" t="n">
        <v>40</v>
      </c>
      <c r="P677" t="n">
        <v>8</v>
      </c>
      <c r="R677" s="9" t="n">
        <v>0.08</v>
      </c>
      <c r="S677" s="10" t="inlineStr">
        <is>
          <t>SÍ — integrante</t>
        </is>
      </c>
      <c r="T677" s="11" t="inlineStr">
        <is>
          <t>B · INTEGRANTE</t>
        </is>
      </c>
      <c r="U677" s="11" t="inlineStr">
        <is>
          <t>DEL BANCO (se hereda)</t>
        </is>
      </c>
      <c r="V677" s="11" t="inlineStr">
        <is>
          <t>9152 · INDUSTRIA Y MANUFACTURA</t>
        </is>
      </c>
      <c r="W677" s="12" t="n"/>
      <c r="X677" s="12" t="n"/>
    </row>
    <row r="678" ht="15" customHeight="1">
      <c r="C678" t="inlineStr">
        <is>
          <t>Actividad económica / giro mercantil</t>
        </is>
      </c>
      <c r="D678" t="inlineStr">
        <is>
          <t>F12</t>
        </is>
      </c>
      <c r="E678" t="inlineStr">
        <is>
          <t>INHERENTE</t>
        </is>
      </c>
      <c r="F678" t="inlineStr">
        <is>
          <t>FABRICACION DE ESTUFAS</t>
        </is>
      </c>
      <c r="G678" t="n">
        <v>3521029</v>
      </c>
      <c r="H678" t="n">
        <v>1</v>
      </c>
      <c r="I678" t="n">
        <v>1</v>
      </c>
      <c r="J678" t="n">
        <v>8</v>
      </c>
      <c r="K678" t="n">
        <v>8</v>
      </c>
      <c r="L678" t="n">
        <v>8</v>
      </c>
      <c r="M678" t="n">
        <v>8</v>
      </c>
      <c r="N678" t="n">
        <v>8</v>
      </c>
      <c r="O678" t="n">
        <v>40</v>
      </c>
      <c r="P678" t="n">
        <v>8</v>
      </c>
      <c r="R678" s="9" t="n">
        <v>0.08</v>
      </c>
      <c r="S678" s="10" t="inlineStr">
        <is>
          <t>SÍ — integrante</t>
        </is>
      </c>
      <c r="T678" s="11" t="inlineStr">
        <is>
          <t>B · INTEGRANTE</t>
        </is>
      </c>
      <c r="U678" s="11" t="inlineStr">
        <is>
          <t>DEL BANCO (se hereda)</t>
        </is>
      </c>
      <c r="V678" s="11" t="inlineStr">
        <is>
          <t>9152 · INDUSTRIA Y MANUFACTURA</t>
        </is>
      </c>
      <c r="W678" s="12" t="n"/>
      <c r="X678" s="12" t="n"/>
    </row>
    <row r="679" ht="15" customHeight="1">
      <c r="C679" t="inlineStr">
        <is>
          <t>Actividad económica / giro mercantil</t>
        </is>
      </c>
      <c r="D679" t="inlineStr">
        <is>
          <t>F12</t>
        </is>
      </c>
      <c r="E679" t="inlineStr">
        <is>
          <t>INHERENTE</t>
        </is>
      </c>
      <c r="F679" t="inlineStr">
        <is>
          <t>FABRICACION DE OTROS MUEBLES DE METAL</t>
        </is>
      </c>
      <c r="G679" t="n">
        <v>3521037</v>
      </c>
      <c r="H679" t="n">
        <v>1</v>
      </c>
      <c r="I679" t="n">
        <v>1</v>
      </c>
      <c r="J679" t="n">
        <v>8</v>
      </c>
      <c r="K679" t="n">
        <v>8</v>
      </c>
      <c r="L679" t="n">
        <v>8</v>
      </c>
      <c r="M679" t="n">
        <v>8</v>
      </c>
      <c r="N679" t="n">
        <v>8</v>
      </c>
      <c r="O679" t="n">
        <v>40</v>
      </c>
      <c r="P679" t="n">
        <v>8</v>
      </c>
      <c r="R679" s="9" t="n">
        <v>0.08</v>
      </c>
      <c r="S679" s="10" t="inlineStr">
        <is>
          <t>SÍ — integrante</t>
        </is>
      </c>
      <c r="T679" s="11" t="inlineStr">
        <is>
          <t>B · INTEGRANTE</t>
        </is>
      </c>
      <c r="U679" s="11" t="inlineStr">
        <is>
          <t>DEL BANCO (se hereda)</t>
        </is>
      </c>
      <c r="V679" s="11" t="inlineStr">
        <is>
          <t>9152 · INDUSTRIA Y MANUFACTURA</t>
        </is>
      </c>
      <c r="W679" s="12" t="n"/>
      <c r="X679" s="12" t="n"/>
    </row>
    <row r="680" ht="15" customHeight="1">
      <c r="C680" t="inlineStr">
        <is>
          <t>Actividad económica / giro mercantil</t>
        </is>
      </c>
      <c r="D680" t="inlineStr">
        <is>
          <t>F12</t>
        </is>
      </c>
      <c r="E680" t="inlineStr">
        <is>
          <t>INHERENTE</t>
        </is>
      </c>
      <c r="F680" t="inlineStr">
        <is>
          <t>FABRICACION DE ESTRUCTURAS DE METAL</t>
        </is>
      </c>
      <c r="G680" t="n">
        <v>3531010</v>
      </c>
      <c r="H680" t="n">
        <v>1</v>
      </c>
      <c r="I680" t="n">
        <v>1</v>
      </c>
      <c r="J680" t="n">
        <v>8</v>
      </c>
      <c r="K680" t="n">
        <v>8</v>
      </c>
      <c r="L680" t="n">
        <v>8</v>
      </c>
      <c r="M680" t="n">
        <v>8</v>
      </c>
      <c r="N680" t="n">
        <v>8</v>
      </c>
      <c r="O680" t="n">
        <v>40</v>
      </c>
      <c r="P680" t="n">
        <v>8</v>
      </c>
      <c r="R680" s="9" t="n">
        <v>0.08</v>
      </c>
      <c r="S680" s="10" t="inlineStr">
        <is>
          <t>SÍ — integrante</t>
        </is>
      </c>
      <c r="T680" s="11" t="inlineStr">
        <is>
          <t>B · INTEGRANTE</t>
        </is>
      </c>
      <c r="U680" s="11" t="inlineStr">
        <is>
          <t>DEL BANCO (se hereda)</t>
        </is>
      </c>
      <c r="V680" s="11" t="inlineStr">
        <is>
          <t>9152 · INDUSTRIA Y MANUFACTURA</t>
        </is>
      </c>
      <c r="W680" s="12" t="n"/>
      <c r="X680" s="12" t="n"/>
    </row>
    <row r="681" ht="15" customHeight="1">
      <c r="C681" t="inlineStr">
        <is>
          <t>Actividad económica / giro mercantil</t>
        </is>
      </c>
      <c r="D681" t="inlineStr">
        <is>
          <t>F12</t>
        </is>
      </c>
      <c r="E681" t="inlineStr">
        <is>
          <t>INHERENTE</t>
        </is>
      </c>
      <c r="F681" t="inlineStr">
        <is>
          <t>FABRICACION DE TANQUES PARA ENVASADO DE GASES O LIQUIDOS</t>
        </is>
      </c>
      <c r="G681" t="n">
        <v>3531028</v>
      </c>
      <c r="H681" t="n">
        <v>1</v>
      </c>
      <c r="I681" t="n">
        <v>1</v>
      </c>
      <c r="J681" t="n">
        <v>8</v>
      </c>
      <c r="K681" t="n">
        <v>8</v>
      </c>
      <c r="L681" t="n">
        <v>8</v>
      </c>
      <c r="M681" t="n">
        <v>8</v>
      </c>
      <c r="N681" t="n">
        <v>8</v>
      </c>
      <c r="O681" t="n">
        <v>40</v>
      </c>
      <c r="P681" t="n">
        <v>8</v>
      </c>
      <c r="R681" s="9" t="n">
        <v>0.08</v>
      </c>
      <c r="S681" s="10" t="inlineStr">
        <is>
          <t>SÍ — integrante</t>
        </is>
      </c>
      <c r="T681" s="11" t="inlineStr">
        <is>
          <t>B · INTEGRANTE</t>
        </is>
      </c>
      <c r="U681" s="11" t="inlineStr">
        <is>
          <t>DEL BANCO (se hereda)</t>
        </is>
      </c>
      <c r="V681" s="11" t="inlineStr">
        <is>
          <t>9152 · INDUSTRIA Y MANUFACTURA</t>
        </is>
      </c>
      <c r="W681" s="12" t="n"/>
      <c r="X681" s="12" t="n"/>
    </row>
    <row r="682" ht="15" customHeight="1">
      <c r="C682" t="inlineStr">
        <is>
          <t>Actividad económica / giro mercantil</t>
        </is>
      </c>
      <c r="D682" t="inlineStr">
        <is>
          <t>F12</t>
        </is>
      </c>
      <c r="E682" t="inlineStr">
        <is>
          <t>INHERENTE</t>
        </is>
      </c>
      <c r="F682" t="inlineStr">
        <is>
          <t>FABRICACION DE CALDERAS TANQUES Y TINACOS DE METAL</t>
        </is>
      </c>
      <c r="G682" t="n">
        <v>3532018</v>
      </c>
      <c r="H682" t="n">
        <v>1</v>
      </c>
      <c r="I682" t="n">
        <v>1</v>
      </c>
      <c r="J682" t="n">
        <v>8</v>
      </c>
      <c r="K682" t="n">
        <v>8</v>
      </c>
      <c r="L682" t="n">
        <v>8</v>
      </c>
      <c r="M682" t="n">
        <v>8</v>
      </c>
      <c r="N682" t="n">
        <v>8</v>
      </c>
      <c r="O682" t="n">
        <v>40</v>
      </c>
      <c r="P682" t="n">
        <v>8</v>
      </c>
      <c r="R682" s="9" t="n">
        <v>0.08</v>
      </c>
      <c r="S682" s="10" t="inlineStr">
        <is>
          <t>SÍ — integrante</t>
        </is>
      </c>
      <c r="T682" s="11" t="inlineStr">
        <is>
          <t>B · INTEGRANTE</t>
        </is>
      </c>
      <c r="U682" s="11" t="inlineStr">
        <is>
          <t>DEL BANCO (se hereda)</t>
        </is>
      </c>
      <c r="V682" s="11" t="inlineStr">
        <is>
          <t>9152 · INDUSTRIA Y MANUFACTURA</t>
        </is>
      </c>
      <c r="W682" s="12" t="n"/>
      <c r="X682" s="12" t="n"/>
    </row>
    <row r="683" ht="15" customHeight="1">
      <c r="C683" t="inlineStr">
        <is>
          <t>Actividad económica / giro mercantil</t>
        </is>
      </c>
      <c r="D683" t="inlineStr">
        <is>
          <t>F12</t>
        </is>
      </c>
      <c r="E683" t="inlineStr">
        <is>
          <t>INHERENTE</t>
        </is>
      </c>
      <c r="F683" t="inlineStr">
        <is>
          <t>FABRICACION DE CALENTADORES PARA BAÑO</t>
        </is>
      </c>
      <c r="G683" t="n">
        <v>3532026</v>
      </c>
      <c r="H683" t="n">
        <v>1</v>
      </c>
      <c r="I683" t="n">
        <v>1</v>
      </c>
      <c r="J683" t="n">
        <v>8</v>
      </c>
      <c r="K683" t="n">
        <v>8</v>
      </c>
      <c r="L683" t="n">
        <v>8</v>
      </c>
      <c r="M683" t="n">
        <v>8</v>
      </c>
      <c r="N683" t="n">
        <v>8</v>
      </c>
      <c r="O683" t="n">
        <v>40</v>
      </c>
      <c r="P683" t="n">
        <v>8</v>
      </c>
      <c r="R683" s="9" t="n">
        <v>0.08</v>
      </c>
      <c r="S683" s="10" t="inlineStr">
        <is>
          <t>SÍ — integrante</t>
        </is>
      </c>
      <c r="T683" s="11" t="inlineStr">
        <is>
          <t>B · INTEGRANTE</t>
        </is>
      </c>
      <c r="U683" s="11" t="inlineStr">
        <is>
          <t>DEL BANCO (se hereda)</t>
        </is>
      </c>
      <c r="V683" s="11" t="inlineStr">
        <is>
          <t>9152 · INDUSTRIA Y MANUFACTURA</t>
        </is>
      </c>
      <c r="W683" s="12" t="n"/>
      <c r="X683" s="12" t="n"/>
    </row>
    <row r="684" ht="15" customHeight="1">
      <c r="C684" t="inlineStr">
        <is>
          <t>Actividad económica / giro mercantil</t>
        </is>
      </c>
      <c r="D684" t="inlineStr">
        <is>
          <t>F12</t>
        </is>
      </c>
      <c r="E684" t="inlineStr">
        <is>
          <t>INHERENTE</t>
        </is>
      </c>
      <c r="F684" t="inlineStr">
        <is>
          <t>FABRICACION DE ENVASES DE LAMINA</t>
        </is>
      </c>
      <c r="G684" t="n">
        <v>3591014</v>
      </c>
      <c r="H684" t="n">
        <v>1</v>
      </c>
      <c r="I684" t="n">
        <v>1</v>
      </c>
      <c r="J684" t="n">
        <v>8</v>
      </c>
      <c r="K684" t="n">
        <v>8</v>
      </c>
      <c r="L684" t="n">
        <v>8</v>
      </c>
      <c r="M684" t="n">
        <v>8</v>
      </c>
      <c r="N684" t="n">
        <v>8</v>
      </c>
      <c r="O684" t="n">
        <v>40</v>
      </c>
      <c r="P684" t="n">
        <v>8</v>
      </c>
      <c r="R684" s="9" t="n">
        <v>0.08</v>
      </c>
      <c r="S684" s="10" t="inlineStr">
        <is>
          <t>SÍ — integrante</t>
        </is>
      </c>
      <c r="T684" s="11" t="inlineStr">
        <is>
          <t>B · INTEGRANTE</t>
        </is>
      </c>
      <c r="U684" s="11" t="inlineStr">
        <is>
          <t>DEL BANCO (se hereda)</t>
        </is>
      </c>
      <c r="V684" s="11" t="inlineStr">
        <is>
          <t>9151 · SECTOR PRIMARIO (agropecuario, pesca, forestal, minería)</t>
        </is>
      </c>
      <c r="W684" s="12" t="n"/>
      <c r="X684" s="12" t="n"/>
    </row>
    <row r="685" ht="15" customHeight="1">
      <c r="C685" t="inlineStr">
        <is>
          <t>Actividad económica / giro mercantil</t>
        </is>
      </c>
      <c r="D685" t="inlineStr">
        <is>
          <t>F12</t>
        </is>
      </c>
      <c r="E685" t="inlineStr">
        <is>
          <t>INHERENTE</t>
        </is>
      </c>
      <c r="F685" t="inlineStr">
        <is>
          <t>TALLER DE HOJALATERIA</t>
        </is>
      </c>
      <c r="G685" t="n">
        <v>3591022</v>
      </c>
      <c r="H685" t="n">
        <v>1</v>
      </c>
      <c r="I685" t="n">
        <v>1</v>
      </c>
      <c r="J685" t="n">
        <v>8</v>
      </c>
      <c r="K685" t="n">
        <v>8</v>
      </c>
      <c r="L685" t="n">
        <v>8</v>
      </c>
      <c r="M685" t="n">
        <v>8</v>
      </c>
      <c r="N685" t="n">
        <v>8</v>
      </c>
      <c r="O685" t="n">
        <v>40</v>
      </c>
      <c r="P685" t="n">
        <v>8</v>
      </c>
      <c r="R685" s="9" t="n">
        <v>0.08</v>
      </c>
      <c r="S685" s="10" t="inlineStr">
        <is>
          <t>SÍ — integrante</t>
        </is>
      </c>
      <c r="T685" s="11" t="inlineStr">
        <is>
          <t>B · INTEGRANTE</t>
        </is>
      </c>
      <c r="U685" s="11" t="inlineStr">
        <is>
          <t>DEL BANCO (se hereda)</t>
        </is>
      </c>
      <c r="V685" s="11" t="inlineStr">
        <is>
          <t>9152 · INDUSTRIA Y MANUFACTURA</t>
        </is>
      </c>
      <c r="W685" s="12" t="n"/>
      <c r="X685" s="12" t="n"/>
    </row>
    <row r="686" ht="15" customHeight="1">
      <c r="C686" t="inlineStr">
        <is>
          <t>Actividad económica / giro mercantil</t>
        </is>
      </c>
      <c r="D686" t="inlineStr">
        <is>
          <t>F12</t>
        </is>
      </c>
      <c r="E686" t="inlineStr">
        <is>
          <t>INHERENTE</t>
        </is>
      </c>
      <c r="F686" t="inlineStr">
        <is>
          <t>FABRICACION DE CORCHOLATAS</t>
        </is>
      </c>
      <c r="G686" t="n">
        <v>3592012</v>
      </c>
      <c r="H686" t="n">
        <v>1</v>
      </c>
      <c r="I686" t="n">
        <v>1</v>
      </c>
      <c r="J686" t="n">
        <v>8</v>
      </c>
      <c r="K686" t="n">
        <v>8</v>
      </c>
      <c r="L686" t="n">
        <v>8</v>
      </c>
      <c r="M686" t="n">
        <v>8</v>
      </c>
      <c r="N686" t="n">
        <v>8</v>
      </c>
      <c r="O686" t="n">
        <v>40</v>
      </c>
      <c r="P686" t="n">
        <v>8</v>
      </c>
      <c r="R686" s="9" t="n">
        <v>0.08</v>
      </c>
      <c r="S686" s="10" t="inlineStr">
        <is>
          <t>SÍ — integrante</t>
        </is>
      </c>
      <c r="T686" s="11" t="inlineStr">
        <is>
          <t>B · INTEGRANTE</t>
        </is>
      </c>
      <c r="U686" s="11" t="inlineStr">
        <is>
          <t>DEL BANCO (se hereda)</t>
        </is>
      </c>
      <c r="V686" s="11" t="inlineStr">
        <is>
          <t>9152 · INDUSTRIA Y MANUFACTURA</t>
        </is>
      </c>
      <c r="W686" s="12" t="n"/>
      <c r="X686" s="12" t="n"/>
    </row>
    <row r="687" ht="15" customHeight="1">
      <c r="C687" t="inlineStr">
        <is>
          <t>Actividad económica / giro mercantil</t>
        </is>
      </c>
      <c r="D687" t="inlineStr">
        <is>
          <t>F12</t>
        </is>
      </c>
      <c r="E687" t="inlineStr">
        <is>
          <t>INHERENTE</t>
        </is>
      </c>
      <c r="F687" t="inlineStr">
        <is>
          <t>FABRICACION DE ALAMBRADOS Y TELAS DE METAL</t>
        </is>
      </c>
      <c r="G687" t="n">
        <v>3593010</v>
      </c>
      <c r="H687" t="n">
        <v>1</v>
      </c>
      <c r="I687" t="n">
        <v>1</v>
      </c>
      <c r="J687" t="n">
        <v>8</v>
      </c>
      <c r="K687" t="n">
        <v>8</v>
      </c>
      <c r="L687" t="n">
        <v>8</v>
      </c>
      <c r="M687" t="n">
        <v>8</v>
      </c>
      <c r="N687" t="n">
        <v>8</v>
      </c>
      <c r="O687" t="n">
        <v>40</v>
      </c>
      <c r="P687" t="n">
        <v>8</v>
      </c>
      <c r="R687" s="9" t="n">
        <v>0.08</v>
      </c>
      <c r="S687" s="10" t="inlineStr">
        <is>
          <t>SÍ — integrante</t>
        </is>
      </c>
      <c r="T687" s="11" t="inlineStr">
        <is>
          <t>B · INTEGRANTE</t>
        </is>
      </c>
      <c r="U687" s="11" t="inlineStr">
        <is>
          <t>DEL BANCO (se hereda)</t>
        </is>
      </c>
      <c r="V687" s="11" t="inlineStr">
        <is>
          <t>9152 · INDUSTRIA Y MANUFACTURA</t>
        </is>
      </c>
      <c r="W687" s="12" t="n"/>
      <c r="X687" s="12" t="n"/>
    </row>
    <row r="688" ht="15" customHeight="1">
      <c r="C688" t="inlineStr">
        <is>
          <t>Actividad económica / giro mercantil</t>
        </is>
      </c>
      <c r="D688" t="inlineStr">
        <is>
          <t>F12</t>
        </is>
      </c>
      <c r="E688" t="inlineStr">
        <is>
          <t>INHERENTE</t>
        </is>
      </c>
      <c r="F688" t="inlineStr">
        <is>
          <t>FABRICACION DE ALAMBRE</t>
        </is>
      </c>
      <c r="G688" t="n">
        <v>3593028</v>
      </c>
      <c r="H688" t="n">
        <v>1</v>
      </c>
      <c r="I688" t="n">
        <v>1</v>
      </c>
      <c r="J688" t="n">
        <v>8</v>
      </c>
      <c r="K688" t="n">
        <v>8</v>
      </c>
      <c r="L688" t="n">
        <v>8</v>
      </c>
      <c r="M688" t="n">
        <v>8</v>
      </c>
      <c r="N688" t="n">
        <v>8</v>
      </c>
      <c r="O688" t="n">
        <v>40</v>
      </c>
      <c r="P688" t="n">
        <v>8</v>
      </c>
      <c r="R688" s="9" t="n">
        <v>0.08</v>
      </c>
      <c r="S688" s="10" t="inlineStr">
        <is>
          <t>SÍ — integrante</t>
        </is>
      </c>
      <c r="T688" s="11" t="inlineStr">
        <is>
          <t>B · INTEGRANTE</t>
        </is>
      </c>
      <c r="U688" s="11" t="inlineStr">
        <is>
          <t>DEL BANCO (se hereda)</t>
        </is>
      </c>
      <c r="V688" s="11" t="inlineStr">
        <is>
          <t>9152 · INDUSTRIA Y MANUFACTURA</t>
        </is>
      </c>
      <c r="W688" s="12" t="n"/>
      <c r="X688" s="12" t="n"/>
    </row>
    <row r="689" ht="15" customHeight="1">
      <c r="C689" t="inlineStr">
        <is>
          <t>Actividad económica / giro mercantil</t>
        </is>
      </c>
      <c r="D689" t="inlineStr">
        <is>
          <t>F12</t>
        </is>
      </c>
      <c r="E689" t="inlineStr">
        <is>
          <t>INHERENTE</t>
        </is>
      </c>
      <c r="F689" t="inlineStr">
        <is>
          <t>FABRICACION DE OTROS ARTICULOS DE ALAMBRE</t>
        </is>
      </c>
      <c r="G689" t="n">
        <v>3593036</v>
      </c>
      <c r="H689" t="n">
        <v>1</v>
      </c>
      <c r="I689" t="n">
        <v>1</v>
      </c>
      <c r="J689" t="n">
        <v>8</v>
      </c>
      <c r="K689" t="n">
        <v>8</v>
      </c>
      <c r="L689" t="n">
        <v>8</v>
      </c>
      <c r="M689" t="n">
        <v>8</v>
      </c>
      <c r="N689" t="n">
        <v>8</v>
      </c>
      <c r="O689" t="n">
        <v>40</v>
      </c>
      <c r="P689" t="n">
        <v>8</v>
      </c>
      <c r="R689" s="9" t="n">
        <v>0.08</v>
      </c>
      <c r="S689" s="10" t="inlineStr">
        <is>
          <t>SÍ — integrante</t>
        </is>
      </c>
      <c r="T689" s="11" t="inlineStr">
        <is>
          <t>B · INTEGRANTE</t>
        </is>
      </c>
      <c r="U689" s="11" t="inlineStr">
        <is>
          <t>DEL BANCO (se hereda)</t>
        </is>
      </c>
      <c r="V689" s="11" t="inlineStr">
        <is>
          <t>9152 · INDUSTRIA Y MANUFACTURA</t>
        </is>
      </c>
      <c r="W689" s="12" t="n"/>
      <c r="X689" s="12" t="n"/>
    </row>
    <row r="690" ht="15" customHeight="1">
      <c r="C690" t="inlineStr">
        <is>
          <t>Actividad económica / giro mercantil</t>
        </is>
      </c>
      <c r="D690" t="inlineStr">
        <is>
          <t>F12</t>
        </is>
      </c>
      <c r="E690" t="inlineStr">
        <is>
          <t>INHERENTE</t>
        </is>
      </c>
      <c r="F690" t="inlineStr">
        <is>
          <t>FABRICACION DE ARTICULOS DE PELTRE</t>
        </is>
      </c>
      <c r="G690" t="n">
        <v>3594018</v>
      </c>
      <c r="H690" t="n">
        <v>1</v>
      </c>
      <c r="I690" t="n">
        <v>1</v>
      </c>
      <c r="J690" t="n">
        <v>8</v>
      </c>
      <c r="K690" t="n">
        <v>8</v>
      </c>
      <c r="L690" t="n">
        <v>8</v>
      </c>
      <c r="M690" t="n">
        <v>8</v>
      </c>
      <c r="N690" t="n">
        <v>8</v>
      </c>
      <c r="O690" t="n">
        <v>40</v>
      </c>
      <c r="P690" t="n">
        <v>8</v>
      </c>
      <c r="R690" s="9" t="n">
        <v>0.08</v>
      </c>
      <c r="S690" s="10" t="inlineStr">
        <is>
          <t>SÍ — integrante</t>
        </is>
      </c>
      <c r="T690" s="11" t="inlineStr">
        <is>
          <t>B · INTEGRANTE</t>
        </is>
      </c>
      <c r="U690" s="11" t="inlineStr">
        <is>
          <t>DEL BANCO (se hereda)</t>
        </is>
      </c>
      <c r="V690" s="11" t="inlineStr">
        <is>
          <t>9152 · INDUSTRIA Y MANUFACTURA</t>
        </is>
      </c>
      <c r="W690" s="12" t="n"/>
      <c r="X690" s="12" t="n"/>
    </row>
    <row r="691" ht="15" customHeight="1">
      <c r="C691" t="inlineStr">
        <is>
          <t>Actividad económica / giro mercantil</t>
        </is>
      </c>
      <c r="D691" t="inlineStr">
        <is>
          <t>F12</t>
        </is>
      </c>
      <c r="E691" t="inlineStr">
        <is>
          <t>INHERENTE</t>
        </is>
      </c>
      <c r="F691" t="inlineStr">
        <is>
          <t>GALVANIZACION DE LAMINA</t>
        </is>
      </c>
      <c r="G691" t="n">
        <v>3595016</v>
      </c>
      <c r="H691" t="n">
        <v>1</v>
      </c>
      <c r="I691" t="n">
        <v>1</v>
      </c>
      <c r="J691" t="n">
        <v>8</v>
      </c>
      <c r="K691" t="n">
        <v>8</v>
      </c>
      <c r="L691" t="n">
        <v>8</v>
      </c>
      <c r="M691" t="n">
        <v>8</v>
      </c>
      <c r="N691" t="n">
        <v>8</v>
      </c>
      <c r="O691" t="n">
        <v>40</v>
      </c>
      <c r="P691" t="n">
        <v>8</v>
      </c>
      <c r="R691" s="9" t="n">
        <v>0.08</v>
      </c>
      <c r="S691" s="10" t="inlineStr">
        <is>
          <t>SÍ — integrante</t>
        </is>
      </c>
      <c r="T691" s="11" t="inlineStr">
        <is>
          <t>B · INTEGRANTE</t>
        </is>
      </c>
      <c r="U691" s="11" t="inlineStr">
        <is>
          <t>DEL BANCO (se hereda)</t>
        </is>
      </c>
      <c r="V691" s="11" t="inlineStr">
        <is>
          <t>9151 · SECTOR PRIMARIO (agropecuario, pesca, forestal, minería)</t>
        </is>
      </c>
      <c r="W691" s="12" t="n"/>
      <c r="X691" s="12" t="n"/>
    </row>
    <row r="692" ht="15" customHeight="1">
      <c r="C692" t="inlineStr">
        <is>
          <t>Actividad económica / giro mercantil</t>
        </is>
      </c>
      <c r="D692" t="inlineStr">
        <is>
          <t>F12</t>
        </is>
      </c>
      <c r="E692" t="inlineStr">
        <is>
          <t>INHERENTE</t>
        </is>
      </c>
      <c r="F692" t="inlineStr">
        <is>
          <t>GALVANIZACION DE TUBERIA</t>
        </is>
      </c>
      <c r="G692" t="n">
        <v>3595024</v>
      </c>
      <c r="H692" t="n">
        <v>1</v>
      </c>
      <c r="I692" t="n">
        <v>1</v>
      </c>
      <c r="J692" t="n">
        <v>8</v>
      </c>
      <c r="K692" t="n">
        <v>8</v>
      </c>
      <c r="L692" t="n">
        <v>8</v>
      </c>
      <c r="M692" t="n">
        <v>8</v>
      </c>
      <c r="N692" t="n">
        <v>8</v>
      </c>
      <c r="O692" t="n">
        <v>40</v>
      </c>
      <c r="P692" t="n">
        <v>8</v>
      </c>
      <c r="R692" s="9" t="n">
        <v>0.08</v>
      </c>
      <c r="S692" s="10" t="inlineStr">
        <is>
          <t>SÍ — integrante</t>
        </is>
      </c>
      <c r="T692" s="11" t="inlineStr">
        <is>
          <t>B · INTEGRANTE</t>
        </is>
      </c>
      <c r="U692" s="11" t="inlineStr">
        <is>
          <t>DEL BANCO (se hereda)</t>
        </is>
      </c>
      <c r="V692" s="11" t="inlineStr">
        <is>
          <t>9154 · OTRAS ACTIVIDADES NO CLASIFICADAS</t>
        </is>
      </c>
      <c r="W692" s="12" t="n"/>
      <c r="X692" s="12" t="n"/>
    </row>
    <row r="693" ht="15" customHeight="1">
      <c r="C693" t="inlineStr">
        <is>
          <t>Actividad económica / giro mercantil</t>
        </is>
      </c>
      <c r="D693" t="inlineStr">
        <is>
          <t>F12</t>
        </is>
      </c>
      <c r="E693" t="inlineStr">
        <is>
          <t>INHERENTE</t>
        </is>
      </c>
      <c r="F693" t="inlineStr">
        <is>
          <t>TALLER DE COBRIZADO</t>
        </is>
      </c>
      <c r="G693" t="n">
        <v>3595032</v>
      </c>
      <c r="H693" t="n">
        <v>1</v>
      </c>
      <c r="I693" t="n">
        <v>1</v>
      </c>
      <c r="J693" t="n">
        <v>8</v>
      </c>
      <c r="K693" t="n">
        <v>8</v>
      </c>
      <c r="L693" t="n">
        <v>8</v>
      </c>
      <c r="M693" t="n">
        <v>8</v>
      </c>
      <c r="N693" t="n">
        <v>8</v>
      </c>
      <c r="O693" t="n">
        <v>40</v>
      </c>
      <c r="P693" t="n">
        <v>8</v>
      </c>
      <c r="R693" s="9" t="n">
        <v>0.08</v>
      </c>
      <c r="S693" s="10" t="inlineStr">
        <is>
          <t>SÍ — integrante</t>
        </is>
      </c>
      <c r="T693" s="11" t="inlineStr">
        <is>
          <t>B · INTEGRANTE</t>
        </is>
      </c>
      <c r="U693" s="11" t="inlineStr">
        <is>
          <t>DEL BANCO (se hereda)</t>
        </is>
      </c>
      <c r="V693" s="11" t="inlineStr">
        <is>
          <t>9152 · INDUSTRIA Y MANUFACTURA</t>
        </is>
      </c>
      <c r="W693" s="12" t="n"/>
      <c r="X693" s="12" t="n"/>
    </row>
    <row r="694" ht="15" customHeight="1">
      <c r="C694" t="inlineStr">
        <is>
          <t>Actividad económica / giro mercantil</t>
        </is>
      </c>
      <c r="D694" t="inlineStr">
        <is>
          <t>F12</t>
        </is>
      </c>
      <c r="E694" t="inlineStr">
        <is>
          <t>INHERENTE</t>
        </is>
      </c>
      <c r="F694" t="inlineStr">
        <is>
          <t>TALLER DE CROMADO Y NIQUELADO</t>
        </is>
      </c>
      <c r="G694" t="n">
        <v>3595040</v>
      </c>
      <c r="H694" t="n">
        <v>1</v>
      </c>
      <c r="I694" t="n">
        <v>1</v>
      </c>
      <c r="J694" t="n">
        <v>8</v>
      </c>
      <c r="K694" t="n">
        <v>8</v>
      </c>
      <c r="L694" t="n">
        <v>8</v>
      </c>
      <c r="M694" t="n">
        <v>8</v>
      </c>
      <c r="N694" t="n">
        <v>8</v>
      </c>
      <c r="O694" t="n">
        <v>40</v>
      </c>
      <c r="P694" t="n">
        <v>8</v>
      </c>
      <c r="R694" s="9" t="n">
        <v>0.08</v>
      </c>
      <c r="S694" s="10" t="inlineStr">
        <is>
          <t>SÍ — integrante</t>
        </is>
      </c>
      <c r="T694" s="11" t="inlineStr">
        <is>
          <t>B · INTEGRANTE</t>
        </is>
      </c>
      <c r="U694" s="11" t="inlineStr">
        <is>
          <t>DEL BANCO (se hereda)</t>
        </is>
      </c>
      <c r="V694" s="11" t="inlineStr">
        <is>
          <t>9152 · INDUSTRIA Y MANUFACTURA</t>
        </is>
      </c>
      <c r="W694" s="12" t="n"/>
      <c r="X694" s="12" t="n"/>
    </row>
    <row r="695" ht="15" customHeight="1">
      <c r="C695" t="inlineStr">
        <is>
          <t>Actividad económica / giro mercantil</t>
        </is>
      </c>
      <c r="D695" t="inlineStr">
        <is>
          <t>F12</t>
        </is>
      </c>
      <c r="E695" t="inlineStr">
        <is>
          <t>INHERENTE</t>
        </is>
      </c>
      <c r="F695" t="inlineStr">
        <is>
          <t>TALLER DE ESMALTADO</t>
        </is>
      </c>
      <c r="G695" t="n">
        <v>3595058</v>
      </c>
      <c r="H695" t="n">
        <v>1</v>
      </c>
      <c r="I695" t="n">
        <v>1</v>
      </c>
      <c r="J695" t="n">
        <v>8</v>
      </c>
      <c r="K695" t="n">
        <v>8</v>
      </c>
      <c r="L695" t="n">
        <v>8</v>
      </c>
      <c r="M695" t="n">
        <v>8</v>
      </c>
      <c r="N695" t="n">
        <v>8</v>
      </c>
      <c r="O695" t="n">
        <v>40</v>
      </c>
      <c r="P695" t="n">
        <v>8</v>
      </c>
      <c r="R695" s="9" t="n">
        <v>0.08</v>
      </c>
      <c r="S695" s="10" t="inlineStr">
        <is>
          <t>SÍ — integrante</t>
        </is>
      </c>
      <c r="T695" s="11" t="inlineStr">
        <is>
          <t>B · INTEGRANTE</t>
        </is>
      </c>
      <c r="U695" s="11" t="inlineStr">
        <is>
          <t>DEL BANCO (se hereda)</t>
        </is>
      </c>
      <c r="V695" s="11" t="inlineStr">
        <is>
          <t>9152 · INDUSTRIA Y MANUFACTURA</t>
        </is>
      </c>
      <c r="W695" s="12" t="n"/>
      <c r="X695" s="12" t="n"/>
    </row>
    <row r="696" ht="15" customHeight="1">
      <c r="C696" t="inlineStr">
        <is>
          <t>Actividad económica / giro mercantil</t>
        </is>
      </c>
      <c r="D696" t="inlineStr">
        <is>
          <t>F12</t>
        </is>
      </c>
      <c r="E696" t="inlineStr">
        <is>
          <t>INHERENTE</t>
        </is>
      </c>
      <c r="F696" t="inlineStr">
        <is>
          <t>FABRICACION DE PIEZAS METALICAS POR FUNDICION Y MOLDEO EXCEPTO PARA MAQUINARIA EQUIPO Y MATERIAL DE TRANSPORTE</t>
        </is>
      </c>
      <c r="G696" t="n">
        <v>3596014</v>
      </c>
      <c r="H696" t="n">
        <v>1</v>
      </c>
      <c r="I696" t="n">
        <v>1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40</v>
      </c>
      <c r="P696" t="n">
        <v>8</v>
      </c>
      <c r="R696" s="9" t="n">
        <v>0.08</v>
      </c>
      <c r="S696" s="10" t="inlineStr">
        <is>
          <t>SÍ — integrante</t>
        </is>
      </c>
      <c r="T696" s="11" t="inlineStr">
        <is>
          <t>B · INTEGRANTE</t>
        </is>
      </c>
      <c r="U696" s="11" t="inlineStr">
        <is>
          <t>DEL BANCO (se hereda)</t>
        </is>
      </c>
      <c r="V696" s="11" t="inlineStr">
        <is>
          <t>9152 · INDUSTRIA Y MANUFACTURA</t>
        </is>
      </c>
      <c r="W696" s="12" t="n"/>
      <c r="X696" s="12" t="n"/>
    </row>
    <row r="697" ht="15" customHeight="1">
      <c r="C697" t="inlineStr">
        <is>
          <t>Actividad económica / giro mercantil</t>
        </is>
      </c>
      <c r="D697" t="inlineStr">
        <is>
          <t>F12</t>
        </is>
      </c>
      <c r="E697" t="inlineStr">
        <is>
          <t>INHERENTE</t>
        </is>
      </c>
      <c r="F697" t="inlineStr">
        <is>
          <t>FABRICACION DE TUBOS DE COBRE  PLOMO Y ALUMINIO</t>
        </is>
      </c>
      <c r="G697" t="n">
        <v>3596022</v>
      </c>
      <c r="H697" t="n">
        <v>1</v>
      </c>
      <c r="I697" t="n">
        <v>1</v>
      </c>
      <c r="J697" t="n">
        <v>8</v>
      </c>
      <c r="K697" t="n">
        <v>8</v>
      </c>
      <c r="L697" t="n">
        <v>8</v>
      </c>
      <c r="M697" t="n">
        <v>8</v>
      </c>
      <c r="N697" t="n">
        <v>8</v>
      </c>
      <c r="O697" t="n">
        <v>40</v>
      </c>
      <c r="P697" t="n">
        <v>8</v>
      </c>
      <c r="R697" s="9" t="n">
        <v>0.08</v>
      </c>
      <c r="S697" s="10" t="inlineStr">
        <is>
          <t>SÍ — integrante</t>
        </is>
      </c>
      <c r="T697" s="11" t="inlineStr">
        <is>
          <t>B · INTEGRANTE</t>
        </is>
      </c>
      <c r="U697" s="11" t="inlineStr">
        <is>
          <t>DEL BANCO (se hereda)</t>
        </is>
      </c>
      <c r="V697" s="11" t="inlineStr">
        <is>
          <t>9152 · INDUSTRIA Y MANUFACTURA</t>
        </is>
      </c>
      <c r="W697" s="12" t="n"/>
      <c r="X697" s="12" t="n"/>
    </row>
    <row r="698" ht="15" customHeight="1">
      <c r="C698" t="inlineStr">
        <is>
          <t>Actividad económica / giro mercantil</t>
        </is>
      </c>
      <c r="D698" t="inlineStr">
        <is>
          <t>F12</t>
        </is>
      </c>
      <c r="E698" t="inlineStr">
        <is>
          <t>INHERENTE</t>
        </is>
      </c>
      <c r="F698" t="inlineStr">
        <is>
          <t>FABRICACION DE ALFILERES AGUJAS Y BROCHES</t>
        </is>
      </c>
      <c r="G698" t="n">
        <v>3599018</v>
      </c>
      <c r="H698" t="n">
        <v>1</v>
      </c>
      <c r="I698" t="n">
        <v>1</v>
      </c>
      <c r="J698" t="n">
        <v>8</v>
      </c>
      <c r="K698" t="n">
        <v>8</v>
      </c>
      <c r="L698" t="n">
        <v>8</v>
      </c>
      <c r="M698" t="n">
        <v>8</v>
      </c>
      <c r="N698" t="n">
        <v>8</v>
      </c>
      <c r="O698" t="n">
        <v>40</v>
      </c>
      <c r="P698" t="n">
        <v>8</v>
      </c>
      <c r="R698" s="9" t="n">
        <v>0.08</v>
      </c>
      <c r="S698" s="10" t="inlineStr">
        <is>
          <t>SÍ — integrante</t>
        </is>
      </c>
      <c r="T698" s="11" t="inlineStr">
        <is>
          <t>B · INTEGRANTE</t>
        </is>
      </c>
      <c r="U698" s="11" t="inlineStr">
        <is>
          <t>DEL BANCO (se hereda)</t>
        </is>
      </c>
      <c r="V698" s="11" t="inlineStr">
        <is>
          <t>9152 · INDUSTRIA Y MANUFACTURA</t>
        </is>
      </c>
      <c r="W698" s="12" t="n"/>
      <c r="X698" s="12" t="n"/>
    </row>
    <row r="699" ht="15" customHeight="1">
      <c r="C699" t="inlineStr">
        <is>
          <t>Actividad económica / giro mercantil</t>
        </is>
      </c>
      <c r="D699" t="inlineStr">
        <is>
          <t>F12</t>
        </is>
      </c>
      <c r="E699" t="inlineStr">
        <is>
          <t>INHERENTE</t>
        </is>
      </c>
      <c r="F699" t="inlineStr">
        <is>
          <t>FABRICACION DE CAJAS FUERTES</t>
        </is>
      </c>
      <c r="G699" t="n">
        <v>3599026</v>
      </c>
      <c r="H699" t="n">
        <v>1</v>
      </c>
      <c r="I699" t="n">
        <v>1</v>
      </c>
      <c r="J699" t="n">
        <v>8</v>
      </c>
      <c r="K699" t="n">
        <v>8</v>
      </c>
      <c r="L699" t="n">
        <v>8</v>
      </c>
      <c r="M699" t="n">
        <v>8</v>
      </c>
      <c r="N699" t="n">
        <v>8</v>
      </c>
      <c r="O699" t="n">
        <v>40</v>
      </c>
      <c r="P699" t="n">
        <v>8</v>
      </c>
      <c r="R699" s="9" t="n">
        <v>0.08</v>
      </c>
      <c r="S699" s="10" t="inlineStr">
        <is>
          <t>SÍ — integrante</t>
        </is>
      </c>
      <c r="T699" s="11" t="inlineStr">
        <is>
          <t>B · INTEGRANTE</t>
        </is>
      </c>
      <c r="U699" s="11" t="inlineStr">
        <is>
          <t>DEL BANCO (se hereda)</t>
        </is>
      </c>
      <c r="V699" s="11" t="inlineStr">
        <is>
          <t>9152 · INDUSTRIA Y MANUFACTURA</t>
        </is>
      </c>
      <c r="W699" s="12" t="n"/>
      <c r="X699" s="12" t="n"/>
    </row>
    <row r="700" ht="15" customHeight="1">
      <c r="C700" t="inlineStr">
        <is>
          <t>Actividad económica / giro mercantil</t>
        </is>
      </c>
      <c r="D700" t="inlineStr">
        <is>
          <t>F12</t>
        </is>
      </c>
      <c r="E700" t="inlineStr">
        <is>
          <t>INHERENTE</t>
        </is>
      </c>
      <c r="F700" t="inlineStr">
        <is>
          <t>FABRICACION DE CIERRES AUTOMATICOS DE METAL</t>
        </is>
      </c>
      <c r="G700" t="n">
        <v>3599034</v>
      </c>
      <c r="H700" t="n">
        <v>1</v>
      </c>
      <c r="I700" t="n">
        <v>1</v>
      </c>
      <c r="J700" t="n">
        <v>8</v>
      </c>
      <c r="K700" t="n">
        <v>8</v>
      </c>
      <c r="L700" t="n">
        <v>8</v>
      </c>
      <c r="M700" t="n">
        <v>8</v>
      </c>
      <c r="N700" t="n">
        <v>8</v>
      </c>
      <c r="O700" t="n">
        <v>40</v>
      </c>
      <c r="P700" t="n">
        <v>8</v>
      </c>
      <c r="R700" s="9" t="n">
        <v>0.08</v>
      </c>
      <c r="S700" s="10" t="inlineStr">
        <is>
          <t>SÍ — integrante</t>
        </is>
      </c>
      <c r="T700" s="11" t="inlineStr">
        <is>
          <t>B · INTEGRANTE</t>
        </is>
      </c>
      <c r="U700" s="11" t="inlineStr">
        <is>
          <t>DEL BANCO (se hereda)</t>
        </is>
      </c>
      <c r="V700" s="11" t="inlineStr">
        <is>
          <t>9152 · INDUSTRIA Y MANUFACTURA</t>
        </is>
      </c>
      <c r="W700" s="12" t="n"/>
      <c r="X700" s="12" t="n"/>
    </row>
    <row r="701" ht="15" customHeight="1">
      <c r="C701" t="inlineStr">
        <is>
          <t>Actividad económica / giro mercantil</t>
        </is>
      </c>
      <c r="D701" t="inlineStr">
        <is>
          <t>F12</t>
        </is>
      </c>
      <c r="E701" t="inlineStr">
        <is>
          <t>INHERENTE</t>
        </is>
      </c>
      <c r="F701" t="inlineStr">
        <is>
          <t>FABRICACION DE ESPUELAS FRENOS Y ARNESES DE METAL</t>
        </is>
      </c>
      <c r="G701" t="n">
        <v>3599042</v>
      </c>
      <c r="H701" t="n">
        <v>1</v>
      </c>
      <c r="I701" t="n">
        <v>1</v>
      </c>
      <c r="J701" t="n">
        <v>8</v>
      </c>
      <c r="K701" t="n">
        <v>8</v>
      </c>
      <c r="L701" t="n">
        <v>8</v>
      </c>
      <c r="M701" t="n">
        <v>8</v>
      </c>
      <c r="N701" t="n">
        <v>8</v>
      </c>
      <c r="O701" t="n">
        <v>40</v>
      </c>
      <c r="P701" t="n">
        <v>8</v>
      </c>
      <c r="R701" s="9" t="n">
        <v>0.08</v>
      </c>
      <c r="S701" s="10" t="inlineStr">
        <is>
          <t>SÍ — integrante</t>
        </is>
      </c>
      <c r="T701" s="11" t="inlineStr">
        <is>
          <t>B · INTEGRANTE</t>
        </is>
      </c>
      <c r="U701" s="11" t="inlineStr">
        <is>
          <t>DEL BANCO (se hereda)</t>
        </is>
      </c>
      <c r="V701" s="11" t="inlineStr">
        <is>
          <t>9152 · INDUSTRIA Y MANUFACTURA</t>
        </is>
      </c>
      <c r="W701" s="12" t="n"/>
      <c r="X701" s="12" t="n"/>
    </row>
    <row r="702" ht="15" customHeight="1">
      <c r="C702" t="inlineStr">
        <is>
          <t>Actividad económica / giro mercantil</t>
        </is>
      </c>
      <c r="D702" t="inlineStr">
        <is>
          <t>F12</t>
        </is>
      </c>
      <c r="E702" t="inlineStr">
        <is>
          <t>INHERENTE</t>
        </is>
      </c>
      <c r="F702" t="inlineStr">
        <is>
          <t>FABRICACION DE HEBILLAS DE METAL</t>
        </is>
      </c>
      <c r="G702" t="n">
        <v>3599050</v>
      </c>
      <c r="H702" t="n">
        <v>1</v>
      </c>
      <c r="I702" t="n">
        <v>1</v>
      </c>
      <c r="J702" t="n">
        <v>8</v>
      </c>
      <c r="K702" t="n">
        <v>8</v>
      </c>
      <c r="L702" t="n">
        <v>8</v>
      </c>
      <c r="M702" t="n">
        <v>8</v>
      </c>
      <c r="N702" t="n">
        <v>8</v>
      </c>
      <c r="O702" t="n">
        <v>40</v>
      </c>
      <c r="P702" t="n">
        <v>8</v>
      </c>
      <c r="R702" s="9" t="n">
        <v>0.08</v>
      </c>
      <c r="S702" s="10" t="inlineStr">
        <is>
          <t>SÍ — integrante</t>
        </is>
      </c>
      <c r="T702" s="11" t="inlineStr">
        <is>
          <t>B · INTEGRANTE</t>
        </is>
      </c>
      <c r="U702" s="11" t="inlineStr">
        <is>
          <t>DEL BANCO (se hereda)</t>
        </is>
      </c>
      <c r="V702" s="11" t="inlineStr">
        <is>
          <t>9152 · INDUSTRIA Y MANUFACTURA</t>
        </is>
      </c>
      <c r="W702" s="12" t="n"/>
      <c r="X702" s="12" t="n"/>
    </row>
    <row r="703" ht="15" customHeight="1">
      <c r="C703" t="inlineStr">
        <is>
          <t>Actividad económica / giro mercantil</t>
        </is>
      </c>
      <c r="D703" t="inlineStr">
        <is>
          <t>F12</t>
        </is>
      </c>
      <c r="E703" t="inlineStr">
        <is>
          <t>INHERENTE</t>
        </is>
      </c>
      <c r="F703" t="inlineStr">
        <is>
          <t>FABRICACION DE HOJAS PARA RASURAR</t>
        </is>
      </c>
      <c r="G703" t="n">
        <v>3599068</v>
      </c>
      <c r="H703" t="n">
        <v>1</v>
      </c>
      <c r="I703" t="n">
        <v>1</v>
      </c>
      <c r="J703" t="n">
        <v>8</v>
      </c>
      <c r="K703" t="n">
        <v>8</v>
      </c>
      <c r="L703" t="n">
        <v>8</v>
      </c>
      <c r="M703" t="n">
        <v>8</v>
      </c>
      <c r="N703" t="n">
        <v>8</v>
      </c>
      <c r="O703" t="n">
        <v>40</v>
      </c>
      <c r="P703" t="n">
        <v>8</v>
      </c>
      <c r="R703" s="9" t="n">
        <v>0.08</v>
      </c>
      <c r="S703" s="10" t="inlineStr">
        <is>
          <t>SÍ — integrante</t>
        </is>
      </c>
      <c r="T703" s="11" t="inlineStr">
        <is>
          <t>B · INTEGRANTE</t>
        </is>
      </c>
      <c r="U703" s="11" t="inlineStr">
        <is>
          <t>DEL BANCO (se hereda)</t>
        </is>
      </c>
      <c r="V703" s="11" t="inlineStr">
        <is>
          <t>9152 · INDUSTRIA Y MANUFACTURA</t>
        </is>
      </c>
      <c r="W703" s="12" t="n"/>
      <c r="X703" s="12" t="n"/>
    </row>
    <row r="704" ht="15" customHeight="1">
      <c r="C704" t="inlineStr">
        <is>
          <t>Actividad económica / giro mercantil</t>
        </is>
      </c>
      <c r="D704" t="inlineStr">
        <is>
          <t>F12</t>
        </is>
      </c>
      <c r="E704" t="inlineStr">
        <is>
          <t>INHERENTE</t>
        </is>
      </c>
      <c r="F704" t="inlineStr">
        <is>
          <t>FABRICACION DE OJILLOS DE METAL</t>
        </is>
      </c>
      <c r="G704" t="n">
        <v>3599076</v>
      </c>
      <c r="H704" t="n">
        <v>1</v>
      </c>
      <c r="I704" t="n">
        <v>1</v>
      </c>
      <c r="J704" t="n">
        <v>8</v>
      </c>
      <c r="K704" t="n">
        <v>8</v>
      </c>
      <c r="L704" t="n">
        <v>8</v>
      </c>
      <c r="M704" t="n">
        <v>8</v>
      </c>
      <c r="N704" t="n">
        <v>8</v>
      </c>
      <c r="O704" t="n">
        <v>40</v>
      </c>
      <c r="P704" t="n">
        <v>8</v>
      </c>
      <c r="R704" s="9" t="n">
        <v>0.08</v>
      </c>
      <c r="S704" s="10" t="inlineStr">
        <is>
          <t>SÍ — integrante</t>
        </is>
      </c>
      <c r="T704" s="11" t="inlineStr">
        <is>
          <t>B · INTEGRANTE</t>
        </is>
      </c>
      <c r="U704" s="11" t="inlineStr">
        <is>
          <t>DEL BANCO (se hereda)</t>
        </is>
      </c>
      <c r="V704" s="11" t="inlineStr">
        <is>
          <t>9152 · INDUSTRIA Y MANUFACTURA</t>
        </is>
      </c>
      <c r="W704" s="12" t="n"/>
      <c r="X704" s="12" t="n"/>
    </row>
    <row r="705" ht="15" customHeight="1">
      <c r="C705" t="inlineStr">
        <is>
          <t>Actividad económica / giro mercantil</t>
        </is>
      </c>
      <c r="D705" t="inlineStr">
        <is>
          <t>F12</t>
        </is>
      </c>
      <c r="E705" t="inlineStr">
        <is>
          <t>INHERENTE</t>
        </is>
      </c>
      <c r="F705" t="inlineStr">
        <is>
          <t>FABRICACION DE OTROS ARTICULOS DE LATON</t>
        </is>
      </c>
      <c r="G705" t="n">
        <v>3599084</v>
      </c>
      <c r="H705" t="n">
        <v>1</v>
      </c>
      <c r="I705" t="n">
        <v>1</v>
      </c>
      <c r="J705" t="n">
        <v>8</v>
      </c>
      <c r="K705" t="n">
        <v>8</v>
      </c>
      <c r="L705" t="n">
        <v>8</v>
      </c>
      <c r="M705" t="n">
        <v>8</v>
      </c>
      <c r="N705" t="n">
        <v>8</v>
      </c>
      <c r="O705" t="n">
        <v>40</v>
      </c>
      <c r="P705" t="n">
        <v>8</v>
      </c>
      <c r="R705" s="9" t="n">
        <v>0.08</v>
      </c>
      <c r="S705" s="10" t="inlineStr">
        <is>
          <t>SÍ — integrante</t>
        </is>
      </c>
      <c r="T705" s="11" t="inlineStr">
        <is>
          <t>B · INTEGRANTE</t>
        </is>
      </c>
      <c r="U705" s="11" t="inlineStr">
        <is>
          <t>DEL BANCO (se hereda)</t>
        </is>
      </c>
      <c r="V705" s="11" t="inlineStr">
        <is>
          <t>9152 · INDUSTRIA Y MANUFACTURA</t>
        </is>
      </c>
      <c r="W705" s="12" t="n"/>
      <c r="X705" s="12" t="n"/>
    </row>
    <row r="706" ht="15" customHeight="1">
      <c r="C706" t="inlineStr">
        <is>
          <t>Actividad económica / giro mercantil</t>
        </is>
      </c>
      <c r="D706" t="inlineStr">
        <is>
          <t>F12</t>
        </is>
      </c>
      <c r="E706" t="inlineStr">
        <is>
          <t>INHERENTE</t>
        </is>
      </c>
      <c r="F706" t="inlineStr">
        <is>
          <t>FABRICACION DE OTROS ARTICULOS DE METAL NO CLASIFICADOS EN OTRA PARTE</t>
        </is>
      </c>
      <c r="G706" t="n">
        <v>3599092</v>
      </c>
      <c r="H706" t="n">
        <v>1</v>
      </c>
      <c r="I706" t="n">
        <v>1</v>
      </c>
      <c r="J706" t="n">
        <v>8</v>
      </c>
      <c r="K706" t="n">
        <v>8</v>
      </c>
      <c r="L706" t="n">
        <v>8</v>
      </c>
      <c r="M706" t="n">
        <v>8</v>
      </c>
      <c r="N706" t="n">
        <v>8</v>
      </c>
      <c r="O706" t="n">
        <v>40</v>
      </c>
      <c r="P706" t="n">
        <v>8</v>
      </c>
      <c r="R706" s="9" t="n">
        <v>0.08</v>
      </c>
      <c r="S706" s="10" t="inlineStr">
        <is>
          <t>SÍ — integrante</t>
        </is>
      </c>
      <c r="T706" s="11" t="inlineStr">
        <is>
          <t>B · INTEGRANTE</t>
        </is>
      </c>
      <c r="U706" s="11" t="inlineStr">
        <is>
          <t>DEL BANCO (se hereda)</t>
        </is>
      </c>
      <c r="V706" s="11" t="inlineStr">
        <is>
          <t>9152 · INDUSTRIA Y MANUFACTURA</t>
        </is>
      </c>
      <c r="W706" s="12" t="n"/>
      <c r="X706" s="12" t="n"/>
    </row>
    <row r="707" ht="15" customHeight="1">
      <c r="C707" t="inlineStr">
        <is>
          <t>Actividad económica / giro mercantil</t>
        </is>
      </c>
      <c r="D707" t="inlineStr">
        <is>
          <t>F12</t>
        </is>
      </c>
      <c r="E707" t="inlineStr">
        <is>
          <t>INHERENTE</t>
        </is>
      </c>
      <c r="F707" t="inlineStr">
        <is>
          <t>FABRICACION DE PASADORES Y HORQUILLAS</t>
        </is>
      </c>
      <c r="G707" t="n">
        <v>3599109</v>
      </c>
      <c r="H707" t="n">
        <v>1</v>
      </c>
      <c r="I707" t="n">
        <v>1</v>
      </c>
      <c r="J707" t="n">
        <v>8</v>
      </c>
      <c r="K707" t="n">
        <v>8</v>
      </c>
      <c r="L707" t="n">
        <v>8</v>
      </c>
      <c r="M707" t="n">
        <v>8</v>
      </c>
      <c r="N707" t="n">
        <v>8</v>
      </c>
      <c r="O707" t="n">
        <v>40</v>
      </c>
      <c r="P707" t="n">
        <v>8</v>
      </c>
      <c r="R707" s="9" t="n">
        <v>0.08</v>
      </c>
      <c r="S707" s="10" t="inlineStr">
        <is>
          <t>SÍ — integrante</t>
        </is>
      </c>
      <c r="T707" s="11" t="inlineStr">
        <is>
          <t>B · INTEGRANTE</t>
        </is>
      </c>
      <c r="U707" s="11" t="inlineStr">
        <is>
          <t>DEL BANCO (se hereda)</t>
        </is>
      </c>
      <c r="V707" s="11" t="inlineStr">
        <is>
          <t>9152 · INDUSTRIA Y MANUFACTURA</t>
        </is>
      </c>
      <c r="W707" s="12" t="n"/>
      <c r="X707" s="12" t="n"/>
    </row>
    <row r="708" ht="15" customHeight="1">
      <c r="C708" t="inlineStr">
        <is>
          <t>Actividad económica / giro mercantil</t>
        </is>
      </c>
      <c r="D708" t="inlineStr">
        <is>
          <t>F12</t>
        </is>
      </c>
      <c r="E708" t="inlineStr">
        <is>
          <t>INHERENTE</t>
        </is>
      </c>
      <c r="F708" t="inlineStr">
        <is>
          <t>FABRICACION DE PLANCHAS INDUSTRIALES</t>
        </is>
      </c>
      <c r="G708" t="n">
        <v>3599117</v>
      </c>
      <c r="H708" t="n">
        <v>1</v>
      </c>
      <c r="I708" t="n">
        <v>1</v>
      </c>
      <c r="J708" t="n">
        <v>8</v>
      </c>
      <c r="K708" t="n">
        <v>8</v>
      </c>
      <c r="L708" t="n">
        <v>8</v>
      </c>
      <c r="M708" t="n">
        <v>8</v>
      </c>
      <c r="N708" t="n">
        <v>8</v>
      </c>
      <c r="O708" t="n">
        <v>40</v>
      </c>
      <c r="P708" t="n">
        <v>8</v>
      </c>
      <c r="R708" s="9" t="n">
        <v>0.08</v>
      </c>
      <c r="S708" s="10" t="inlineStr">
        <is>
          <t>SÍ — integrante</t>
        </is>
      </c>
      <c r="T708" s="11" t="inlineStr">
        <is>
          <t>B · INTEGRANTE</t>
        </is>
      </c>
      <c r="U708" s="11" t="inlineStr">
        <is>
          <t>DEL BANCO (se hereda)</t>
        </is>
      </c>
      <c r="V708" s="11" t="inlineStr">
        <is>
          <t>9152 · INDUSTRIA Y MANUFACTURA</t>
        </is>
      </c>
      <c r="W708" s="12" t="n"/>
      <c r="X708" s="12" t="n"/>
    </row>
    <row r="709" ht="15" customHeight="1">
      <c r="C709" t="inlineStr">
        <is>
          <t>Actividad económica / giro mercantil</t>
        </is>
      </c>
      <c r="D709" t="inlineStr">
        <is>
          <t>F12</t>
        </is>
      </c>
      <c r="E709" t="inlineStr">
        <is>
          <t>INHERENTE</t>
        </is>
      </c>
      <c r="F709" t="inlineStr">
        <is>
          <t>FABRICACION DE TAPONES DE METAL</t>
        </is>
      </c>
      <c r="G709" t="n">
        <v>3599125</v>
      </c>
      <c r="H709" t="n">
        <v>1</v>
      </c>
      <c r="I709" t="n">
        <v>1</v>
      </c>
      <c r="J709" t="n">
        <v>8</v>
      </c>
      <c r="K709" t="n">
        <v>8</v>
      </c>
      <c r="L709" t="n">
        <v>8</v>
      </c>
      <c r="M709" t="n">
        <v>8</v>
      </c>
      <c r="N709" t="n">
        <v>8</v>
      </c>
      <c r="O709" t="n">
        <v>40</v>
      </c>
      <c r="P709" t="n">
        <v>8</v>
      </c>
      <c r="R709" s="9" t="n">
        <v>0.08</v>
      </c>
      <c r="S709" s="10" t="inlineStr">
        <is>
          <t>SÍ — integrante</t>
        </is>
      </c>
      <c r="T709" s="11" t="inlineStr">
        <is>
          <t>B · INTEGRANTE</t>
        </is>
      </c>
      <c r="U709" s="11" t="inlineStr">
        <is>
          <t>DEL BANCO (se hereda)</t>
        </is>
      </c>
      <c r="V709" s="11" t="inlineStr">
        <is>
          <t>9152 · INDUSTRIA Y MANUFACTURA</t>
        </is>
      </c>
      <c r="W709" s="12" t="n"/>
      <c r="X709" s="12" t="n"/>
    </row>
    <row r="710" ht="15" customHeight="1">
      <c r="C710" t="inlineStr">
        <is>
          <t>Actividad económica / giro mercantil</t>
        </is>
      </c>
      <c r="D710" t="inlineStr">
        <is>
          <t>F12</t>
        </is>
      </c>
      <c r="E710" t="inlineStr">
        <is>
          <t>INHERENTE</t>
        </is>
      </c>
      <c r="F710" t="inlineStr">
        <is>
          <t>FABRICACION DE TROQUELES</t>
        </is>
      </c>
      <c r="G710" t="n">
        <v>3599133</v>
      </c>
      <c r="H710" t="n">
        <v>1</v>
      </c>
      <c r="I710" t="n">
        <v>1</v>
      </c>
      <c r="J710" t="n">
        <v>8</v>
      </c>
      <c r="K710" t="n">
        <v>8</v>
      </c>
      <c r="L710" t="n">
        <v>8</v>
      </c>
      <c r="M710" t="n">
        <v>8</v>
      </c>
      <c r="N710" t="n">
        <v>8</v>
      </c>
      <c r="O710" t="n">
        <v>40</v>
      </c>
      <c r="P710" t="n">
        <v>8</v>
      </c>
      <c r="R710" s="9" t="n">
        <v>0.08</v>
      </c>
      <c r="S710" s="10" t="inlineStr">
        <is>
          <t>SÍ — integrante</t>
        </is>
      </c>
      <c r="T710" s="11" t="inlineStr">
        <is>
          <t>B · INTEGRANTE</t>
        </is>
      </c>
      <c r="U710" s="11" t="inlineStr">
        <is>
          <t>DEL BANCO (se hereda)</t>
        </is>
      </c>
      <c r="V710" s="11" t="inlineStr">
        <is>
          <t>9152 · INDUSTRIA Y MANUFACTURA</t>
        </is>
      </c>
      <c r="W710" s="12" t="n"/>
      <c r="X710" s="12" t="n"/>
    </row>
    <row r="711" ht="15" customHeight="1">
      <c r="C711" t="inlineStr">
        <is>
          <t>Actividad económica / giro mercantil</t>
        </is>
      </c>
      <c r="D711" t="inlineStr">
        <is>
          <t>F12</t>
        </is>
      </c>
      <c r="E711" t="inlineStr">
        <is>
          <t>INHERENTE</t>
        </is>
      </c>
      <c r="F711" t="inlineStr">
        <is>
          <t>FABRICACIÓN, ENSAMBLE Y REPARACIÓN DE MAQUINARIA, EQUIPO Y SUS PARTES; EXCEPTO LOS ELÉCTRICOS</t>
        </is>
      </c>
      <c r="G711" t="n">
        <v>3600005</v>
      </c>
      <c r="H711" t="n">
        <v>1</v>
      </c>
      <c r="I711" t="n">
        <v>1</v>
      </c>
      <c r="J711" t="n">
        <v>8</v>
      </c>
      <c r="K711" t="n">
        <v>8</v>
      </c>
      <c r="L711" t="n">
        <v>8</v>
      </c>
      <c r="M711" t="n">
        <v>8</v>
      </c>
      <c r="N711" t="n">
        <v>8</v>
      </c>
      <c r="O711" t="n">
        <v>40</v>
      </c>
      <c r="P711" t="n">
        <v>8</v>
      </c>
      <c r="R711" s="9" t="n">
        <v>0.08</v>
      </c>
      <c r="S711" s="10" t="inlineStr">
        <is>
          <t>SÍ — integrante</t>
        </is>
      </c>
      <c r="T711" s="11" t="inlineStr">
        <is>
          <t>B · INTEGRANTE</t>
        </is>
      </c>
      <c r="U711" s="11" t="inlineStr">
        <is>
          <t>DEL BANCO (se hereda)</t>
        </is>
      </c>
      <c r="V711" s="11" t="inlineStr">
        <is>
          <t>9152 · INDUSTRIA Y MANUFACTURA</t>
        </is>
      </c>
      <c r="W711" s="12" t="n"/>
      <c r="X711" s="12" t="n"/>
    </row>
    <row r="712" ht="15" customHeight="1">
      <c r="C712" t="inlineStr">
        <is>
          <t>Actividad económica / giro mercantil</t>
        </is>
      </c>
      <c r="D712" t="inlineStr">
        <is>
          <t>F12</t>
        </is>
      </c>
      <c r="E712" t="inlineStr">
        <is>
          <t>INHERENTE</t>
        </is>
      </c>
      <c r="F712" t="inlineStr">
        <is>
          <t>FABRICACION ENSAMBLE Y REPARACION DE VEHICULOS DE USO AGROPECUARIO</t>
        </is>
      </c>
      <c r="G712" t="n">
        <v>3611010</v>
      </c>
      <c r="H712" t="n">
        <v>5</v>
      </c>
      <c r="I712" t="n">
        <v>5</v>
      </c>
      <c r="J712" t="n">
        <v>8</v>
      </c>
      <c r="K712" t="n">
        <v>40</v>
      </c>
      <c r="L712" t="n">
        <v>40</v>
      </c>
      <c r="M712" t="n">
        <v>40</v>
      </c>
      <c r="N712" t="n">
        <v>40</v>
      </c>
      <c r="O712" t="n">
        <v>40</v>
      </c>
      <c r="P712" t="n">
        <v>8</v>
      </c>
      <c r="Q712" t="inlineStr">
        <is>
          <t>DETERMINANTE</t>
        </is>
      </c>
      <c r="R712" s="9" t="n">
        <v>0.08</v>
      </c>
      <c r="S712" s="10" t="inlineStr">
        <is>
          <t>SÍ — integrante</t>
        </is>
      </c>
      <c r="T712" s="11" t="inlineStr">
        <is>
          <t>B · INTEGRANTE</t>
        </is>
      </c>
      <c r="U712" s="11" t="inlineStr">
        <is>
          <t>DEL BANCO (se hereda)</t>
        </is>
      </c>
      <c r="V712" s="11" t="inlineStr">
        <is>
          <t>9152 · INDUSTRIA Y MANUFACTURA</t>
        </is>
      </c>
      <c r="W712" s="12" t="n"/>
      <c r="X712" s="12" t="n"/>
    </row>
    <row r="713" ht="15" customHeight="1">
      <c r="C713" t="inlineStr">
        <is>
          <t>Actividad económica / giro mercantil</t>
        </is>
      </c>
      <c r="D713" t="inlineStr">
        <is>
          <t>F12</t>
        </is>
      </c>
      <c r="E713" t="inlineStr">
        <is>
          <t>INHERENTE</t>
        </is>
      </c>
      <c r="F713" t="inlineStr">
        <is>
          <t>FABRICACION DE MAQUINARIA E IMPLEMENTOS AGRICOLAS</t>
        </is>
      </c>
      <c r="G713" t="n">
        <v>3611028</v>
      </c>
      <c r="H713" t="n">
        <v>1</v>
      </c>
      <c r="I713" t="n">
        <v>1</v>
      </c>
      <c r="J713" t="n">
        <v>8</v>
      </c>
      <c r="K713" t="n">
        <v>8</v>
      </c>
      <c r="L713" t="n">
        <v>8</v>
      </c>
      <c r="M713" t="n">
        <v>8</v>
      </c>
      <c r="N713" t="n">
        <v>8</v>
      </c>
      <c r="O713" t="n">
        <v>40</v>
      </c>
      <c r="P713" t="n">
        <v>8</v>
      </c>
      <c r="R713" s="9" t="n">
        <v>0.08</v>
      </c>
      <c r="S713" s="10" t="inlineStr">
        <is>
          <t>SÍ — integrante</t>
        </is>
      </c>
      <c r="T713" s="11" t="inlineStr">
        <is>
          <t>B · INTEGRANTE</t>
        </is>
      </c>
      <c r="U713" s="11" t="inlineStr">
        <is>
          <t>DEL BANCO (se hereda)</t>
        </is>
      </c>
      <c r="V713" s="11" t="inlineStr">
        <is>
          <t>9152 · INDUSTRIA Y MANUFACTURA</t>
        </is>
      </c>
      <c r="W713" s="12" t="n"/>
      <c r="X713" s="12" t="n"/>
    </row>
    <row r="714" ht="15" customHeight="1">
      <c r="C714" t="inlineStr">
        <is>
          <t>Actividad económica / giro mercantil</t>
        </is>
      </c>
      <c r="D714" t="inlineStr">
        <is>
          <t>F12</t>
        </is>
      </c>
      <c r="E714" t="inlineStr">
        <is>
          <t>INHERENTE</t>
        </is>
      </c>
      <c r="F714" t="inlineStr">
        <is>
          <t>FABRICACION DE HERRAMIENTAS DE METAL</t>
        </is>
      </c>
      <c r="G714" t="n">
        <v>3621019</v>
      </c>
      <c r="H714" t="n">
        <v>1</v>
      </c>
      <c r="I714" t="n">
        <v>1</v>
      </c>
      <c r="J714" t="n">
        <v>8</v>
      </c>
      <c r="K714" t="n">
        <v>8</v>
      </c>
      <c r="L714" t="n">
        <v>8</v>
      </c>
      <c r="M714" t="n">
        <v>8</v>
      </c>
      <c r="N714" t="n">
        <v>8</v>
      </c>
      <c r="O714" t="n">
        <v>40</v>
      </c>
      <c r="P714" t="n">
        <v>8</v>
      </c>
      <c r="R714" s="9" t="n">
        <v>0.08</v>
      </c>
      <c r="S714" s="10" t="inlineStr">
        <is>
          <t>SÍ — integrante</t>
        </is>
      </c>
      <c r="T714" s="11" t="inlineStr">
        <is>
          <t>B · INTEGRANTE</t>
        </is>
      </c>
      <c r="U714" s="11" t="inlineStr">
        <is>
          <t>DEL BANCO (se hereda)</t>
        </is>
      </c>
      <c r="V714" s="11" t="inlineStr">
        <is>
          <t>9152 · INDUSTRIA Y MANUFACTURA</t>
        </is>
      </c>
      <c r="W714" s="12" t="n"/>
      <c r="X714" s="12" t="n"/>
    </row>
    <row r="715" ht="15" customHeight="1">
      <c r="C715" t="inlineStr">
        <is>
          <t>Actividad económica / giro mercantil</t>
        </is>
      </c>
      <c r="D715" t="inlineStr">
        <is>
          <t>F12</t>
        </is>
      </c>
      <c r="E715" t="inlineStr">
        <is>
          <t>INHERENTE</t>
        </is>
      </c>
      <c r="F715" t="inlineStr">
        <is>
          <t>FABRICACION DE REFACCIONES Y MAQUINARIA INDUSTRIAL</t>
        </is>
      </c>
      <c r="G715" t="n">
        <v>3621027</v>
      </c>
      <c r="H715" t="n">
        <v>1</v>
      </c>
      <c r="I715" t="n">
        <v>1</v>
      </c>
      <c r="J715" t="n">
        <v>8</v>
      </c>
      <c r="K715" t="n">
        <v>8</v>
      </c>
      <c r="L715" t="n">
        <v>8</v>
      </c>
      <c r="M715" t="n">
        <v>8</v>
      </c>
      <c r="N715" t="n">
        <v>8</v>
      </c>
      <c r="O715" t="n">
        <v>40</v>
      </c>
      <c r="P715" t="n">
        <v>8</v>
      </c>
      <c r="R715" s="9" t="n">
        <v>0.08</v>
      </c>
      <c r="S715" s="10" t="inlineStr">
        <is>
          <t>SÍ — integrante</t>
        </is>
      </c>
      <c r="T715" s="11" t="inlineStr">
        <is>
          <t>B · INTEGRANTE</t>
        </is>
      </c>
      <c r="U715" s="11" t="inlineStr">
        <is>
          <t>DEL BANCO (se hereda)</t>
        </is>
      </c>
      <c r="V715" s="11" t="inlineStr">
        <is>
          <t>9152 · INDUSTRIA Y MANUFACTURA</t>
        </is>
      </c>
      <c r="W715" s="12" t="n"/>
      <c r="X715" s="12" t="n"/>
    </row>
    <row r="716" ht="15" customHeight="1">
      <c r="C716" t="inlineStr">
        <is>
          <t>Actividad económica / giro mercantil</t>
        </is>
      </c>
      <c r="D716" t="inlineStr">
        <is>
          <t>F12</t>
        </is>
      </c>
      <c r="E716" t="inlineStr">
        <is>
          <t>INHERENTE</t>
        </is>
      </c>
      <c r="F716" t="inlineStr">
        <is>
          <t>FABRICACION ENSAMBLE Y REPARACION DE MAQUINARIA Y EQUIPO PARA LA INDUSTRIA DE ALIMENTOS Y BEBIDAS</t>
        </is>
      </c>
      <c r="G716" t="n">
        <v>3631018</v>
      </c>
      <c r="H716" t="n">
        <v>1</v>
      </c>
      <c r="I716" t="n">
        <v>1</v>
      </c>
      <c r="J716" t="n">
        <v>8</v>
      </c>
      <c r="K716" t="n">
        <v>8</v>
      </c>
      <c r="L716" t="n">
        <v>8</v>
      </c>
      <c r="M716" t="n">
        <v>8</v>
      </c>
      <c r="N716" t="n">
        <v>8</v>
      </c>
      <c r="O716" t="n">
        <v>40</v>
      </c>
      <c r="P716" t="n">
        <v>8</v>
      </c>
      <c r="R716" s="9" t="n">
        <v>0.08</v>
      </c>
      <c r="S716" s="10" t="inlineStr">
        <is>
          <t>SÍ — integrante</t>
        </is>
      </c>
      <c r="T716" s="11" t="inlineStr">
        <is>
          <t>B · INTEGRANTE</t>
        </is>
      </c>
      <c r="U716" s="11" t="inlineStr">
        <is>
          <t>DEL BANCO (se hereda)</t>
        </is>
      </c>
      <c r="V716" s="11" t="inlineStr">
        <is>
          <t>9152 · INDUSTRIA Y MANUFACTURA</t>
        </is>
      </c>
      <c r="W716" s="12" t="n"/>
      <c r="X716" s="12" t="n"/>
    </row>
    <row r="717" ht="15" customHeight="1">
      <c r="C717" t="inlineStr">
        <is>
          <t>Actividad económica / giro mercantil</t>
        </is>
      </c>
      <c r="D717" t="inlineStr">
        <is>
          <t>F12</t>
        </is>
      </c>
      <c r="E717" t="inlineStr">
        <is>
          <t>INHERENTE</t>
        </is>
      </c>
      <c r="F717" t="inlineStr">
        <is>
          <t>FABRICACION ENSAMBLE Y REPARACION DE MAQUINARIA EQUIPO Y TRACTORES PARA LAS INDUSTRIAS EXTRACTIVAS Y DE LA CONSTRUCCION</t>
        </is>
      </c>
      <c r="G717" t="n">
        <v>3632016</v>
      </c>
      <c r="H717" t="n">
        <v>1</v>
      </c>
      <c r="I717" t="n">
        <v>1</v>
      </c>
      <c r="J717" t="n">
        <v>8</v>
      </c>
      <c r="K717" t="n">
        <v>8</v>
      </c>
      <c r="L717" t="n">
        <v>8</v>
      </c>
      <c r="M717" t="n">
        <v>8</v>
      </c>
      <c r="N717" t="n">
        <v>8</v>
      </c>
      <c r="O717" t="n">
        <v>40</v>
      </c>
      <c r="P717" t="n">
        <v>8</v>
      </c>
      <c r="R717" s="9" t="n">
        <v>0.08</v>
      </c>
      <c r="S717" s="10" t="inlineStr">
        <is>
          <t>SÍ — integrante</t>
        </is>
      </c>
      <c r="T717" s="11" t="inlineStr">
        <is>
          <t>B · INTEGRANTE</t>
        </is>
      </c>
      <c r="U717" s="11" t="inlineStr">
        <is>
          <t>DEL BANCO (se hereda)</t>
        </is>
      </c>
      <c r="V717" s="11" t="inlineStr">
        <is>
          <t>9117 · INMOBILIARIO / CONSTRUCCIÓN</t>
        </is>
      </c>
      <c r="W717" s="12" t="n"/>
      <c r="X717" s="12" t="n"/>
    </row>
    <row r="718" ht="15" customHeight="1">
      <c r="C718" t="inlineStr">
        <is>
          <t>Actividad económica / giro mercantil</t>
        </is>
      </c>
      <c r="D718" t="inlineStr">
        <is>
          <t>F12</t>
        </is>
      </c>
      <c r="E718" t="inlineStr">
        <is>
          <t>INHERENTE</t>
        </is>
      </c>
      <c r="F718" t="inlineStr">
        <is>
          <t>FABRICACION DE MOLINOS PARA GRANOS</t>
        </is>
      </c>
      <c r="G718" t="n">
        <v>3639012</v>
      </c>
      <c r="H718" t="n">
        <v>1</v>
      </c>
      <c r="I718" t="n">
        <v>1</v>
      </c>
      <c r="J718" t="n">
        <v>8</v>
      </c>
      <c r="K718" t="n">
        <v>8</v>
      </c>
      <c r="L718" t="n">
        <v>8</v>
      </c>
      <c r="M718" t="n">
        <v>8</v>
      </c>
      <c r="N718" t="n">
        <v>8</v>
      </c>
      <c r="O718" t="n">
        <v>40</v>
      </c>
      <c r="P718" t="n">
        <v>8</v>
      </c>
      <c r="R718" s="9" t="n">
        <v>0.08</v>
      </c>
      <c r="S718" s="10" t="inlineStr">
        <is>
          <t>SÍ — integrante</t>
        </is>
      </c>
      <c r="T718" s="11" t="inlineStr">
        <is>
          <t>B · INTEGRANTE</t>
        </is>
      </c>
      <c r="U718" s="11" t="inlineStr">
        <is>
          <t>DEL BANCO (se hereda)</t>
        </is>
      </c>
      <c r="V718" s="11" t="inlineStr">
        <is>
          <t>9152 · INDUSTRIA Y MANUFACTURA</t>
        </is>
      </c>
      <c r="W718" s="12" t="n"/>
      <c r="X718" s="12" t="n"/>
    </row>
    <row r="719" ht="15" customHeight="1">
      <c r="C719" t="inlineStr">
        <is>
          <t>Actividad económica / giro mercantil</t>
        </is>
      </c>
      <c r="D719" t="inlineStr">
        <is>
          <t>F12</t>
        </is>
      </c>
      <c r="E719" t="inlineStr">
        <is>
          <t>INHERENTE</t>
        </is>
      </c>
      <c r="F719" t="inlineStr">
        <is>
          <t>USUARIOS MENORES FABRICACION MAQUINARIA Y ARTICULOS ELECTRICOS</t>
        </is>
      </c>
      <c r="G719" t="n">
        <v>3639905</v>
      </c>
      <c r="H719" t="n">
        <v>1</v>
      </c>
      <c r="I719" t="n">
        <v>1</v>
      </c>
      <c r="J719" t="n">
        <v>8</v>
      </c>
      <c r="K719" t="n">
        <v>8</v>
      </c>
      <c r="L719" t="n">
        <v>8</v>
      </c>
      <c r="M719" t="n">
        <v>8</v>
      </c>
      <c r="N719" t="n">
        <v>8</v>
      </c>
      <c r="O719" t="n">
        <v>40</v>
      </c>
      <c r="P719" t="n">
        <v>8</v>
      </c>
      <c r="R719" s="9" t="n">
        <v>0.08</v>
      </c>
      <c r="S719" s="10" t="inlineStr">
        <is>
          <t>SÍ — integrante</t>
        </is>
      </c>
      <c r="T719" s="11" t="inlineStr">
        <is>
          <t>B · INTEGRANTE</t>
        </is>
      </c>
      <c r="U719" s="11" t="inlineStr">
        <is>
          <t>DEL BANCO (se hereda)</t>
        </is>
      </c>
      <c r="V719" s="11" t="inlineStr">
        <is>
          <t>9152 · INDUSTRIA Y MANUFACTURA</t>
        </is>
      </c>
      <c r="W719" s="12" t="n"/>
      <c r="X719" s="12" t="n"/>
    </row>
    <row r="720" ht="15" customHeight="1">
      <c r="C720" t="inlineStr">
        <is>
          <t>Actividad económica / giro mercantil</t>
        </is>
      </c>
      <c r="D720" t="inlineStr">
        <is>
          <t>F12</t>
        </is>
      </c>
      <c r="E720" t="inlineStr">
        <is>
          <t>INHERENTE</t>
        </is>
      </c>
      <c r="F720" t="inlineStr">
        <is>
          <t>CARTERA DE FABRICACION DE MAQUINARIA Y ARTICULOS E</t>
        </is>
      </c>
      <c r="G720" t="n">
        <v>3639913</v>
      </c>
      <c r="H720" t="n">
        <v>2</v>
      </c>
      <c r="I720" t="n">
        <v>2</v>
      </c>
      <c r="J720" t="n">
        <v>8</v>
      </c>
      <c r="K720" t="n">
        <v>16</v>
      </c>
      <c r="L720" t="n">
        <v>16</v>
      </c>
      <c r="M720" t="n">
        <v>16</v>
      </c>
      <c r="N720" t="n">
        <v>16</v>
      </c>
      <c r="O720" t="n">
        <v>40</v>
      </c>
      <c r="P720" t="n">
        <v>8</v>
      </c>
      <c r="R720" s="9" t="n">
        <v>0.08</v>
      </c>
      <c r="S720" s="10" t="inlineStr">
        <is>
          <t>SÍ — integrante</t>
        </is>
      </c>
      <c r="T720" s="11" t="inlineStr">
        <is>
          <t>B · INTEGRANTE</t>
        </is>
      </c>
      <c r="U720" s="11" t="inlineStr">
        <is>
          <t>DEL BANCO (se hereda)</t>
        </is>
      </c>
      <c r="V720" s="11" t="inlineStr">
        <is>
          <t>9152 · INDUSTRIA Y MANUFACTURA</t>
        </is>
      </c>
      <c r="W720" s="12" t="n"/>
      <c r="X720" s="12" t="n"/>
    </row>
    <row r="721" ht="15" customHeight="1">
      <c r="C721" t="inlineStr">
        <is>
          <t>Actividad económica / giro mercantil</t>
        </is>
      </c>
      <c r="D721" t="inlineStr">
        <is>
          <t>F12</t>
        </is>
      </c>
      <c r="E721" t="inlineStr">
        <is>
          <t>INHERENTE</t>
        </is>
      </c>
      <c r="F721" t="inlineStr">
        <is>
          <t>FABRICACION DE MAQUINAS CALCULADORAS REGISTRADORAS Y DE ESCRIBIR</t>
        </is>
      </c>
      <c r="G721" t="n">
        <v>3641017</v>
      </c>
      <c r="H721" t="n">
        <v>1</v>
      </c>
      <c r="I721" t="n">
        <v>1</v>
      </c>
      <c r="J721" t="n">
        <v>8</v>
      </c>
      <c r="K721" t="n">
        <v>8</v>
      </c>
      <c r="L721" t="n">
        <v>8</v>
      </c>
      <c r="M721" t="n">
        <v>8</v>
      </c>
      <c r="N721" t="n">
        <v>8</v>
      </c>
      <c r="O721" t="n">
        <v>40</v>
      </c>
      <c r="P721" t="n">
        <v>8</v>
      </c>
      <c r="R721" s="9" t="n">
        <v>0.08</v>
      </c>
      <c r="S721" s="10" t="inlineStr">
        <is>
          <t>SÍ — integrante</t>
        </is>
      </c>
      <c r="T721" s="11" t="inlineStr">
        <is>
          <t>B · INTEGRANTE</t>
        </is>
      </c>
      <c r="U721" s="11" t="inlineStr">
        <is>
          <t>DEL BANCO (se hereda)</t>
        </is>
      </c>
      <c r="V721" s="11" t="inlineStr">
        <is>
          <t>9152 · INDUSTRIA Y MANUFACTURA</t>
        </is>
      </c>
      <c r="W721" s="12" t="n"/>
      <c r="X721" s="12" t="n"/>
    </row>
    <row r="722" ht="15" customHeight="1">
      <c r="C722" t="inlineStr">
        <is>
          <t>Actividad económica / giro mercantil</t>
        </is>
      </c>
      <c r="D722" t="inlineStr">
        <is>
          <t>F12</t>
        </is>
      </c>
      <c r="E722" t="inlineStr">
        <is>
          <t>INHERENTE</t>
        </is>
      </c>
      <c r="F722" t="inlineStr">
        <is>
          <t>FABRICACION DE EQUIPO DE PROCESAMIENTO ELECTRONICO DE DATOS</t>
        </is>
      </c>
      <c r="G722" t="n">
        <v>3641025</v>
      </c>
      <c r="H722" t="n">
        <v>1</v>
      </c>
      <c r="I722" t="n">
        <v>1</v>
      </c>
      <c r="J722" t="n">
        <v>8</v>
      </c>
      <c r="K722" t="n">
        <v>8</v>
      </c>
      <c r="L722" t="n">
        <v>8</v>
      </c>
      <c r="M722" t="n">
        <v>8</v>
      </c>
      <c r="N722" t="n">
        <v>8</v>
      </c>
      <c r="O722" t="n">
        <v>40</v>
      </c>
      <c r="P722" t="n">
        <v>8</v>
      </c>
      <c r="R722" s="9" t="n">
        <v>0.08</v>
      </c>
      <c r="S722" s="10" t="inlineStr">
        <is>
          <t>SÍ — integrante</t>
        </is>
      </c>
      <c r="T722" s="11" t="inlineStr">
        <is>
          <t>B · INTEGRANTE</t>
        </is>
      </c>
      <c r="U722" s="11" t="inlineStr">
        <is>
          <t>DEL BANCO (se hereda)</t>
        </is>
      </c>
      <c r="V722" s="11" t="inlineStr">
        <is>
          <t>9152 · INDUSTRIA Y MANUFACTURA</t>
        </is>
      </c>
      <c r="W722" s="12" t="n"/>
      <c r="X722" s="12" t="n"/>
    </row>
    <row r="723" ht="15" customHeight="1">
      <c r="C723" t="inlineStr">
        <is>
          <t>Actividad económica / giro mercantil</t>
        </is>
      </c>
      <c r="D723" t="inlineStr">
        <is>
          <t>F12</t>
        </is>
      </c>
      <c r="E723" t="inlineStr">
        <is>
          <t>INHERENTE</t>
        </is>
      </c>
      <c r="F723" t="inlineStr">
        <is>
          <t>FABRICACION DE MAQUINAS DE COSER</t>
        </is>
      </c>
      <c r="G723" t="n">
        <v>3691012</v>
      </c>
      <c r="H723" t="n">
        <v>1</v>
      </c>
      <c r="I723" t="n">
        <v>1</v>
      </c>
      <c r="J723" t="n">
        <v>8</v>
      </c>
      <c r="K723" t="n">
        <v>8</v>
      </c>
      <c r="L723" t="n">
        <v>8</v>
      </c>
      <c r="M723" t="n">
        <v>8</v>
      </c>
      <c r="N723" t="n">
        <v>8</v>
      </c>
      <c r="O723" t="n">
        <v>40</v>
      </c>
      <c r="P723" t="n">
        <v>8</v>
      </c>
      <c r="R723" s="9" t="n">
        <v>0.08</v>
      </c>
      <c r="S723" s="10" t="inlineStr">
        <is>
          <t>SÍ — integrante</t>
        </is>
      </c>
      <c r="T723" s="11" t="inlineStr">
        <is>
          <t>B · INTEGRANTE</t>
        </is>
      </c>
      <c r="U723" s="11" t="inlineStr">
        <is>
          <t>DEL BANCO (se hereda)</t>
        </is>
      </c>
      <c r="V723" s="11" t="inlineStr">
        <is>
          <t>9152 · INDUSTRIA Y MANUFACTURA</t>
        </is>
      </c>
      <c r="W723" s="12" t="n"/>
      <c r="X723" s="12" t="n"/>
    </row>
    <row r="724" ht="15" customHeight="1">
      <c r="C724" t="inlineStr">
        <is>
          <t>Actividad económica / giro mercantil</t>
        </is>
      </c>
      <c r="D724" t="inlineStr">
        <is>
          <t>F12</t>
        </is>
      </c>
      <c r="E724" t="inlineStr">
        <is>
          <t>INHERENTE</t>
        </is>
      </c>
      <c r="F724" t="inlineStr">
        <is>
          <t>FABRICACION ENSAMBLE Y REPARACION DE GRUAS MONTACARGAS Y OTRAS MAQUINAS PARA TRANSPORTAR O LEVANTAR</t>
        </is>
      </c>
      <c r="G724" t="n">
        <v>3692010</v>
      </c>
      <c r="H724" t="n">
        <v>1</v>
      </c>
      <c r="I724" t="n">
        <v>1</v>
      </c>
      <c r="J724" t="n">
        <v>8</v>
      </c>
      <c r="K724" t="n">
        <v>8</v>
      </c>
      <c r="L724" t="n">
        <v>8</v>
      </c>
      <c r="M724" t="n">
        <v>8</v>
      </c>
      <c r="N724" t="n">
        <v>8</v>
      </c>
      <c r="O724" t="n">
        <v>40</v>
      </c>
      <c r="P724" t="n">
        <v>8</v>
      </c>
      <c r="R724" s="9" t="n">
        <v>0.08</v>
      </c>
      <c r="S724" s="10" t="inlineStr">
        <is>
          <t>SÍ — integrante</t>
        </is>
      </c>
      <c r="T724" s="11" t="inlineStr">
        <is>
          <t>B · INTEGRANTE</t>
        </is>
      </c>
      <c r="U724" s="11" t="inlineStr">
        <is>
          <t>DEL BANCO (se hereda)</t>
        </is>
      </c>
      <c r="V724" s="11" t="inlineStr">
        <is>
          <t>9152 · INDUSTRIA Y MANUFACTURA</t>
        </is>
      </c>
      <c r="W724" s="12" t="n"/>
      <c r="X724" s="12" t="n"/>
    </row>
    <row r="725" ht="15" customHeight="1">
      <c r="C725" t="inlineStr">
        <is>
          <t>Actividad económica / giro mercantil</t>
        </is>
      </c>
      <c r="D725" t="inlineStr">
        <is>
          <t>F12</t>
        </is>
      </c>
      <c r="E725" t="inlineStr">
        <is>
          <t>INHERENTE</t>
        </is>
      </c>
      <c r="F725" t="inlineStr">
        <is>
          <t>FABRICACION ENSAMBLE Y REPARACION DE MOTORES NO ELECTRICOS EXCEPTO PARA VEHICULOS AUTOMOVILES</t>
        </is>
      </c>
      <c r="G725" t="n">
        <v>3693018</v>
      </c>
      <c r="H725" t="n">
        <v>1</v>
      </c>
      <c r="I725" t="n">
        <v>1</v>
      </c>
      <c r="J725" t="n">
        <v>8</v>
      </c>
      <c r="K725" t="n">
        <v>8</v>
      </c>
      <c r="L725" t="n">
        <v>8</v>
      </c>
      <c r="M725" t="n">
        <v>8</v>
      </c>
      <c r="N725" t="n">
        <v>8</v>
      </c>
      <c r="O725" t="n">
        <v>40</v>
      </c>
      <c r="P725" t="n">
        <v>8</v>
      </c>
      <c r="R725" s="9" t="n">
        <v>0.08</v>
      </c>
      <c r="S725" s="10" t="inlineStr">
        <is>
          <t>SÍ — integrante</t>
        </is>
      </c>
      <c r="T725" s="11" t="inlineStr">
        <is>
          <t>B · INTEGRANTE</t>
        </is>
      </c>
      <c r="U725" s="11" t="inlineStr">
        <is>
          <t>DEL BANCO (se hereda)</t>
        </is>
      </c>
      <c r="V725" s="11" t="inlineStr">
        <is>
          <t>9152 · INDUSTRIA Y MANUFACTURA</t>
        </is>
      </c>
      <c r="W725" s="12" t="n"/>
      <c r="X725" s="12" t="n"/>
    </row>
    <row r="726" ht="15" customHeight="1">
      <c r="C726" t="inlineStr">
        <is>
          <t>Actividad económica / giro mercantil</t>
        </is>
      </c>
      <c r="D726" t="inlineStr">
        <is>
          <t>F12</t>
        </is>
      </c>
      <c r="E726" t="inlineStr">
        <is>
          <t>INHERENTE</t>
        </is>
      </c>
      <c r="F726" t="inlineStr">
        <is>
          <t>FABRICACION DE EXTINGUIDORES</t>
        </is>
      </c>
      <c r="G726" t="n">
        <v>3694016</v>
      </c>
      <c r="H726" t="n">
        <v>1</v>
      </c>
      <c r="I726" t="n">
        <v>1</v>
      </c>
      <c r="J726" t="n">
        <v>8</v>
      </c>
      <c r="K726" t="n">
        <v>8</v>
      </c>
      <c r="L726" t="n">
        <v>8</v>
      </c>
      <c r="M726" t="n">
        <v>8</v>
      </c>
      <c r="N726" t="n">
        <v>8</v>
      </c>
      <c r="O726" t="n">
        <v>40</v>
      </c>
      <c r="P726" t="n">
        <v>8</v>
      </c>
      <c r="R726" s="9" t="n">
        <v>0.08</v>
      </c>
      <c r="S726" s="10" t="inlineStr">
        <is>
          <t>SÍ — integrante</t>
        </is>
      </c>
      <c r="T726" s="11" t="inlineStr">
        <is>
          <t>B · INTEGRANTE</t>
        </is>
      </c>
      <c r="U726" s="11" t="inlineStr">
        <is>
          <t>DEL BANCO (se hereda)</t>
        </is>
      </c>
      <c r="V726" s="11" t="inlineStr">
        <is>
          <t>9152 · INDUSTRIA Y MANUFACTURA</t>
        </is>
      </c>
      <c r="W726" s="12" t="n"/>
      <c r="X726" s="12" t="n"/>
    </row>
    <row r="727" ht="15" customHeight="1">
      <c r="C727" t="inlineStr">
        <is>
          <t>Actividad económica / giro mercantil</t>
        </is>
      </c>
      <c r="D727" t="inlineStr">
        <is>
          <t>F12</t>
        </is>
      </c>
      <c r="E727" t="inlineStr">
        <is>
          <t>INHERENTE</t>
        </is>
      </c>
      <c r="F727" t="inlineStr">
        <is>
          <t>FABRICACION DE BOMBAS PARA AGUA</t>
        </is>
      </c>
      <c r="G727" t="n">
        <v>3694024</v>
      </c>
      <c r="H727" t="n">
        <v>1</v>
      </c>
      <c r="I727" t="n">
        <v>1</v>
      </c>
      <c r="J727" t="n">
        <v>8</v>
      </c>
      <c r="K727" t="n">
        <v>8</v>
      </c>
      <c r="L727" t="n">
        <v>8</v>
      </c>
      <c r="M727" t="n">
        <v>8</v>
      </c>
      <c r="N727" t="n">
        <v>8</v>
      </c>
      <c r="O727" t="n">
        <v>40</v>
      </c>
      <c r="P727" t="n">
        <v>8</v>
      </c>
      <c r="R727" s="9" t="n">
        <v>0.08</v>
      </c>
      <c r="S727" s="10" t="inlineStr">
        <is>
          <t>SÍ — integrante</t>
        </is>
      </c>
      <c r="T727" s="11" t="inlineStr">
        <is>
          <t>B · INTEGRANTE</t>
        </is>
      </c>
      <c r="U727" s="11" t="inlineStr">
        <is>
          <t>DEL BANCO (se hereda)</t>
        </is>
      </c>
      <c r="V727" s="11" t="inlineStr">
        <is>
          <t>9152 · INDUSTRIA Y MANUFACTURA</t>
        </is>
      </c>
      <c r="W727" s="12" t="n"/>
      <c r="X727" s="12" t="n"/>
    </row>
    <row r="728" ht="15" customHeight="1">
      <c r="C728" t="inlineStr">
        <is>
          <t>Actividad económica / giro mercantil</t>
        </is>
      </c>
      <c r="D728" t="inlineStr">
        <is>
          <t>F12</t>
        </is>
      </c>
      <c r="E728" t="inlineStr">
        <is>
          <t>INHERENTE</t>
        </is>
      </c>
      <c r="F728" t="inlineStr">
        <is>
          <t>FABRICACION DE VALVULAS DE METAL</t>
        </is>
      </c>
      <c r="G728" t="n">
        <v>3695014</v>
      </c>
      <c r="H728" t="n">
        <v>1</v>
      </c>
      <c r="I728" t="n">
        <v>1</v>
      </c>
      <c r="J728" t="n">
        <v>8</v>
      </c>
      <c r="K728" t="n">
        <v>8</v>
      </c>
      <c r="L728" t="n">
        <v>8</v>
      </c>
      <c r="M728" t="n">
        <v>8</v>
      </c>
      <c r="N728" t="n">
        <v>8</v>
      </c>
      <c r="O728" t="n">
        <v>40</v>
      </c>
      <c r="P728" t="n">
        <v>8</v>
      </c>
      <c r="R728" s="9" t="n">
        <v>0.08</v>
      </c>
      <c r="S728" s="10" t="inlineStr">
        <is>
          <t>SÍ — integrante</t>
        </is>
      </c>
      <c r="T728" s="11" t="inlineStr">
        <is>
          <t>B · INTEGRANTE</t>
        </is>
      </c>
      <c r="U728" s="11" t="inlineStr">
        <is>
          <t>DEL BANCO (se hereda)</t>
        </is>
      </c>
      <c r="V728" s="11" t="inlineStr">
        <is>
          <t>9152 · INDUSTRIA Y MANUFACTURA</t>
        </is>
      </c>
      <c r="W728" s="12" t="n"/>
      <c r="X728" s="12" t="n"/>
    </row>
    <row r="729" ht="15" customHeight="1">
      <c r="C729" t="inlineStr">
        <is>
          <t>Actividad económica / giro mercantil</t>
        </is>
      </c>
      <c r="D729" t="inlineStr">
        <is>
          <t>F12</t>
        </is>
      </c>
      <c r="E729" t="inlineStr">
        <is>
          <t>INHERENTE</t>
        </is>
      </c>
      <c r="F729" t="inlineStr">
        <is>
          <t>FABRICACION DE FILTROS DE METAL</t>
        </is>
      </c>
      <c r="G729" t="n">
        <v>3696012</v>
      </c>
      <c r="H729" t="n">
        <v>1</v>
      </c>
      <c r="I729" t="n">
        <v>1</v>
      </c>
      <c r="J729" t="n">
        <v>8</v>
      </c>
      <c r="K729" t="n">
        <v>8</v>
      </c>
      <c r="L729" t="n">
        <v>8</v>
      </c>
      <c r="M729" t="n">
        <v>8</v>
      </c>
      <c r="N729" t="n">
        <v>8</v>
      </c>
      <c r="O729" t="n">
        <v>40</v>
      </c>
      <c r="P729" t="n">
        <v>8</v>
      </c>
      <c r="R729" s="9" t="n">
        <v>0.08</v>
      </c>
      <c r="S729" s="10" t="inlineStr">
        <is>
          <t>SÍ — integrante</t>
        </is>
      </c>
      <c r="T729" s="11" t="inlineStr">
        <is>
          <t>B · INTEGRANTE</t>
        </is>
      </c>
      <c r="U729" s="11" t="inlineStr">
        <is>
          <t>DEL BANCO (se hereda)</t>
        </is>
      </c>
      <c r="V729" s="11" t="inlineStr">
        <is>
          <t>9152 · INDUSTRIA Y MANUFACTURA</t>
        </is>
      </c>
      <c r="W729" s="12" t="n"/>
      <c r="X729" s="12" t="n"/>
    </row>
    <row r="730" ht="15" customHeight="1">
      <c r="C730" t="inlineStr">
        <is>
          <t>Actividad económica / giro mercantil</t>
        </is>
      </c>
      <c r="D730" t="inlineStr">
        <is>
          <t>F12</t>
        </is>
      </c>
      <c r="E730" t="inlineStr">
        <is>
          <t>INHERENTE</t>
        </is>
      </c>
      <c r="F730" t="inlineStr">
        <is>
          <t>FABRICACION E INSTALACION DE EQUIPOS Y APARATOS DE AIRE ACONDICIONADO CALEFACCION Y REFRIGERACION</t>
        </is>
      </c>
      <c r="G730" t="n">
        <v>3697010</v>
      </c>
      <c r="H730" t="n">
        <v>1</v>
      </c>
      <c r="I730" t="n">
        <v>1</v>
      </c>
      <c r="J730" t="n">
        <v>8</v>
      </c>
      <c r="K730" t="n">
        <v>8</v>
      </c>
      <c r="L730" t="n">
        <v>8</v>
      </c>
      <c r="M730" t="n">
        <v>8</v>
      </c>
      <c r="N730" t="n">
        <v>8</v>
      </c>
      <c r="O730" t="n">
        <v>40</v>
      </c>
      <c r="P730" t="n">
        <v>8</v>
      </c>
      <c r="R730" s="9" t="n">
        <v>0.08</v>
      </c>
      <c r="S730" s="10" t="inlineStr">
        <is>
          <t>SÍ — integrante</t>
        </is>
      </c>
      <c r="T730" s="11" t="inlineStr">
        <is>
          <t>B · INTEGRANTE</t>
        </is>
      </c>
      <c r="U730" s="11" t="inlineStr">
        <is>
          <t>DEL BANCO (se hereda)</t>
        </is>
      </c>
      <c r="V730" s="11" t="inlineStr">
        <is>
          <t>9152 · INDUSTRIA Y MANUFACTURA</t>
        </is>
      </c>
      <c r="W730" s="12" t="n"/>
      <c r="X730" s="12" t="n"/>
    </row>
    <row r="731" ht="15" customHeight="1">
      <c r="C731" t="inlineStr">
        <is>
          <t>Actividad económica / giro mercantil</t>
        </is>
      </c>
      <c r="D731" t="inlineStr">
        <is>
          <t>F12</t>
        </is>
      </c>
      <c r="E731" t="inlineStr">
        <is>
          <t>INHERENTE</t>
        </is>
      </c>
      <c r="F731" t="inlineStr">
        <is>
          <t>FABRICACION DE ENGRANES DE METAL</t>
        </is>
      </c>
      <c r="G731" t="n">
        <v>3699016</v>
      </c>
      <c r="H731" t="n">
        <v>1</v>
      </c>
      <c r="I731" t="n">
        <v>1</v>
      </c>
      <c r="J731" t="n">
        <v>8</v>
      </c>
      <c r="K731" t="n">
        <v>8</v>
      </c>
      <c r="L731" t="n">
        <v>8</v>
      </c>
      <c r="M731" t="n">
        <v>8</v>
      </c>
      <c r="N731" t="n">
        <v>8</v>
      </c>
      <c r="O731" t="n">
        <v>40</v>
      </c>
      <c r="P731" t="n">
        <v>8</v>
      </c>
      <c r="R731" s="9" t="n">
        <v>0.08</v>
      </c>
      <c r="S731" s="10" t="inlineStr">
        <is>
          <t>SÍ — integrante</t>
        </is>
      </c>
      <c r="T731" s="11" t="inlineStr">
        <is>
          <t>B · INTEGRANTE</t>
        </is>
      </c>
      <c r="U731" s="11" t="inlineStr">
        <is>
          <t>DEL BANCO (se hereda)</t>
        </is>
      </c>
      <c r="V731" s="11" t="inlineStr">
        <is>
          <t>9152 · INDUSTRIA Y MANUFACTURA</t>
        </is>
      </c>
      <c r="W731" s="12" t="n"/>
      <c r="X731" s="12" t="n"/>
    </row>
    <row r="732" ht="15" customHeight="1">
      <c r="C732" t="inlineStr">
        <is>
          <t>Actividad económica / giro mercantil</t>
        </is>
      </c>
      <c r="D732" t="inlineStr">
        <is>
          <t>F12</t>
        </is>
      </c>
      <c r="E732" t="inlineStr">
        <is>
          <t>INHERENTE</t>
        </is>
      </c>
      <c r="F732" t="inlineStr">
        <is>
          <t>TALLER MECANICO DE FABRICACION Y REPARACION DE PARTES INDUSTRIALES</t>
        </is>
      </c>
      <c r="G732" t="n">
        <v>3699024</v>
      </c>
      <c r="H732" t="n">
        <v>1</v>
      </c>
      <c r="I732" t="n">
        <v>1</v>
      </c>
      <c r="J732" t="n">
        <v>8</v>
      </c>
      <c r="K732" t="n">
        <v>8</v>
      </c>
      <c r="L732" t="n">
        <v>8</v>
      </c>
      <c r="M732" t="n">
        <v>8</v>
      </c>
      <c r="N732" t="n">
        <v>8</v>
      </c>
      <c r="O732" t="n">
        <v>40</v>
      </c>
      <c r="P732" t="n">
        <v>8</v>
      </c>
      <c r="R732" s="9" t="n">
        <v>0.08</v>
      </c>
      <c r="S732" s="10" t="inlineStr">
        <is>
          <t>SÍ — integrante</t>
        </is>
      </c>
      <c r="T732" s="11" t="inlineStr">
        <is>
          <t>B · INTEGRANTE</t>
        </is>
      </c>
      <c r="U732" s="11" t="inlineStr">
        <is>
          <t>DEL BANCO (se hereda)</t>
        </is>
      </c>
      <c r="V732" s="11" t="inlineStr">
        <is>
          <t>9152 · INDUSTRIA Y MANUFACTURA</t>
        </is>
      </c>
      <c r="W732" s="12" t="n"/>
      <c r="X732" s="12" t="n"/>
    </row>
    <row r="733" ht="15" customHeight="1">
      <c r="C733" t="inlineStr">
        <is>
          <t>Actividad económica / giro mercantil</t>
        </is>
      </c>
      <c r="D733" t="inlineStr">
        <is>
          <t>F12</t>
        </is>
      </c>
      <c r="E733" t="inlineStr">
        <is>
          <t>INHERENTE</t>
        </is>
      </c>
      <c r="F733" t="inlineStr">
        <is>
          <t>FABRICACION DE ACCESORIOS PARA LA INDUSTRIA TEXTIL</t>
        </is>
      </c>
      <c r="G733" t="n">
        <v>3699032</v>
      </c>
      <c r="H733" t="n">
        <v>1</v>
      </c>
      <c r="I733" t="n">
        <v>1</v>
      </c>
      <c r="J733" t="n">
        <v>8</v>
      </c>
      <c r="K733" t="n">
        <v>8</v>
      </c>
      <c r="L733" t="n">
        <v>8</v>
      </c>
      <c r="M733" t="n">
        <v>8</v>
      </c>
      <c r="N733" t="n">
        <v>8</v>
      </c>
      <c r="O733" t="n">
        <v>40</v>
      </c>
      <c r="P733" t="n">
        <v>8</v>
      </c>
      <c r="R733" s="9" t="n">
        <v>0.08</v>
      </c>
      <c r="S733" s="10" t="inlineStr">
        <is>
          <t>SÍ — integrante</t>
        </is>
      </c>
      <c r="T733" s="11" t="inlineStr">
        <is>
          <t>B · INTEGRANTE</t>
        </is>
      </c>
      <c r="U733" s="11" t="inlineStr">
        <is>
          <t>DEL BANCO (se hereda)</t>
        </is>
      </c>
      <c r="V733" s="11" t="inlineStr">
        <is>
          <t>9152 · INDUSTRIA Y MANUFACTURA</t>
        </is>
      </c>
      <c r="W733" s="12" t="n"/>
      <c r="X733" s="12" t="n"/>
    </row>
    <row r="734" ht="15" customHeight="1">
      <c r="C734" t="inlineStr">
        <is>
          <t>Actividad económica / giro mercantil</t>
        </is>
      </c>
      <c r="D734" t="inlineStr">
        <is>
          <t>F12</t>
        </is>
      </c>
      <c r="E734" t="inlineStr">
        <is>
          <t>INHERENTE</t>
        </is>
      </c>
      <c r="F734" t="inlineStr">
        <is>
          <t>FABRICACIÓN Y ENSAMBLE DE MAQUINARIA, EQUIPO, APARATOS, ACCESORIOS Y ARTÍCULOS ELÉCTRICOS, ELECTRÓNICOS Y SUS PARTES</t>
        </is>
      </c>
      <c r="G734" t="n">
        <v>3700003</v>
      </c>
      <c r="H734" t="n">
        <v>1</v>
      </c>
      <c r="I734" t="n">
        <v>1</v>
      </c>
      <c r="J734" t="n">
        <v>8</v>
      </c>
      <c r="K734" t="n">
        <v>8</v>
      </c>
      <c r="L734" t="n">
        <v>8</v>
      </c>
      <c r="M734" t="n">
        <v>8</v>
      </c>
      <c r="N734" t="n">
        <v>8</v>
      </c>
      <c r="O734" t="n">
        <v>40</v>
      </c>
      <c r="P734" t="n">
        <v>8</v>
      </c>
      <c r="R734" s="9" t="n">
        <v>0.08</v>
      </c>
      <c r="S734" s="10" t="inlineStr">
        <is>
          <t>SÍ — integrante</t>
        </is>
      </c>
      <c r="T734" s="11" t="inlineStr">
        <is>
          <t>B · INTEGRANTE</t>
        </is>
      </c>
      <c r="U734" s="11" t="inlineStr">
        <is>
          <t>DEL BANCO (se hereda)</t>
        </is>
      </c>
      <c r="V734" s="11" t="inlineStr">
        <is>
          <t>9152 · INDUSTRIA Y MANUFACTURA</t>
        </is>
      </c>
      <c r="W734" s="12" t="n"/>
      <c r="X734" s="12" t="n"/>
    </row>
    <row r="735" ht="15" customHeight="1">
      <c r="C735" t="inlineStr">
        <is>
          <t>Actividad económica / giro mercantil</t>
        </is>
      </c>
      <c r="D735" t="inlineStr">
        <is>
          <t>F12</t>
        </is>
      </c>
      <c r="E735" t="inlineStr">
        <is>
          <t>INHERENTE</t>
        </is>
      </c>
      <c r="F735" t="inlineStr">
        <is>
          <t>FABRICACION ENSAMBLE Y REPARACION DE TRANSFORMADORES MOTORES Y MAQUINARIA Y EQUIPO PARA GENERACION Y UTILIZACION DE LA ENERGIA ELECTRICA</t>
        </is>
      </c>
      <c r="G735" t="n">
        <v>3711018</v>
      </c>
      <c r="H735" t="n">
        <v>1</v>
      </c>
      <c r="I735" t="n">
        <v>1</v>
      </c>
      <c r="J735" t="n">
        <v>8</v>
      </c>
      <c r="K735" t="n">
        <v>8</v>
      </c>
      <c r="L735" t="n">
        <v>8</v>
      </c>
      <c r="M735" t="n">
        <v>8</v>
      </c>
      <c r="N735" t="n">
        <v>8</v>
      </c>
      <c r="O735" t="n">
        <v>40</v>
      </c>
      <c r="P735" t="n">
        <v>8</v>
      </c>
      <c r="R735" s="9" t="n">
        <v>0.08</v>
      </c>
      <c r="S735" s="10" t="inlineStr">
        <is>
          <t>SÍ — integrante</t>
        </is>
      </c>
      <c r="T735" s="11" t="inlineStr">
        <is>
          <t>B · INTEGRANTE</t>
        </is>
      </c>
      <c r="U735" s="11" t="inlineStr">
        <is>
          <t>DEL BANCO (se hereda)</t>
        </is>
      </c>
      <c r="V735" s="11" t="inlineStr">
        <is>
          <t>9152 · INDUSTRIA Y MANUFACTURA</t>
        </is>
      </c>
      <c r="W735" s="12" t="n"/>
      <c r="X735" s="12" t="n"/>
    </row>
    <row r="736" ht="15" customHeight="1">
      <c r="C736" t="inlineStr">
        <is>
          <t>Actividad económica / giro mercantil</t>
        </is>
      </c>
      <c r="D736" t="inlineStr">
        <is>
          <t>F12</t>
        </is>
      </c>
      <c r="E736" t="inlineStr">
        <is>
          <t>INHERENTE</t>
        </is>
      </c>
      <c r="F736" t="inlineStr">
        <is>
          <t>FABRICACION DE RADIOS TOCADISCOS GRABADORAS Y TELEVISORES</t>
        </is>
      </c>
      <c r="G736" t="n">
        <v>3721017</v>
      </c>
      <c r="H736" t="n">
        <v>1</v>
      </c>
      <c r="I736" t="n">
        <v>1</v>
      </c>
      <c r="J736" t="n">
        <v>8</v>
      </c>
      <c r="K736" t="n">
        <v>8</v>
      </c>
      <c r="L736" t="n">
        <v>8</v>
      </c>
      <c r="M736" t="n">
        <v>8</v>
      </c>
      <c r="N736" t="n">
        <v>8</v>
      </c>
      <c r="O736" t="n">
        <v>40</v>
      </c>
      <c r="P736" t="n">
        <v>8</v>
      </c>
      <c r="R736" s="9" t="n">
        <v>0.08</v>
      </c>
      <c r="S736" s="10" t="inlineStr">
        <is>
          <t>SÍ — integrante</t>
        </is>
      </c>
      <c r="T736" s="11" t="inlineStr">
        <is>
          <t>B · INTEGRANTE</t>
        </is>
      </c>
      <c r="U736" s="11" t="inlineStr">
        <is>
          <t>DEL BANCO (se hereda)</t>
        </is>
      </c>
      <c r="V736" s="11" t="inlineStr">
        <is>
          <t>9152 · INDUSTRIA Y MANUFACTURA</t>
        </is>
      </c>
      <c r="W736" s="12" t="n"/>
      <c r="X736" s="12" t="n"/>
    </row>
    <row r="737" ht="15" customHeight="1">
      <c r="C737" t="inlineStr">
        <is>
          <t>Actividad económica / giro mercantil</t>
        </is>
      </c>
      <c r="D737" t="inlineStr">
        <is>
          <t>F12</t>
        </is>
      </c>
      <c r="E737" t="inlineStr">
        <is>
          <t>INHERENTE</t>
        </is>
      </c>
      <c r="F737" t="inlineStr">
        <is>
          <t>FABRICACION DE DISCOS Y CINTAS PARA GRABACIONES</t>
        </is>
      </c>
      <c r="G737" t="n">
        <v>3722015</v>
      </c>
      <c r="H737" t="n">
        <v>1</v>
      </c>
      <c r="I737" t="n">
        <v>1</v>
      </c>
      <c r="J737" t="n">
        <v>8</v>
      </c>
      <c r="K737" t="n">
        <v>8</v>
      </c>
      <c r="L737" t="n">
        <v>8</v>
      </c>
      <c r="M737" t="n">
        <v>8</v>
      </c>
      <c r="N737" t="n">
        <v>8</v>
      </c>
      <c r="O737" t="n">
        <v>40</v>
      </c>
      <c r="P737" t="n">
        <v>8</v>
      </c>
      <c r="R737" s="9" t="n">
        <v>0.08</v>
      </c>
      <c r="S737" s="10" t="inlineStr">
        <is>
          <t>SÍ — integrante</t>
        </is>
      </c>
      <c r="T737" s="11" t="inlineStr">
        <is>
          <t>B · INTEGRANTE</t>
        </is>
      </c>
      <c r="U737" s="11" t="inlineStr">
        <is>
          <t>DEL BANCO (se hereda)</t>
        </is>
      </c>
      <c r="V737" s="11" t="inlineStr">
        <is>
          <t>9152 · INDUSTRIA Y MANUFACTURA</t>
        </is>
      </c>
      <c r="W737" s="12" t="n"/>
      <c r="X737" s="12" t="n"/>
    </row>
    <row r="738" ht="15" customHeight="1">
      <c r="C738" t="inlineStr">
        <is>
          <t>Actividad económica / giro mercantil</t>
        </is>
      </c>
      <c r="D738" t="inlineStr">
        <is>
          <t>F12</t>
        </is>
      </c>
      <c r="E738" t="inlineStr">
        <is>
          <t>INHERENTE</t>
        </is>
      </c>
      <c r="F738" t="inlineStr">
        <is>
          <t>GRABACION DE DISCOS Y CINTAS</t>
        </is>
      </c>
      <c r="G738" t="n">
        <v>3722023</v>
      </c>
      <c r="H738" t="n">
        <v>1</v>
      </c>
      <c r="I738" t="n">
        <v>1</v>
      </c>
      <c r="J738" t="n">
        <v>8</v>
      </c>
      <c r="K738" t="n">
        <v>8</v>
      </c>
      <c r="L738" t="n">
        <v>8</v>
      </c>
      <c r="M738" t="n">
        <v>8</v>
      </c>
      <c r="N738" t="n">
        <v>8</v>
      </c>
      <c r="O738" t="n">
        <v>40</v>
      </c>
      <c r="P738" t="n">
        <v>8</v>
      </c>
      <c r="R738" s="9" t="n">
        <v>0.08</v>
      </c>
      <c r="S738" s="10" t="inlineStr">
        <is>
          <t>SÍ — integrante</t>
        </is>
      </c>
      <c r="T738" s="11" t="inlineStr">
        <is>
          <t>B · INTEGRANTE</t>
        </is>
      </c>
      <c r="U738" s="11" t="inlineStr">
        <is>
          <t>DEL BANCO (se hereda)</t>
        </is>
      </c>
      <c r="V738" s="11" t="inlineStr">
        <is>
          <t>9154 · OTRAS ACTIVIDADES NO CLASIFICADAS</t>
        </is>
      </c>
      <c r="W738" s="12" t="n"/>
      <c r="X738" s="12" t="n"/>
    </row>
    <row r="739" ht="15" customHeight="1">
      <c r="C739" t="inlineStr">
        <is>
          <t>Actividad económica / giro mercantil</t>
        </is>
      </c>
      <c r="D739" t="inlineStr">
        <is>
          <t>F12</t>
        </is>
      </c>
      <c r="E739" t="inlineStr">
        <is>
          <t>INHERENTE</t>
        </is>
      </c>
      <c r="F739" t="inlineStr">
        <is>
          <t>FABRICACION DE APARATOS DE INTERCOMUNICACION</t>
        </is>
      </c>
      <c r="G739" t="n">
        <v>3723013</v>
      </c>
      <c r="H739" t="n">
        <v>1</v>
      </c>
      <c r="I739" t="n">
        <v>1</v>
      </c>
      <c r="J739" t="n">
        <v>8</v>
      </c>
      <c r="K739" t="n">
        <v>8</v>
      </c>
      <c r="L739" t="n">
        <v>8</v>
      </c>
      <c r="M739" t="n">
        <v>8</v>
      </c>
      <c r="N739" t="n">
        <v>8</v>
      </c>
      <c r="O739" t="n">
        <v>40</v>
      </c>
      <c r="P739" t="n">
        <v>8</v>
      </c>
      <c r="R739" s="9" t="n">
        <v>0.08</v>
      </c>
      <c r="S739" s="10" t="inlineStr">
        <is>
          <t>SÍ — integrante</t>
        </is>
      </c>
      <c r="T739" s="11" t="inlineStr">
        <is>
          <t>B · INTEGRANTE</t>
        </is>
      </c>
      <c r="U739" s="11" t="inlineStr">
        <is>
          <t>DEL BANCO (se hereda)</t>
        </is>
      </c>
      <c r="V739" s="11" t="inlineStr">
        <is>
          <t>9152 · INDUSTRIA Y MANUFACTURA</t>
        </is>
      </c>
      <c r="W739" s="12" t="n"/>
      <c r="X739" s="12" t="n"/>
    </row>
    <row r="740" ht="15" customHeight="1">
      <c r="C740" t="inlineStr">
        <is>
          <t>Actividad económica / giro mercantil</t>
        </is>
      </c>
      <c r="D740" t="inlineStr">
        <is>
          <t>F12</t>
        </is>
      </c>
      <c r="E740" t="inlineStr">
        <is>
          <t>INHERENTE</t>
        </is>
      </c>
      <c r="F740" t="inlineStr">
        <is>
          <t>FABRICACION DE PARTES DISPOSITIVOS Y ACCESORIOS PARA EQUIPO Y APARATOS DE RADIO TELEVISION Y COMUNICACIONES</t>
        </is>
      </c>
      <c r="G740" t="n">
        <v>3729011</v>
      </c>
      <c r="H740" t="n">
        <v>1</v>
      </c>
      <c r="I740" t="n">
        <v>1</v>
      </c>
      <c r="J740" t="n">
        <v>8</v>
      </c>
      <c r="K740" t="n">
        <v>8</v>
      </c>
      <c r="L740" t="n">
        <v>8</v>
      </c>
      <c r="M740" t="n">
        <v>8</v>
      </c>
      <c r="N740" t="n">
        <v>8</v>
      </c>
      <c r="O740" t="n">
        <v>40</v>
      </c>
      <c r="P740" t="n">
        <v>8</v>
      </c>
      <c r="R740" s="9" t="n">
        <v>0.08</v>
      </c>
      <c r="S740" s="10" t="inlineStr">
        <is>
          <t>SÍ — integrante</t>
        </is>
      </c>
      <c r="T740" s="11" t="inlineStr">
        <is>
          <t>B · INTEGRANTE</t>
        </is>
      </c>
      <c r="U740" s="11" t="inlineStr">
        <is>
          <t>DEL BANCO (se hereda)</t>
        </is>
      </c>
      <c r="V740" s="11" t="inlineStr">
        <is>
          <t>9152 · INDUSTRIA Y MANUFACTURA</t>
        </is>
      </c>
      <c r="W740" s="12" t="n"/>
      <c r="X740" s="12" t="n"/>
    </row>
    <row r="741" ht="15" customHeight="1">
      <c r="C741" t="inlineStr">
        <is>
          <t>Actividad económica / giro mercantil</t>
        </is>
      </c>
      <c r="D741" t="inlineStr">
        <is>
          <t>F12</t>
        </is>
      </c>
      <c r="E741" t="inlineStr">
        <is>
          <t>INHERENTE</t>
        </is>
      </c>
      <c r="F741" t="inlineStr">
        <is>
          <t>FABRICACION DE OTROS APARATOS ELECTRICOS PARA EL HOGAR</t>
        </is>
      </c>
      <c r="G741" t="n">
        <v>3731016</v>
      </c>
      <c r="H741" t="n">
        <v>1</v>
      </c>
      <c r="I741" t="n">
        <v>1</v>
      </c>
      <c r="J741" t="n">
        <v>8</v>
      </c>
      <c r="K741" t="n">
        <v>8</v>
      </c>
      <c r="L741" t="n">
        <v>8</v>
      </c>
      <c r="M741" t="n">
        <v>8</v>
      </c>
      <c r="N741" t="n">
        <v>8</v>
      </c>
      <c r="O741" t="n">
        <v>40</v>
      </c>
      <c r="P741" t="n">
        <v>8</v>
      </c>
      <c r="R741" s="9" t="n">
        <v>0.08</v>
      </c>
      <c r="S741" s="10" t="inlineStr">
        <is>
          <t>SÍ — integrante</t>
        </is>
      </c>
      <c r="T741" s="11" t="inlineStr">
        <is>
          <t>B · INTEGRANTE</t>
        </is>
      </c>
      <c r="U741" s="11" t="inlineStr">
        <is>
          <t>DEL BANCO (se hereda)</t>
        </is>
      </c>
      <c r="V741" s="11" t="inlineStr">
        <is>
          <t>9111 · SIN ACTIVIDAD DE RIESGO / ASALARIADO</t>
        </is>
      </c>
      <c r="W741" s="12" t="n"/>
      <c r="X741" s="12" t="n"/>
    </row>
    <row r="742" ht="15" customHeight="1">
      <c r="C742" t="inlineStr">
        <is>
          <t>Actividad económica / giro mercantil</t>
        </is>
      </c>
      <c r="D742" t="inlineStr">
        <is>
          <t>F12</t>
        </is>
      </c>
      <c r="E742" t="inlineStr">
        <is>
          <t>INHERENTE</t>
        </is>
      </c>
      <c r="F742" t="inlineStr">
        <is>
          <t>FABRICACION DE REFRIGERADORES Y EQUIPOS DE CALEFACCION DOMESTICA</t>
        </is>
      </c>
      <c r="G742" t="n">
        <v>3731024</v>
      </c>
      <c r="H742" t="n">
        <v>1</v>
      </c>
      <c r="I742" t="n">
        <v>1</v>
      </c>
      <c r="J742" t="n">
        <v>8</v>
      </c>
      <c r="K742" t="n">
        <v>8</v>
      </c>
      <c r="L742" t="n">
        <v>8</v>
      </c>
      <c r="M742" t="n">
        <v>8</v>
      </c>
      <c r="N742" t="n">
        <v>8</v>
      </c>
      <c r="O742" t="n">
        <v>40</v>
      </c>
      <c r="P742" t="n">
        <v>8</v>
      </c>
      <c r="R742" s="9" t="n">
        <v>0.08</v>
      </c>
      <c r="S742" s="10" t="inlineStr">
        <is>
          <t>SÍ — integrante</t>
        </is>
      </c>
      <c r="T742" s="11" t="inlineStr">
        <is>
          <t>B · INTEGRANTE</t>
        </is>
      </c>
      <c r="U742" s="11" t="inlineStr">
        <is>
          <t>DEL BANCO (se hereda)</t>
        </is>
      </c>
      <c r="V742" s="11" t="inlineStr">
        <is>
          <t>9152 · INDUSTRIA Y MANUFACTURA</t>
        </is>
      </c>
      <c r="W742" s="12" t="n"/>
      <c r="X742" s="12" t="n"/>
    </row>
    <row r="743" ht="15" customHeight="1">
      <c r="C743" t="inlineStr">
        <is>
          <t>Actividad económica / giro mercantil</t>
        </is>
      </c>
      <c r="D743" t="inlineStr">
        <is>
          <t>F12</t>
        </is>
      </c>
      <c r="E743" t="inlineStr">
        <is>
          <t>INHERENTE</t>
        </is>
      </c>
      <c r="F743" t="inlineStr">
        <is>
          <t>FABRICACION DE ACUMULADORES</t>
        </is>
      </c>
      <c r="G743" t="n">
        <v>3791010</v>
      </c>
      <c r="H743" t="n">
        <v>1</v>
      </c>
      <c r="I743" t="n">
        <v>1</v>
      </c>
      <c r="J743" t="n">
        <v>8</v>
      </c>
      <c r="K743" t="n">
        <v>8</v>
      </c>
      <c r="L743" t="n">
        <v>8</v>
      </c>
      <c r="M743" t="n">
        <v>8</v>
      </c>
      <c r="N743" t="n">
        <v>8</v>
      </c>
      <c r="O743" t="n">
        <v>40</v>
      </c>
      <c r="P743" t="n">
        <v>8</v>
      </c>
      <c r="R743" s="9" t="n">
        <v>0.08</v>
      </c>
      <c r="S743" s="10" t="inlineStr">
        <is>
          <t>SÍ — integrante</t>
        </is>
      </c>
      <c r="T743" s="11" t="inlineStr">
        <is>
          <t>B · INTEGRANTE</t>
        </is>
      </c>
      <c r="U743" s="11" t="inlineStr">
        <is>
          <t>DEL BANCO (se hereda)</t>
        </is>
      </c>
      <c r="V743" s="11" t="inlineStr">
        <is>
          <t>9152 · INDUSTRIA Y MANUFACTURA</t>
        </is>
      </c>
      <c r="W743" s="12" t="n"/>
      <c r="X743" s="12" t="n"/>
    </row>
    <row r="744" ht="15" customHeight="1">
      <c r="C744" t="inlineStr">
        <is>
          <t>Actividad económica / giro mercantil</t>
        </is>
      </c>
      <c r="D744" t="inlineStr">
        <is>
          <t>F12</t>
        </is>
      </c>
      <c r="E744" t="inlineStr">
        <is>
          <t>INHERENTE</t>
        </is>
      </c>
      <c r="F744" t="inlineStr">
        <is>
          <t>FABRICACION DE PILAS SECAS</t>
        </is>
      </c>
      <c r="G744" t="n">
        <v>3791028</v>
      </c>
      <c r="H744" t="n">
        <v>1</v>
      </c>
      <c r="I744" t="n">
        <v>1</v>
      </c>
      <c r="J744" t="n">
        <v>8</v>
      </c>
      <c r="K744" t="n">
        <v>8</v>
      </c>
      <c r="L744" t="n">
        <v>8</v>
      </c>
      <c r="M744" t="n">
        <v>8</v>
      </c>
      <c r="N744" t="n">
        <v>8</v>
      </c>
      <c r="O744" t="n">
        <v>40</v>
      </c>
      <c r="P744" t="n">
        <v>8</v>
      </c>
      <c r="R744" s="9" t="n">
        <v>0.08</v>
      </c>
      <c r="S744" s="10" t="inlineStr">
        <is>
          <t>SÍ — integrante</t>
        </is>
      </c>
      <c r="T744" s="11" t="inlineStr">
        <is>
          <t>B · INTEGRANTE</t>
        </is>
      </c>
      <c r="U744" s="11" t="inlineStr">
        <is>
          <t>DEL BANCO (se hereda)</t>
        </is>
      </c>
      <c r="V744" s="11" t="inlineStr">
        <is>
          <t>9152 · INDUSTRIA Y MANUFACTURA</t>
        </is>
      </c>
      <c r="W744" s="12" t="n"/>
      <c r="X744" s="12" t="n"/>
    </row>
    <row r="745" ht="15" customHeight="1">
      <c r="C745" t="inlineStr">
        <is>
          <t>Actividad económica / giro mercantil</t>
        </is>
      </c>
      <c r="D745" t="inlineStr">
        <is>
          <t>F12</t>
        </is>
      </c>
      <c r="E745" t="inlineStr">
        <is>
          <t>INHERENTE</t>
        </is>
      </c>
      <c r="F745" t="inlineStr">
        <is>
          <t>FABRICACION DE FOCOS</t>
        </is>
      </c>
      <c r="G745" t="n">
        <v>3792018</v>
      </c>
      <c r="H745" t="n">
        <v>1</v>
      </c>
      <c r="I745" t="n">
        <v>1</v>
      </c>
      <c r="J745" t="n">
        <v>8</v>
      </c>
      <c r="K745" t="n">
        <v>8</v>
      </c>
      <c r="L745" t="n">
        <v>8</v>
      </c>
      <c r="M745" t="n">
        <v>8</v>
      </c>
      <c r="N745" t="n">
        <v>8</v>
      </c>
      <c r="O745" t="n">
        <v>40</v>
      </c>
      <c r="P745" t="n">
        <v>8</v>
      </c>
      <c r="R745" s="9" t="n">
        <v>0.08</v>
      </c>
      <c r="S745" s="10" t="inlineStr">
        <is>
          <t>SÍ — integrante</t>
        </is>
      </c>
      <c r="T745" s="11" t="inlineStr">
        <is>
          <t>B · INTEGRANTE</t>
        </is>
      </c>
      <c r="U745" s="11" t="inlineStr">
        <is>
          <t>DEL BANCO (se hereda)</t>
        </is>
      </c>
      <c r="V745" s="11" t="inlineStr">
        <is>
          <t>9152 · INDUSTRIA Y MANUFACTURA</t>
        </is>
      </c>
      <c r="W745" s="12" t="n"/>
      <c r="X745" s="12" t="n"/>
    </row>
    <row r="746" ht="15" customHeight="1">
      <c r="C746" t="inlineStr">
        <is>
          <t>Actividad económica / giro mercantil</t>
        </is>
      </c>
      <c r="D746" t="inlineStr">
        <is>
          <t>F12</t>
        </is>
      </c>
      <c r="E746" t="inlineStr">
        <is>
          <t>INHERENTE</t>
        </is>
      </c>
      <c r="F746" t="inlineStr">
        <is>
          <t>FABRICACION DE CABLES DE METAL</t>
        </is>
      </c>
      <c r="G746" t="n">
        <v>3793016</v>
      </c>
      <c r="H746" t="n">
        <v>1</v>
      </c>
      <c r="I746" t="n">
        <v>1</v>
      </c>
      <c r="J746" t="n">
        <v>8</v>
      </c>
      <c r="K746" t="n">
        <v>8</v>
      </c>
      <c r="L746" t="n">
        <v>8</v>
      </c>
      <c r="M746" t="n">
        <v>8</v>
      </c>
      <c r="N746" t="n">
        <v>8</v>
      </c>
      <c r="O746" t="n">
        <v>40</v>
      </c>
      <c r="P746" t="n">
        <v>8</v>
      </c>
      <c r="R746" s="9" t="n">
        <v>0.08</v>
      </c>
      <c r="S746" s="10" t="inlineStr">
        <is>
          <t>SÍ — integrante</t>
        </is>
      </c>
      <c r="T746" s="11" t="inlineStr">
        <is>
          <t>B · INTEGRANTE</t>
        </is>
      </c>
      <c r="U746" s="11" t="inlineStr">
        <is>
          <t>DEL BANCO (se hereda)</t>
        </is>
      </c>
      <c r="V746" s="11" t="inlineStr">
        <is>
          <t>9152 · INDUSTRIA Y MANUFACTURA</t>
        </is>
      </c>
      <c r="W746" s="12" t="n"/>
      <c r="X746" s="12" t="n"/>
    </row>
    <row r="747" ht="15" customHeight="1">
      <c r="C747" t="inlineStr">
        <is>
          <t>Actividad económica / giro mercantil</t>
        </is>
      </c>
      <c r="D747" t="inlineStr">
        <is>
          <t>F12</t>
        </is>
      </c>
      <c r="E747" t="inlineStr">
        <is>
          <t>INHERENTE</t>
        </is>
      </c>
      <c r="F747" t="inlineStr">
        <is>
          <t>FABRICACION DE MATERIAL PARA INSTALACIONES ELECTRICAS</t>
        </is>
      </c>
      <c r="G747" t="n">
        <v>3793024</v>
      </c>
      <c r="H747" t="n">
        <v>1</v>
      </c>
      <c r="I747" t="n">
        <v>1</v>
      </c>
      <c r="J747" t="n">
        <v>8</v>
      </c>
      <c r="K747" t="n">
        <v>8</v>
      </c>
      <c r="L747" t="n">
        <v>8</v>
      </c>
      <c r="M747" t="n">
        <v>8</v>
      </c>
      <c r="N747" t="n">
        <v>8</v>
      </c>
      <c r="O747" t="n">
        <v>40</v>
      </c>
      <c r="P747" t="n">
        <v>8</v>
      </c>
      <c r="R747" s="9" t="n">
        <v>0.08</v>
      </c>
      <c r="S747" s="10" t="inlineStr">
        <is>
          <t>SÍ — integrante</t>
        </is>
      </c>
      <c r="T747" s="11" t="inlineStr">
        <is>
          <t>B · INTEGRANTE</t>
        </is>
      </c>
      <c r="U747" s="11" t="inlineStr">
        <is>
          <t>DEL BANCO (se hereda)</t>
        </is>
      </c>
      <c r="V747" s="11" t="inlineStr">
        <is>
          <t>9152 · INDUSTRIA Y MANUFACTURA</t>
        </is>
      </c>
      <c r="W747" s="12" t="n"/>
      <c r="X747" s="12" t="n"/>
    </row>
    <row r="748" ht="15" customHeight="1">
      <c r="C748" t="inlineStr">
        <is>
          <t>Actividad económica / giro mercantil</t>
        </is>
      </c>
      <c r="D748" t="inlineStr">
        <is>
          <t>F12</t>
        </is>
      </c>
      <c r="E748" t="inlineStr">
        <is>
          <t>INHERENTE</t>
        </is>
      </c>
      <c r="F748" t="inlineStr">
        <is>
          <t>FABRICACION DE REFACCIONES PARA APARATOS ELECTRICOS</t>
        </is>
      </c>
      <c r="G748" t="n">
        <v>3793032</v>
      </c>
      <c r="H748" t="n">
        <v>1</v>
      </c>
      <c r="I748" t="n">
        <v>1</v>
      </c>
      <c r="J748" t="n">
        <v>8</v>
      </c>
      <c r="K748" t="n">
        <v>8</v>
      </c>
      <c r="L748" t="n">
        <v>8</v>
      </c>
      <c r="M748" t="n">
        <v>8</v>
      </c>
      <c r="N748" t="n">
        <v>8</v>
      </c>
      <c r="O748" t="n">
        <v>40</v>
      </c>
      <c r="P748" t="n">
        <v>8</v>
      </c>
      <c r="R748" s="9" t="n">
        <v>0.08</v>
      </c>
      <c r="S748" s="10" t="inlineStr">
        <is>
          <t>SÍ — integrante</t>
        </is>
      </c>
      <c r="T748" s="11" t="inlineStr">
        <is>
          <t>B · INTEGRANTE</t>
        </is>
      </c>
      <c r="U748" s="11" t="inlineStr">
        <is>
          <t>DEL BANCO (se hereda)</t>
        </is>
      </c>
      <c r="V748" s="11" t="inlineStr">
        <is>
          <t>9152 · INDUSTRIA Y MANUFACTURA</t>
        </is>
      </c>
      <c r="W748" s="12" t="n"/>
      <c r="X748" s="12" t="n"/>
    </row>
    <row r="749" ht="15" customHeight="1">
      <c r="C749" t="inlineStr">
        <is>
          <t>Actividad económica / giro mercantil</t>
        </is>
      </c>
      <c r="D749" t="inlineStr">
        <is>
          <t>F12</t>
        </is>
      </c>
      <c r="E749" t="inlineStr">
        <is>
          <t>INHERENTE</t>
        </is>
      </c>
      <c r="F749" t="inlineStr">
        <is>
          <t>FABRICACION DE ANUNCIOS LUMINOSOS</t>
        </is>
      </c>
      <c r="G749" t="n">
        <v>3799014</v>
      </c>
      <c r="H749" t="n">
        <v>1</v>
      </c>
      <c r="I749" t="n">
        <v>1</v>
      </c>
      <c r="J749" t="n">
        <v>8</v>
      </c>
      <c r="K749" t="n">
        <v>8</v>
      </c>
      <c r="L749" t="n">
        <v>8</v>
      </c>
      <c r="M749" t="n">
        <v>8</v>
      </c>
      <c r="N749" t="n">
        <v>8</v>
      </c>
      <c r="O749" t="n">
        <v>40</v>
      </c>
      <c r="P749" t="n">
        <v>8</v>
      </c>
      <c r="R749" s="9" t="n">
        <v>0.08</v>
      </c>
      <c r="S749" s="10" t="inlineStr">
        <is>
          <t>SÍ — integrante</t>
        </is>
      </c>
      <c r="T749" s="11" t="inlineStr">
        <is>
          <t>B · INTEGRANTE</t>
        </is>
      </c>
      <c r="U749" s="11" t="inlineStr">
        <is>
          <t>DEL BANCO (se hereda)</t>
        </is>
      </c>
      <c r="V749" s="11" t="inlineStr">
        <is>
          <t>9152 · INDUSTRIA Y MANUFACTURA</t>
        </is>
      </c>
      <c r="W749" s="12" t="n"/>
      <c r="X749" s="12" t="n"/>
    </row>
    <row r="750" ht="15" customHeight="1">
      <c r="C750" t="inlineStr">
        <is>
          <t>Actividad económica / giro mercantil</t>
        </is>
      </c>
      <c r="D750" t="inlineStr">
        <is>
          <t>F12</t>
        </is>
      </c>
      <c r="E750" t="inlineStr">
        <is>
          <t>INHERENTE</t>
        </is>
      </c>
      <c r="F750" t="inlineStr">
        <is>
          <t>FABRICACION DE CANDILES Y ARBOTANTES</t>
        </is>
      </c>
      <c r="G750" t="n">
        <v>3799022</v>
      </c>
      <c r="H750" t="n">
        <v>1</v>
      </c>
      <c r="I750" t="n">
        <v>1</v>
      </c>
      <c r="J750" t="n">
        <v>8</v>
      </c>
      <c r="K750" t="n">
        <v>8</v>
      </c>
      <c r="L750" t="n">
        <v>8</v>
      </c>
      <c r="M750" t="n">
        <v>8</v>
      </c>
      <c r="N750" t="n">
        <v>8</v>
      </c>
      <c r="O750" t="n">
        <v>40</v>
      </c>
      <c r="P750" t="n">
        <v>8</v>
      </c>
      <c r="R750" s="9" t="n">
        <v>0.08</v>
      </c>
      <c r="S750" s="10" t="inlineStr">
        <is>
          <t>SÍ — integrante</t>
        </is>
      </c>
      <c r="T750" s="11" t="inlineStr">
        <is>
          <t>B · INTEGRANTE</t>
        </is>
      </c>
      <c r="U750" s="11" t="inlineStr">
        <is>
          <t>DEL BANCO (se hereda)</t>
        </is>
      </c>
      <c r="V750" s="11" t="inlineStr">
        <is>
          <t>9152 · INDUSTRIA Y MANUFACTURA</t>
        </is>
      </c>
      <c r="W750" s="12" t="n"/>
      <c r="X750" s="12" t="n"/>
    </row>
    <row r="751" ht="15" customHeight="1">
      <c r="C751" t="inlineStr">
        <is>
          <t>Actividad económica / giro mercantil</t>
        </is>
      </c>
      <c r="D751" t="inlineStr">
        <is>
          <t>F12</t>
        </is>
      </c>
      <c r="E751" t="inlineStr">
        <is>
          <t>INHERENTE</t>
        </is>
      </c>
      <c r="F751" t="inlineStr">
        <is>
          <t>FABRICACION DE LAMPARAS ELECTRICAS</t>
        </is>
      </c>
      <c r="G751" t="n">
        <v>3799030</v>
      </c>
      <c r="H751" t="n">
        <v>1</v>
      </c>
      <c r="I751" t="n">
        <v>1</v>
      </c>
      <c r="J751" t="n">
        <v>8</v>
      </c>
      <c r="K751" t="n">
        <v>8</v>
      </c>
      <c r="L751" t="n">
        <v>8</v>
      </c>
      <c r="M751" t="n">
        <v>8</v>
      </c>
      <c r="N751" t="n">
        <v>8</v>
      </c>
      <c r="O751" t="n">
        <v>40</v>
      </c>
      <c r="P751" t="n">
        <v>8</v>
      </c>
      <c r="R751" s="9" t="n">
        <v>0.08</v>
      </c>
      <c r="S751" s="10" t="inlineStr">
        <is>
          <t>SÍ — integrante</t>
        </is>
      </c>
      <c r="T751" s="11" t="inlineStr">
        <is>
          <t>B · INTEGRANTE</t>
        </is>
      </c>
      <c r="U751" s="11" t="inlineStr">
        <is>
          <t>DEL BANCO (se hereda)</t>
        </is>
      </c>
      <c r="V751" s="11" t="inlineStr">
        <is>
          <t>9152 · INDUSTRIA Y MANUFACTURA</t>
        </is>
      </c>
      <c r="W751" s="12" t="n"/>
      <c r="X751" s="12" t="n"/>
    </row>
    <row r="752" ht="15" customHeight="1">
      <c r="C752" t="inlineStr">
        <is>
          <t>Actividad económica / giro mercantil</t>
        </is>
      </c>
      <c r="D752" t="inlineStr">
        <is>
          <t>F12</t>
        </is>
      </c>
      <c r="E752" t="inlineStr">
        <is>
          <t>INHERENTE</t>
        </is>
      </c>
      <c r="F752" t="inlineStr">
        <is>
          <t>CONSTRUCCIÓN, RECONSTRUCCIÓN Y ENSAMBLE DE EQUIPO DE TRANSPORTE Y SUS PARTES</t>
        </is>
      </c>
      <c r="G752" t="n">
        <v>3800001</v>
      </c>
      <c r="H752" t="n">
        <v>4</v>
      </c>
      <c r="I752" t="n">
        <v>4</v>
      </c>
      <c r="J752" t="n">
        <v>8</v>
      </c>
      <c r="K752" t="n">
        <v>32</v>
      </c>
      <c r="L752" t="n">
        <v>32</v>
      </c>
      <c r="M752" t="n">
        <v>32</v>
      </c>
      <c r="N752" t="n">
        <v>32</v>
      </c>
      <c r="O752" t="n">
        <v>40</v>
      </c>
      <c r="P752" t="n">
        <v>8</v>
      </c>
      <c r="R752" s="9" t="n">
        <v>0.08</v>
      </c>
      <c r="S752" s="10" t="inlineStr">
        <is>
          <t>SÍ — integrante</t>
        </is>
      </c>
      <c r="T752" s="11" t="inlineStr">
        <is>
          <t>B · INTEGRANTE</t>
        </is>
      </c>
      <c r="U752" s="11" t="inlineStr">
        <is>
          <t>DEL BANCO (se hereda)</t>
        </is>
      </c>
      <c r="V752" s="11" t="inlineStr">
        <is>
          <t>9117 · INMOBILIARIO / CONSTRUCCIÓN</t>
        </is>
      </c>
      <c r="W752" s="12" t="n"/>
      <c r="X752" s="12" t="n"/>
    </row>
    <row r="753" ht="15" customHeight="1">
      <c r="C753" t="inlineStr">
        <is>
          <t>Actividad económica / giro mercantil</t>
        </is>
      </c>
      <c r="D753" t="inlineStr">
        <is>
          <t>F12</t>
        </is>
      </c>
      <c r="E753" t="inlineStr">
        <is>
          <t>INHERENTE</t>
        </is>
      </c>
      <c r="F753" t="inlineStr">
        <is>
          <t>FABRICACION Y ENSAMBLE DE AUTOMOVILES Y CAMIONES</t>
        </is>
      </c>
      <c r="G753" t="n">
        <v>3811016</v>
      </c>
      <c r="H753" t="n">
        <v>5</v>
      </c>
      <c r="I753" t="n">
        <v>5</v>
      </c>
      <c r="J753" t="n">
        <v>8</v>
      </c>
      <c r="K753" t="n">
        <v>40</v>
      </c>
      <c r="L753" t="n">
        <v>40</v>
      </c>
      <c r="M753" t="n">
        <v>40</v>
      </c>
      <c r="N753" t="n">
        <v>40</v>
      </c>
      <c r="O753" t="n">
        <v>40</v>
      </c>
      <c r="P753" t="n">
        <v>8</v>
      </c>
      <c r="Q753" t="inlineStr">
        <is>
          <t>DETERMINANTE</t>
        </is>
      </c>
      <c r="R753" s="9" t="n">
        <v>0.08</v>
      </c>
      <c r="S753" s="10" t="inlineStr">
        <is>
          <t>SÍ — integrante</t>
        </is>
      </c>
      <c r="T753" s="11" t="inlineStr">
        <is>
          <t>B · INTEGRANTE</t>
        </is>
      </c>
      <c r="U753" s="11" t="inlineStr">
        <is>
          <t>DEL BANCO (se hereda)</t>
        </is>
      </c>
      <c r="V753" s="11" t="inlineStr">
        <is>
          <t>9152 · INDUSTRIA Y MANUFACTURA</t>
        </is>
      </c>
      <c r="W753" s="12" t="n"/>
      <c r="X753" s="12" t="n"/>
    </row>
    <row r="754" ht="15" customHeight="1">
      <c r="C754" t="inlineStr">
        <is>
          <t>Actividad económica / giro mercantil</t>
        </is>
      </c>
      <c r="D754" t="inlineStr">
        <is>
          <t>F12</t>
        </is>
      </c>
      <c r="E754" t="inlineStr">
        <is>
          <t>INHERENTE</t>
        </is>
      </c>
      <c r="F754" t="inlineStr">
        <is>
          <t>FABRICACION DE CARROCERIAS DE METAL</t>
        </is>
      </c>
      <c r="G754" t="n">
        <v>3812014</v>
      </c>
      <c r="H754" t="n">
        <v>5</v>
      </c>
      <c r="I754" t="n">
        <v>5</v>
      </c>
      <c r="J754" t="n">
        <v>8</v>
      </c>
      <c r="K754" t="n">
        <v>40</v>
      </c>
      <c r="L754" t="n">
        <v>40</v>
      </c>
      <c r="M754" t="n">
        <v>40</v>
      </c>
      <c r="N754" t="n">
        <v>40</v>
      </c>
      <c r="O754" t="n">
        <v>40</v>
      </c>
      <c r="P754" t="n">
        <v>8</v>
      </c>
      <c r="Q754" t="inlineStr">
        <is>
          <t>DETERMINANTE</t>
        </is>
      </c>
      <c r="R754" s="9" t="n">
        <v>0.08</v>
      </c>
      <c r="S754" s="10" t="inlineStr">
        <is>
          <t>SÍ — integrante</t>
        </is>
      </c>
      <c r="T754" s="11" t="inlineStr">
        <is>
          <t>B · INTEGRANTE</t>
        </is>
      </c>
      <c r="U754" s="11" t="inlineStr">
        <is>
          <t>DEL BANCO (se hereda)</t>
        </is>
      </c>
      <c r="V754" s="11" t="inlineStr">
        <is>
          <t>9152 · INDUSTRIA Y MANUFACTURA</t>
        </is>
      </c>
      <c r="W754" s="12" t="n"/>
      <c r="X754" s="12" t="n"/>
    </row>
    <row r="755" ht="15" customHeight="1">
      <c r="C755" t="inlineStr">
        <is>
          <t>Actividad económica / giro mercantil</t>
        </is>
      </c>
      <c r="D755" t="inlineStr">
        <is>
          <t>F12</t>
        </is>
      </c>
      <c r="E755" t="inlineStr">
        <is>
          <t>INHERENTE</t>
        </is>
      </c>
      <c r="F755" t="inlineStr">
        <is>
          <t>FABRICACION DE FURGONES Y VAGONES</t>
        </is>
      </c>
      <c r="G755" t="n">
        <v>3812022</v>
      </c>
      <c r="H755" t="n">
        <v>1</v>
      </c>
      <c r="I755" t="n">
        <v>1</v>
      </c>
      <c r="J755" t="n">
        <v>8</v>
      </c>
      <c r="K755" t="n">
        <v>8</v>
      </c>
      <c r="L755" t="n">
        <v>8</v>
      </c>
      <c r="M755" t="n">
        <v>8</v>
      </c>
      <c r="N755" t="n">
        <v>8</v>
      </c>
      <c r="O755" t="n">
        <v>40</v>
      </c>
      <c r="P755" t="n">
        <v>8</v>
      </c>
      <c r="R755" s="9" t="n">
        <v>0.08</v>
      </c>
      <c r="S755" s="10" t="inlineStr">
        <is>
          <t>SÍ — integrante</t>
        </is>
      </c>
      <c r="T755" s="11" t="inlineStr">
        <is>
          <t>B · INTEGRANTE</t>
        </is>
      </c>
      <c r="U755" s="11" t="inlineStr">
        <is>
          <t>DEL BANCO (se hereda)</t>
        </is>
      </c>
      <c r="V755" s="11" t="inlineStr">
        <is>
          <t>9152 · INDUSTRIA Y MANUFACTURA</t>
        </is>
      </c>
      <c r="W755" s="12" t="n"/>
      <c r="X755" s="12" t="n"/>
    </row>
    <row r="756" ht="15" customHeight="1">
      <c r="C756" t="inlineStr">
        <is>
          <t>Actividad económica / giro mercantil</t>
        </is>
      </c>
      <c r="D756" t="inlineStr">
        <is>
          <t>F12</t>
        </is>
      </c>
      <c r="E756" t="inlineStr">
        <is>
          <t>INHERENTE</t>
        </is>
      </c>
      <c r="F756" t="inlineStr">
        <is>
          <t>FABRICACION Y ENSAMBLE DE OTROS VEHICULOS</t>
        </is>
      </c>
      <c r="G756" t="n">
        <v>3812030</v>
      </c>
      <c r="H756" t="n">
        <v>5</v>
      </c>
      <c r="I756" t="n">
        <v>5</v>
      </c>
      <c r="J756" t="n">
        <v>8</v>
      </c>
      <c r="K756" t="n">
        <v>40</v>
      </c>
      <c r="L756" t="n">
        <v>40</v>
      </c>
      <c r="M756" t="n">
        <v>40</v>
      </c>
      <c r="N756" t="n">
        <v>40</v>
      </c>
      <c r="O756" t="n">
        <v>40</v>
      </c>
      <c r="P756" t="n">
        <v>8</v>
      </c>
      <c r="Q756" t="inlineStr">
        <is>
          <t>DETERMINANTE</t>
        </is>
      </c>
      <c r="R756" s="9" t="n">
        <v>0.08</v>
      </c>
      <c r="S756" s="10" t="inlineStr">
        <is>
          <t>SÍ — integrante</t>
        </is>
      </c>
      <c r="T756" s="11" t="inlineStr">
        <is>
          <t>B · INTEGRANTE</t>
        </is>
      </c>
      <c r="U756" s="11" t="inlineStr">
        <is>
          <t>DEL BANCO (se hereda)</t>
        </is>
      </c>
      <c r="V756" s="11" t="inlineStr">
        <is>
          <t>9152 · INDUSTRIA Y MANUFACTURA</t>
        </is>
      </c>
      <c r="W756" s="12" t="n"/>
      <c r="X756" s="12" t="n"/>
    </row>
    <row r="757" ht="15" customHeight="1">
      <c r="C757" t="inlineStr">
        <is>
          <t>Actividad económica / giro mercantil</t>
        </is>
      </c>
      <c r="D757" t="inlineStr">
        <is>
          <t>F12</t>
        </is>
      </c>
      <c r="E757" t="inlineStr">
        <is>
          <t>INHERENTE</t>
        </is>
      </c>
      <c r="F757" t="inlineStr">
        <is>
          <t>FABRICACION DE PISTONES BIELAS ANILLOS CIGÜEÑALES Y MONOBLOCKS PARA MOTORES</t>
        </is>
      </c>
      <c r="G757" t="n">
        <v>3813012</v>
      </c>
      <c r="H757" t="n">
        <v>1</v>
      </c>
      <c r="I757" t="n">
        <v>1</v>
      </c>
      <c r="J757" t="n">
        <v>8</v>
      </c>
      <c r="K757" t="n">
        <v>8</v>
      </c>
      <c r="L757" t="n">
        <v>8</v>
      </c>
      <c r="M757" t="n">
        <v>8</v>
      </c>
      <c r="N757" t="n">
        <v>8</v>
      </c>
      <c r="O757" t="n">
        <v>40</v>
      </c>
      <c r="P757" t="n">
        <v>8</v>
      </c>
      <c r="R757" s="9" t="n">
        <v>0.08</v>
      </c>
      <c r="S757" s="10" t="inlineStr">
        <is>
          <t>SÍ — integrante</t>
        </is>
      </c>
      <c r="T757" s="11" t="inlineStr">
        <is>
          <t>B · INTEGRANTE</t>
        </is>
      </c>
      <c r="U757" s="11" t="inlineStr">
        <is>
          <t>DEL BANCO (se hereda)</t>
        </is>
      </c>
      <c r="V757" s="11" t="inlineStr">
        <is>
          <t>9152 · INDUSTRIA Y MANUFACTURA</t>
        </is>
      </c>
      <c r="W757" s="12" t="n"/>
      <c r="X757" s="12" t="n"/>
    </row>
    <row r="758" ht="15" customHeight="1">
      <c r="C758" t="inlineStr">
        <is>
          <t>Actividad económica / giro mercantil</t>
        </is>
      </c>
      <c r="D758" t="inlineStr">
        <is>
          <t>F12</t>
        </is>
      </c>
      <c r="E758" t="inlineStr">
        <is>
          <t>INHERENTE</t>
        </is>
      </c>
      <c r="F758" t="inlineStr">
        <is>
          <t>FABRICACION DE PARTES PARA EL SISTEMA DE TRANSMISION DE VEHICULOS AUTOMOVILES</t>
        </is>
      </c>
      <c r="G758" t="n">
        <v>3814010</v>
      </c>
      <c r="H758" t="n">
        <v>1</v>
      </c>
      <c r="I758" t="n">
        <v>1</v>
      </c>
      <c r="J758" t="n">
        <v>8</v>
      </c>
      <c r="K758" t="n">
        <v>8</v>
      </c>
      <c r="L758" t="n">
        <v>8</v>
      </c>
      <c r="M758" t="n">
        <v>8</v>
      </c>
      <c r="N758" t="n">
        <v>8</v>
      </c>
      <c r="O758" t="n">
        <v>40</v>
      </c>
      <c r="P758" t="n">
        <v>8</v>
      </c>
      <c r="R758" s="9" t="n">
        <v>0.08</v>
      </c>
      <c r="S758" s="10" t="inlineStr">
        <is>
          <t>SÍ — integrante</t>
        </is>
      </c>
      <c r="T758" s="11" t="inlineStr">
        <is>
          <t>B · INTEGRANTE</t>
        </is>
      </c>
      <c r="U758" s="11" t="inlineStr">
        <is>
          <t>DEL BANCO (se hereda)</t>
        </is>
      </c>
      <c r="V758" s="11" t="inlineStr">
        <is>
          <t>9152 · INDUSTRIA Y MANUFACTURA</t>
        </is>
      </c>
      <c r="W758" s="12" t="n"/>
      <c r="X758" s="12" t="n"/>
    </row>
    <row r="759" ht="15" customHeight="1">
      <c r="C759" t="inlineStr">
        <is>
          <t>Actividad económica / giro mercantil</t>
        </is>
      </c>
      <c r="D759" t="inlineStr">
        <is>
          <t>F12</t>
        </is>
      </c>
      <c r="E759" t="inlineStr">
        <is>
          <t>INHERENTE</t>
        </is>
      </c>
      <c r="F759" t="inlineStr">
        <is>
          <t>FABRICACION DE MUELLES Y RESORTES PARA VEHICULOS</t>
        </is>
      </c>
      <c r="G759" t="n">
        <v>3815018</v>
      </c>
      <c r="H759" t="n">
        <v>1</v>
      </c>
      <c r="I759" t="n">
        <v>1</v>
      </c>
      <c r="J759" t="n">
        <v>8</v>
      </c>
      <c r="K759" t="n">
        <v>8</v>
      </c>
      <c r="L759" t="n">
        <v>8</v>
      </c>
      <c r="M759" t="n">
        <v>8</v>
      </c>
      <c r="N759" t="n">
        <v>8</v>
      </c>
      <c r="O759" t="n">
        <v>40</v>
      </c>
      <c r="P759" t="n">
        <v>8</v>
      </c>
      <c r="R759" s="9" t="n">
        <v>0.08</v>
      </c>
      <c r="S759" s="10" t="inlineStr">
        <is>
          <t>SÍ — integrante</t>
        </is>
      </c>
      <c r="T759" s="11" t="inlineStr">
        <is>
          <t>B · INTEGRANTE</t>
        </is>
      </c>
      <c r="U759" s="11" t="inlineStr">
        <is>
          <t>DEL BANCO (se hereda)</t>
        </is>
      </c>
      <c r="V759" s="11" t="inlineStr">
        <is>
          <t>9152 · INDUSTRIA Y MANUFACTURA</t>
        </is>
      </c>
      <c r="W759" s="12" t="n"/>
      <c r="X759" s="12" t="n"/>
    </row>
    <row r="760" ht="15" customHeight="1">
      <c r="C760" t="inlineStr">
        <is>
          <t>Actividad económica / giro mercantil</t>
        </is>
      </c>
      <c r="D760" t="inlineStr">
        <is>
          <t>F12</t>
        </is>
      </c>
      <c r="E760" t="inlineStr">
        <is>
          <t>INHERENTE</t>
        </is>
      </c>
      <c r="F760" t="inlineStr">
        <is>
          <t>FABRICACION DE PARTES PARA EL SISTEMA DE FRENOS DE VEHICULOS AUTOMOVILES</t>
        </is>
      </c>
      <c r="G760" t="n">
        <v>3816016</v>
      </c>
      <c r="H760" t="n">
        <v>1</v>
      </c>
      <c r="I760" t="n">
        <v>1</v>
      </c>
      <c r="J760" t="n">
        <v>8</v>
      </c>
      <c r="K760" t="n">
        <v>8</v>
      </c>
      <c r="L760" t="n">
        <v>8</v>
      </c>
      <c r="M760" t="n">
        <v>8</v>
      </c>
      <c r="N760" t="n">
        <v>8</v>
      </c>
      <c r="O760" t="n">
        <v>40</v>
      </c>
      <c r="P760" t="n">
        <v>8</v>
      </c>
      <c r="R760" s="9" t="n">
        <v>0.08</v>
      </c>
      <c r="S760" s="10" t="inlineStr">
        <is>
          <t>SÍ — integrante</t>
        </is>
      </c>
      <c r="T760" s="11" t="inlineStr">
        <is>
          <t>B · INTEGRANTE</t>
        </is>
      </c>
      <c r="U760" s="11" t="inlineStr">
        <is>
          <t>DEL BANCO (se hereda)</t>
        </is>
      </c>
      <c r="V760" s="11" t="inlineStr">
        <is>
          <t>9152 · INDUSTRIA Y MANUFACTURA</t>
        </is>
      </c>
      <c r="W760" s="12" t="n"/>
      <c r="X760" s="12" t="n"/>
    </row>
    <row r="761" ht="15" customHeight="1">
      <c r="C761" t="inlineStr">
        <is>
          <t>Actividad económica / giro mercantil</t>
        </is>
      </c>
      <c r="D761" t="inlineStr">
        <is>
          <t>F12</t>
        </is>
      </c>
      <c r="E761" t="inlineStr">
        <is>
          <t>INHERENTE</t>
        </is>
      </c>
      <c r="F761" t="inlineStr">
        <is>
          <t>FABRICACION DE BUJIAS</t>
        </is>
      </c>
      <c r="G761" t="n">
        <v>3817014</v>
      </c>
      <c r="H761" t="n">
        <v>1</v>
      </c>
      <c r="I761" t="n">
        <v>1</v>
      </c>
      <c r="J761" t="n">
        <v>8</v>
      </c>
      <c r="K761" t="n">
        <v>8</v>
      </c>
      <c r="L761" t="n">
        <v>8</v>
      </c>
      <c r="M761" t="n">
        <v>8</v>
      </c>
      <c r="N761" t="n">
        <v>8</v>
      </c>
      <c r="O761" t="n">
        <v>40</v>
      </c>
      <c r="P761" t="n">
        <v>8</v>
      </c>
      <c r="R761" s="9" t="n">
        <v>0.08</v>
      </c>
      <c r="S761" s="10" t="inlineStr">
        <is>
          <t>SÍ — integrante</t>
        </is>
      </c>
      <c r="T761" s="11" t="inlineStr">
        <is>
          <t>B · INTEGRANTE</t>
        </is>
      </c>
      <c r="U761" s="11" t="inlineStr">
        <is>
          <t>DEL BANCO (se hereda)</t>
        </is>
      </c>
      <c r="V761" s="11" t="inlineStr">
        <is>
          <t>9152 · INDUSTRIA Y MANUFACTURA</t>
        </is>
      </c>
      <c r="W761" s="12" t="n"/>
      <c r="X761" s="12" t="n"/>
    </row>
    <row r="762" ht="15" customHeight="1">
      <c r="C762" t="inlineStr">
        <is>
          <t>Actividad económica / giro mercantil</t>
        </is>
      </c>
      <c r="D762" t="inlineStr">
        <is>
          <t>F12</t>
        </is>
      </c>
      <c r="E762" t="inlineStr">
        <is>
          <t>INHERENTE</t>
        </is>
      </c>
      <c r="F762" t="inlineStr">
        <is>
          <t>FABRICACION DE REFACCIONES Y ACCESORIOS AUTOMOTRICES</t>
        </is>
      </c>
      <c r="G762" t="n">
        <v>3819010</v>
      </c>
      <c r="H762" t="n">
        <v>1</v>
      </c>
      <c r="I762" t="n">
        <v>1</v>
      </c>
      <c r="J762" t="n">
        <v>8</v>
      </c>
      <c r="K762" t="n">
        <v>8</v>
      </c>
      <c r="L762" t="n">
        <v>8</v>
      </c>
      <c r="M762" t="n">
        <v>8</v>
      </c>
      <c r="N762" t="n">
        <v>8</v>
      </c>
      <c r="O762" t="n">
        <v>40</v>
      </c>
      <c r="P762" t="n">
        <v>8</v>
      </c>
      <c r="R762" s="9" t="n">
        <v>0.08</v>
      </c>
      <c r="S762" s="10" t="inlineStr">
        <is>
          <t>SÍ — integrante</t>
        </is>
      </c>
      <c r="T762" s="11" t="inlineStr">
        <is>
          <t>B · INTEGRANTE</t>
        </is>
      </c>
      <c r="U762" s="11" t="inlineStr">
        <is>
          <t>DEL BANCO (se hereda)</t>
        </is>
      </c>
      <c r="V762" s="11" t="inlineStr">
        <is>
          <t>9152 · INDUSTRIA Y MANUFACTURA</t>
        </is>
      </c>
      <c r="W762" s="12" t="n"/>
      <c r="X762" s="12" t="n"/>
    </row>
    <row r="763" ht="15" customHeight="1">
      <c r="C763" t="inlineStr">
        <is>
          <t>Actividad económica / giro mercantil</t>
        </is>
      </c>
      <c r="D763" t="inlineStr">
        <is>
          <t>F12</t>
        </is>
      </c>
      <c r="E763" t="inlineStr">
        <is>
          <t>INHERENTE</t>
        </is>
      </c>
      <c r="F763" t="inlineStr">
        <is>
          <t>FABRICACION ENSAMBLE Y REPARACION DE CARROS DE FERROCARRIL Y OTRO EQUIPO FERROVIARIO</t>
        </is>
      </c>
      <c r="G763" t="n">
        <v>3821015</v>
      </c>
      <c r="H763" t="n">
        <v>1</v>
      </c>
      <c r="I763" t="n">
        <v>1</v>
      </c>
      <c r="J763" t="n">
        <v>8</v>
      </c>
      <c r="K763" t="n">
        <v>8</v>
      </c>
      <c r="L763" t="n">
        <v>8</v>
      </c>
      <c r="M763" t="n">
        <v>8</v>
      </c>
      <c r="N763" t="n">
        <v>8</v>
      </c>
      <c r="O763" t="n">
        <v>40</v>
      </c>
      <c r="P763" t="n">
        <v>8</v>
      </c>
      <c r="R763" s="9" t="n">
        <v>0.08</v>
      </c>
      <c r="S763" s="10" t="inlineStr">
        <is>
          <t>SÍ — integrante</t>
        </is>
      </c>
      <c r="T763" s="11" t="inlineStr">
        <is>
          <t>B · INTEGRANTE</t>
        </is>
      </c>
      <c r="U763" s="11" t="inlineStr">
        <is>
          <t>DEL BANCO (se hereda)</t>
        </is>
      </c>
      <c r="V763" s="11" t="inlineStr">
        <is>
          <t>9152 · INDUSTRIA Y MANUFACTURA</t>
        </is>
      </c>
      <c r="W763" s="12" t="n"/>
      <c r="X763" s="12" t="n"/>
    </row>
    <row r="764" ht="15" customHeight="1">
      <c r="C764" t="inlineStr">
        <is>
          <t>Actividad económica / giro mercantil</t>
        </is>
      </c>
      <c r="D764" t="inlineStr">
        <is>
          <t>F12</t>
        </is>
      </c>
      <c r="E764" t="inlineStr">
        <is>
          <t>INHERENTE</t>
        </is>
      </c>
      <c r="F764" t="inlineStr">
        <is>
          <t>FABRICACION Y REPARACION DE BUQUES Y BARCOS</t>
        </is>
      </c>
      <c r="G764" t="n">
        <v>3831014</v>
      </c>
      <c r="H764" t="n">
        <v>1</v>
      </c>
      <c r="I764" t="n">
        <v>1</v>
      </c>
      <c r="J764" t="n">
        <v>8</v>
      </c>
      <c r="K764" t="n">
        <v>8</v>
      </c>
      <c r="L764" t="n">
        <v>8</v>
      </c>
      <c r="M764" t="n">
        <v>8</v>
      </c>
      <c r="N764" t="n">
        <v>8</v>
      </c>
      <c r="O764" t="n">
        <v>40</v>
      </c>
      <c r="P764" t="n">
        <v>8</v>
      </c>
      <c r="R764" s="9" t="n">
        <v>0.08</v>
      </c>
      <c r="S764" s="10" t="inlineStr">
        <is>
          <t>SÍ — integrante</t>
        </is>
      </c>
      <c r="T764" s="11" t="inlineStr">
        <is>
          <t>B · INTEGRANTE</t>
        </is>
      </c>
      <c r="U764" s="11" t="inlineStr">
        <is>
          <t>DEL BANCO (se hereda)</t>
        </is>
      </c>
      <c r="V764" s="11" t="inlineStr">
        <is>
          <t>9152 · INDUSTRIA Y MANUFACTURA</t>
        </is>
      </c>
      <c r="W764" s="12" t="n"/>
      <c r="X764" s="12" t="n"/>
    </row>
    <row r="765" ht="15" customHeight="1">
      <c r="C765" t="inlineStr">
        <is>
          <t>Actividad económica / giro mercantil</t>
        </is>
      </c>
      <c r="D765" t="inlineStr">
        <is>
          <t>F12</t>
        </is>
      </c>
      <c r="E765" t="inlineStr">
        <is>
          <t>INHERENTE</t>
        </is>
      </c>
      <c r="F765" t="inlineStr">
        <is>
          <t>FABRICACION Y REPARACION DE OTROS VEHICULOS ACUATICOS</t>
        </is>
      </c>
      <c r="G765" t="n">
        <v>3831022</v>
      </c>
      <c r="H765" t="n">
        <v>1</v>
      </c>
      <c r="I765" t="n">
        <v>1</v>
      </c>
      <c r="J765" t="n">
        <v>8</v>
      </c>
      <c r="K765" t="n">
        <v>8</v>
      </c>
      <c r="L765" t="n">
        <v>8</v>
      </c>
      <c r="M765" t="n">
        <v>8</v>
      </c>
      <c r="N765" t="n">
        <v>8</v>
      </c>
      <c r="O765" t="n">
        <v>40</v>
      </c>
      <c r="P765" t="n">
        <v>8</v>
      </c>
      <c r="R765" s="9" t="n">
        <v>0.08</v>
      </c>
      <c r="S765" s="10" t="inlineStr">
        <is>
          <t>SÍ — integrante</t>
        </is>
      </c>
      <c r="T765" s="11" t="inlineStr">
        <is>
          <t>B · INTEGRANTE</t>
        </is>
      </c>
      <c r="U765" s="11" t="inlineStr">
        <is>
          <t>DEL BANCO (se hereda)</t>
        </is>
      </c>
      <c r="V765" s="11" t="inlineStr">
        <is>
          <t>9152 · INDUSTRIA Y MANUFACTURA</t>
        </is>
      </c>
      <c r="W765" s="12" t="n"/>
      <c r="X765" s="12" t="n"/>
    </row>
    <row r="766" ht="15" customHeight="1">
      <c r="C766" t="inlineStr">
        <is>
          <t>Actividad económica / giro mercantil</t>
        </is>
      </c>
      <c r="D766" t="inlineStr">
        <is>
          <t>F12</t>
        </is>
      </c>
      <c r="E766" t="inlineStr">
        <is>
          <t>INHERENTE</t>
        </is>
      </c>
      <c r="F766" t="inlineStr">
        <is>
          <t>FABRICACION ENSAMBLE Y REPARACION DE AERONAVES</t>
        </is>
      </c>
      <c r="G766" t="n">
        <v>3832012</v>
      </c>
      <c r="H766" t="n">
        <v>1</v>
      </c>
      <c r="I766" t="n">
        <v>1</v>
      </c>
      <c r="J766" t="n">
        <v>8</v>
      </c>
      <c r="K766" t="n">
        <v>8</v>
      </c>
      <c r="L766" t="n">
        <v>8</v>
      </c>
      <c r="M766" t="n">
        <v>8</v>
      </c>
      <c r="N766" t="n">
        <v>8</v>
      </c>
      <c r="O766" t="n">
        <v>40</v>
      </c>
      <c r="P766" t="n">
        <v>8</v>
      </c>
      <c r="R766" s="9" t="n">
        <v>0.08</v>
      </c>
      <c r="S766" s="10" t="inlineStr">
        <is>
          <t>SÍ — integrante</t>
        </is>
      </c>
      <c r="T766" s="11" t="inlineStr">
        <is>
          <t>B · INTEGRANTE</t>
        </is>
      </c>
      <c r="U766" s="11" t="inlineStr">
        <is>
          <t>DEL BANCO (se hereda)</t>
        </is>
      </c>
      <c r="V766" s="11" t="inlineStr">
        <is>
          <t>9152 · INDUSTRIA Y MANUFACTURA</t>
        </is>
      </c>
      <c r="W766" s="12" t="n"/>
      <c r="X766" s="12" t="n"/>
    </row>
    <row r="767" ht="15" customHeight="1">
      <c r="C767" t="inlineStr">
        <is>
          <t>Actividad económica / giro mercantil</t>
        </is>
      </c>
      <c r="D767" t="inlineStr">
        <is>
          <t>F12</t>
        </is>
      </c>
      <c r="E767" t="inlineStr">
        <is>
          <t>INHERENTE</t>
        </is>
      </c>
      <c r="F767" t="inlineStr">
        <is>
          <t>FABRICACION Y ENSAMBLE DE MOTOCICLETAS BICICLETAS Y OTROS VEHICULOS DE PEDAL</t>
        </is>
      </c>
      <c r="G767" t="n">
        <v>3891018</v>
      </c>
      <c r="H767" t="n">
        <v>1</v>
      </c>
      <c r="I767" t="n">
        <v>1</v>
      </c>
      <c r="J767" t="n">
        <v>8</v>
      </c>
      <c r="K767" t="n">
        <v>8</v>
      </c>
      <c r="L767" t="n">
        <v>8</v>
      </c>
      <c r="M767" t="n">
        <v>8</v>
      </c>
      <c r="N767" t="n">
        <v>8</v>
      </c>
      <c r="O767" t="n">
        <v>40</v>
      </c>
      <c r="P767" t="n">
        <v>8</v>
      </c>
      <c r="R767" s="9" t="n">
        <v>0.08</v>
      </c>
      <c r="S767" s="10" t="inlineStr">
        <is>
          <t>SÍ — integrante</t>
        </is>
      </c>
      <c r="T767" s="11" t="inlineStr">
        <is>
          <t>B · INTEGRANTE</t>
        </is>
      </c>
      <c r="U767" s="11" t="inlineStr">
        <is>
          <t>DEL BANCO (se hereda)</t>
        </is>
      </c>
      <c r="V767" s="11" t="inlineStr">
        <is>
          <t>9152 · INDUSTRIA Y MANUFACTURA</t>
        </is>
      </c>
      <c r="W767" s="12" t="n"/>
      <c r="X767" s="12" t="n"/>
    </row>
    <row r="768" ht="15" customHeight="1">
      <c r="C768" t="inlineStr">
        <is>
          <t>Actividad económica / giro mercantil</t>
        </is>
      </c>
      <c r="D768" t="inlineStr">
        <is>
          <t>F12</t>
        </is>
      </c>
      <c r="E768" t="inlineStr">
        <is>
          <t>INHERENTE</t>
        </is>
      </c>
      <c r="F768" t="inlineStr">
        <is>
          <t>FABRICACION DE PARTES REFACCIONES Y ACCESORIOS PARA MOTOCICLETAS BICICLETAS Y OTROS VEHICULOS DE PEDAL</t>
        </is>
      </c>
      <c r="G768" t="n">
        <v>3892016</v>
      </c>
      <c r="H768" t="n">
        <v>1</v>
      </c>
      <c r="I768" t="n">
        <v>1</v>
      </c>
      <c r="J768" t="n">
        <v>8</v>
      </c>
      <c r="K768" t="n">
        <v>8</v>
      </c>
      <c r="L768" t="n">
        <v>8</v>
      </c>
      <c r="M768" t="n">
        <v>8</v>
      </c>
      <c r="N768" t="n">
        <v>8</v>
      </c>
      <c r="O768" t="n">
        <v>40</v>
      </c>
      <c r="P768" t="n">
        <v>8</v>
      </c>
      <c r="R768" s="9" t="n">
        <v>0.08</v>
      </c>
      <c r="S768" s="10" t="inlineStr">
        <is>
          <t>SÍ — integrante</t>
        </is>
      </c>
      <c r="T768" s="11" t="inlineStr">
        <is>
          <t>B · INTEGRANTE</t>
        </is>
      </c>
      <c r="U768" s="11" t="inlineStr">
        <is>
          <t>DEL BANCO (se hereda)</t>
        </is>
      </c>
      <c r="V768" s="11" t="inlineStr">
        <is>
          <t>9152 · INDUSTRIA Y MANUFACTURA</t>
        </is>
      </c>
      <c r="W768" s="12" t="n"/>
      <c r="X768" s="12" t="n"/>
    </row>
    <row r="769" ht="15" customHeight="1">
      <c r="C769" t="inlineStr">
        <is>
          <t>Actividad económica / giro mercantil</t>
        </is>
      </c>
      <c r="D769" t="inlineStr">
        <is>
          <t>F12</t>
        </is>
      </c>
      <c r="E769" t="inlineStr">
        <is>
          <t>INHERENTE</t>
        </is>
      </c>
      <c r="F769" t="inlineStr">
        <is>
          <t>FABRICACION DE CARREOLAS Y ANDADERAS</t>
        </is>
      </c>
      <c r="G769" t="n">
        <v>3899012</v>
      </c>
      <c r="H769" t="n">
        <v>1</v>
      </c>
      <c r="I769" t="n">
        <v>1</v>
      </c>
      <c r="J769" t="n">
        <v>8</v>
      </c>
      <c r="K769" t="n">
        <v>8</v>
      </c>
      <c r="L769" t="n">
        <v>8</v>
      </c>
      <c r="M769" t="n">
        <v>8</v>
      </c>
      <c r="N769" t="n">
        <v>8</v>
      </c>
      <c r="O769" t="n">
        <v>40</v>
      </c>
      <c r="P769" t="n">
        <v>8</v>
      </c>
      <c r="R769" s="9" t="n">
        <v>0.08</v>
      </c>
      <c r="S769" s="10" t="inlineStr">
        <is>
          <t>SÍ — integrante</t>
        </is>
      </c>
      <c r="T769" s="11" t="inlineStr">
        <is>
          <t>B · INTEGRANTE</t>
        </is>
      </c>
      <c r="U769" s="11" t="inlineStr">
        <is>
          <t>DEL BANCO (se hereda)</t>
        </is>
      </c>
      <c r="V769" s="11" t="inlineStr">
        <is>
          <t>9152 · INDUSTRIA Y MANUFACTURA</t>
        </is>
      </c>
      <c r="W769" s="12" t="n"/>
      <c r="X769" s="12" t="n"/>
    </row>
    <row r="770" ht="15" customHeight="1">
      <c r="C770" t="inlineStr">
        <is>
          <t>Actividad económica / giro mercantil</t>
        </is>
      </c>
      <c r="D770" t="inlineStr">
        <is>
          <t>F12</t>
        </is>
      </c>
      <c r="E770" t="inlineStr">
        <is>
          <t>INHERENTE</t>
        </is>
      </c>
      <c r="F770" t="inlineStr">
        <is>
          <t>FABRICACIÓN DE ARTÍCULOS DE JOYERÍA</t>
        </is>
      </c>
      <c r="G770" t="n">
        <v>3900001</v>
      </c>
      <c r="H770" t="n">
        <v>4</v>
      </c>
      <c r="I770" t="n">
        <v>4</v>
      </c>
      <c r="J770" t="n">
        <v>8</v>
      </c>
      <c r="K770" t="n">
        <v>32</v>
      </c>
      <c r="L770" t="n">
        <v>32</v>
      </c>
      <c r="M770" t="n">
        <v>32</v>
      </c>
      <c r="N770" t="n">
        <v>32</v>
      </c>
      <c r="O770" t="n">
        <v>40</v>
      </c>
      <c r="P770" t="n">
        <v>8</v>
      </c>
      <c r="R770" s="9" t="n">
        <v>0.08</v>
      </c>
      <c r="S770" s="10" t="inlineStr">
        <is>
          <t>SÍ — integrante</t>
        </is>
      </c>
      <c r="T770" s="11" t="inlineStr">
        <is>
          <t>B · INTEGRANTE</t>
        </is>
      </c>
      <c r="U770" s="11" t="inlineStr">
        <is>
          <t>DEL BANCO (se hereda)</t>
        </is>
      </c>
      <c r="V770" s="11" t="inlineStr">
        <is>
          <t>9120 · EFECTIVO INTENSIVO</t>
        </is>
      </c>
      <c r="W770" s="12" t="n"/>
      <c r="X770" s="12" t="n"/>
    </row>
    <row r="771" ht="15" customHeight="1">
      <c r="C771" t="inlineStr">
        <is>
          <t>Actividad económica / giro mercantil</t>
        </is>
      </c>
      <c r="D771" t="inlineStr">
        <is>
          <t>F12</t>
        </is>
      </c>
      <c r="E771" t="inlineStr">
        <is>
          <t>INHERENTE</t>
        </is>
      </c>
      <c r="F771" t="inlineStr">
        <is>
          <t>TALLADO DE PIEDRAS PRECIOSAS</t>
        </is>
      </c>
      <c r="G771" t="n">
        <v>3900002</v>
      </c>
      <c r="H771" t="n">
        <v>5</v>
      </c>
      <c r="I771" t="n">
        <v>5</v>
      </c>
      <c r="J771" t="n">
        <v>8</v>
      </c>
      <c r="K771" t="n">
        <v>40</v>
      </c>
      <c r="L771" t="n">
        <v>40</v>
      </c>
      <c r="M771" t="n">
        <v>40</v>
      </c>
      <c r="N771" t="n">
        <v>40</v>
      </c>
      <c r="O771" t="n">
        <v>40</v>
      </c>
      <c r="P771" t="n">
        <v>8</v>
      </c>
      <c r="Q771" t="inlineStr">
        <is>
          <t>DETERMINANTE</t>
        </is>
      </c>
      <c r="R771" s="9" t="n">
        <v>0.08</v>
      </c>
      <c r="S771" s="10" t="inlineStr">
        <is>
          <t>SÍ — integrante</t>
        </is>
      </c>
      <c r="T771" s="11" t="inlineStr">
        <is>
          <t>B · INTEGRANTE</t>
        </is>
      </c>
      <c r="U771" s="11" t="inlineStr">
        <is>
          <t>DEL BANCO (se hereda)</t>
        </is>
      </c>
      <c r="V771" s="11" t="inlineStr">
        <is>
          <t>9154 · OTRAS ACTIVIDADES NO CLASIFICADAS</t>
        </is>
      </c>
      <c r="W771" s="12" t="n"/>
      <c r="X771" s="12" t="n"/>
    </row>
    <row r="772" ht="15" customHeight="1">
      <c r="C772" t="inlineStr">
        <is>
          <t>Actividad económica / giro mercantil</t>
        </is>
      </c>
      <c r="D772" t="inlineStr">
        <is>
          <t>F12</t>
        </is>
      </c>
      <c r="E772" t="inlineStr">
        <is>
          <t>INHERENTE</t>
        </is>
      </c>
      <c r="F772" t="inlineStr">
        <is>
          <t>OTRAS INDUSTRIAS MANUFACTURERAS (JOYERIA, ARTICULOS DE ESCRITORIO, FOTOGRAFICOS, PARA DENTISTA, PARA OPTICA, DEPORTIVOS)</t>
        </is>
      </c>
      <c r="G772" t="n">
        <v>3900009</v>
      </c>
      <c r="H772" t="n">
        <v>4</v>
      </c>
      <c r="I772" t="n">
        <v>4</v>
      </c>
      <c r="J772" t="n">
        <v>8</v>
      </c>
      <c r="K772" t="n">
        <v>32</v>
      </c>
      <c r="L772" t="n">
        <v>32</v>
      </c>
      <c r="M772" t="n">
        <v>32</v>
      </c>
      <c r="N772" t="n">
        <v>32</v>
      </c>
      <c r="O772" t="n">
        <v>40</v>
      </c>
      <c r="P772" t="n">
        <v>8</v>
      </c>
      <c r="R772" s="9" t="n">
        <v>0.08</v>
      </c>
      <c r="S772" s="10" t="inlineStr">
        <is>
          <t>SÍ — integrante</t>
        </is>
      </c>
      <c r="T772" s="11" t="inlineStr">
        <is>
          <t>B · INTEGRANTE</t>
        </is>
      </c>
      <c r="U772" s="11" t="inlineStr">
        <is>
          <t>DEL BANCO (se hereda)</t>
        </is>
      </c>
      <c r="V772" s="11" t="inlineStr">
        <is>
          <t>9120 · EFECTIVO INTENSIVO</t>
        </is>
      </c>
      <c r="W772" s="12" t="n"/>
      <c r="X772" s="12" t="n"/>
    </row>
    <row r="773" ht="15" customHeight="1">
      <c r="C773" t="inlineStr">
        <is>
          <t>Actividad económica / giro mercantil</t>
        </is>
      </c>
      <c r="D773" t="inlineStr">
        <is>
          <t>F12</t>
        </is>
      </c>
      <c r="E773" t="inlineStr">
        <is>
          <t>INHERENTE</t>
        </is>
      </c>
      <c r="F773" t="inlineStr">
        <is>
          <t>FABRICACION Y REPARACION DE ARTICULOS DE OPTICA</t>
        </is>
      </c>
      <c r="G773" t="n">
        <v>3911014</v>
      </c>
      <c r="H773" t="n">
        <v>1</v>
      </c>
      <c r="I773" t="n">
        <v>1</v>
      </c>
      <c r="J773" t="n">
        <v>8</v>
      </c>
      <c r="K773" t="n">
        <v>8</v>
      </c>
      <c r="L773" t="n">
        <v>8</v>
      </c>
      <c r="M773" t="n">
        <v>8</v>
      </c>
      <c r="N773" t="n">
        <v>8</v>
      </c>
      <c r="O773" t="n">
        <v>40</v>
      </c>
      <c r="P773" t="n">
        <v>8</v>
      </c>
      <c r="R773" s="9" t="n">
        <v>0.08</v>
      </c>
      <c r="S773" s="10" t="inlineStr">
        <is>
          <t>SÍ — integrante</t>
        </is>
      </c>
      <c r="T773" s="11" t="inlineStr">
        <is>
          <t>B · INTEGRANTE</t>
        </is>
      </c>
      <c r="U773" s="11" t="inlineStr">
        <is>
          <t>DEL BANCO (se hereda)</t>
        </is>
      </c>
      <c r="V773" s="11" t="inlineStr">
        <is>
          <t>9152 · INDUSTRIA Y MANUFACTURA</t>
        </is>
      </c>
      <c r="W773" s="12" t="n"/>
      <c r="X773" s="12" t="n"/>
    </row>
    <row r="774" ht="15" customHeight="1">
      <c r="C774" t="inlineStr">
        <is>
          <t>Actividad económica / giro mercantil</t>
        </is>
      </c>
      <c r="D774" t="inlineStr">
        <is>
          <t>F12</t>
        </is>
      </c>
      <c r="E774" t="inlineStr">
        <is>
          <t>INHERENTE</t>
        </is>
      </c>
      <c r="F774" t="inlineStr">
        <is>
          <t>FABRICACION DE CAMARAS FOTOGRAFICAS DE CINE Y PROYECTORES</t>
        </is>
      </c>
      <c r="G774" t="n">
        <v>3912012</v>
      </c>
      <c r="H774" t="n">
        <v>1</v>
      </c>
      <c r="I774" t="n">
        <v>1</v>
      </c>
      <c r="J774" t="n">
        <v>8</v>
      </c>
      <c r="K774" t="n">
        <v>8</v>
      </c>
      <c r="L774" t="n">
        <v>8</v>
      </c>
      <c r="M774" t="n">
        <v>8</v>
      </c>
      <c r="N774" t="n">
        <v>8</v>
      </c>
      <c r="O774" t="n">
        <v>40</v>
      </c>
      <c r="P774" t="n">
        <v>8</v>
      </c>
      <c r="R774" s="9" t="n">
        <v>0.08</v>
      </c>
      <c r="S774" s="10" t="inlineStr">
        <is>
          <t>SÍ — integrante</t>
        </is>
      </c>
      <c r="T774" s="11" t="inlineStr">
        <is>
          <t>B · INTEGRANTE</t>
        </is>
      </c>
      <c r="U774" s="11" t="inlineStr">
        <is>
          <t>DEL BANCO (se hereda)</t>
        </is>
      </c>
      <c r="V774" s="11" t="inlineStr">
        <is>
          <t>9152 · INDUSTRIA Y MANUFACTURA</t>
        </is>
      </c>
      <c r="W774" s="12" t="n"/>
      <c r="X774" s="12" t="n"/>
    </row>
    <row r="775" ht="15" customHeight="1">
      <c r="C775" t="inlineStr">
        <is>
          <t>Actividad económica / giro mercantil</t>
        </is>
      </c>
      <c r="D775" t="inlineStr">
        <is>
          <t>F12</t>
        </is>
      </c>
      <c r="E775" t="inlineStr">
        <is>
          <t>INHERENTE</t>
        </is>
      </c>
      <c r="F775" t="inlineStr">
        <is>
          <t>FABRICACION DE MATERIAL FOTOGRAFICO</t>
        </is>
      </c>
      <c r="G775" t="n">
        <v>3912020</v>
      </c>
      <c r="H775" t="n">
        <v>1</v>
      </c>
      <c r="I775" t="n">
        <v>1</v>
      </c>
      <c r="J775" t="n">
        <v>8</v>
      </c>
      <c r="K775" t="n">
        <v>8</v>
      </c>
      <c r="L775" t="n">
        <v>8</v>
      </c>
      <c r="M775" t="n">
        <v>8</v>
      </c>
      <c r="N775" t="n">
        <v>8</v>
      </c>
      <c r="O775" t="n">
        <v>40</v>
      </c>
      <c r="P775" t="n">
        <v>8</v>
      </c>
      <c r="R775" s="9" t="n">
        <v>0.08</v>
      </c>
      <c r="S775" s="10" t="inlineStr">
        <is>
          <t>SÍ — integrante</t>
        </is>
      </c>
      <c r="T775" s="11" t="inlineStr">
        <is>
          <t>B · INTEGRANTE</t>
        </is>
      </c>
      <c r="U775" s="11" t="inlineStr">
        <is>
          <t>DEL BANCO (se hereda)</t>
        </is>
      </c>
      <c r="V775" s="11" t="inlineStr">
        <is>
          <t>9152 · INDUSTRIA Y MANUFACTURA</t>
        </is>
      </c>
      <c r="W775" s="12" t="n"/>
      <c r="X775" s="12" t="n"/>
    </row>
    <row r="776" ht="15" customHeight="1">
      <c r="C776" t="inlineStr">
        <is>
          <t>Actividad económica / giro mercantil</t>
        </is>
      </c>
      <c r="D776" t="inlineStr">
        <is>
          <t>F12</t>
        </is>
      </c>
      <c r="E776" t="inlineStr">
        <is>
          <t>INHERENTE</t>
        </is>
      </c>
      <c r="F776" t="inlineStr">
        <is>
          <t>FABRICACION DE RELOJES</t>
        </is>
      </c>
      <c r="G776" t="n">
        <v>3921013</v>
      </c>
      <c r="H776" t="n">
        <v>3</v>
      </c>
      <c r="I776" t="n">
        <v>3</v>
      </c>
      <c r="J776" t="n">
        <v>8</v>
      </c>
      <c r="K776" t="n">
        <v>24</v>
      </c>
      <c r="L776" t="n">
        <v>24</v>
      </c>
      <c r="M776" t="n">
        <v>24</v>
      </c>
      <c r="N776" t="n">
        <v>24</v>
      </c>
      <c r="O776" t="n">
        <v>40</v>
      </c>
      <c r="P776" t="n">
        <v>8</v>
      </c>
      <c r="R776" s="9" t="n">
        <v>0.08</v>
      </c>
      <c r="S776" s="10" t="inlineStr">
        <is>
          <t>SÍ — integrante</t>
        </is>
      </c>
      <c r="T776" s="11" t="inlineStr">
        <is>
          <t>B · INTEGRANTE</t>
        </is>
      </c>
      <c r="U776" s="11" t="inlineStr">
        <is>
          <t>DEL BANCO (se hereda)</t>
        </is>
      </c>
      <c r="V776" s="11" t="inlineStr">
        <is>
          <t>9152 · INDUSTRIA Y MANUFACTURA</t>
        </is>
      </c>
      <c r="W776" s="12" t="n"/>
      <c r="X776" s="12" t="n"/>
    </row>
    <row r="777" ht="15" customHeight="1">
      <c r="C777" t="inlineStr">
        <is>
          <t>Actividad económica / giro mercantil</t>
        </is>
      </c>
      <c r="D777" t="inlineStr">
        <is>
          <t>F12</t>
        </is>
      </c>
      <c r="E777" t="inlineStr">
        <is>
          <t>INHERENTE</t>
        </is>
      </c>
      <c r="F777" t="inlineStr">
        <is>
          <t>FABRICACION DE MEDALLAS INSIGNIAS Y PLACAS</t>
        </is>
      </c>
      <c r="G777" t="n">
        <v>3931012</v>
      </c>
      <c r="H777" t="n">
        <v>1</v>
      </c>
      <c r="I777" t="n">
        <v>1</v>
      </c>
      <c r="J777" t="n">
        <v>8</v>
      </c>
      <c r="K777" t="n">
        <v>8</v>
      </c>
      <c r="L777" t="n">
        <v>8</v>
      </c>
      <c r="M777" t="n">
        <v>8</v>
      </c>
      <c r="N777" t="n">
        <v>8</v>
      </c>
      <c r="O777" t="n">
        <v>40</v>
      </c>
      <c r="P777" t="n">
        <v>8</v>
      </c>
      <c r="R777" s="9" t="n">
        <v>0.08</v>
      </c>
      <c r="S777" s="10" t="inlineStr">
        <is>
          <t>SÍ — integrante</t>
        </is>
      </c>
      <c r="T777" s="11" t="inlineStr">
        <is>
          <t>B · INTEGRANTE</t>
        </is>
      </c>
      <c r="U777" s="11" t="inlineStr">
        <is>
          <t>DEL BANCO (se hereda)</t>
        </is>
      </c>
      <c r="V777" s="11" t="inlineStr">
        <is>
          <t>9152 · INDUSTRIA Y MANUFACTURA</t>
        </is>
      </c>
      <c r="W777" s="12" t="n"/>
      <c r="X777" s="12" t="n"/>
    </row>
    <row r="778" ht="15" customHeight="1">
      <c r="C778" t="inlineStr">
        <is>
          <t>Actividad económica / giro mercantil</t>
        </is>
      </c>
      <c r="D778" t="inlineStr">
        <is>
          <t>F12</t>
        </is>
      </c>
      <c r="E778" t="inlineStr">
        <is>
          <t>INHERENTE</t>
        </is>
      </c>
      <c r="F778" t="inlineStr">
        <is>
          <t>FABRICACION DE ARTICULOS DE JOYERIA</t>
        </is>
      </c>
      <c r="G778" t="n">
        <v>3932010</v>
      </c>
      <c r="H778" t="n">
        <v>5</v>
      </c>
      <c r="I778" t="n">
        <v>5</v>
      </c>
      <c r="J778" t="n">
        <v>8</v>
      </c>
      <c r="K778" t="n">
        <v>40</v>
      </c>
      <c r="L778" t="n">
        <v>40</v>
      </c>
      <c r="M778" t="n">
        <v>40</v>
      </c>
      <c r="N778" t="n">
        <v>40</v>
      </c>
      <c r="O778" t="n">
        <v>40</v>
      </c>
      <c r="P778" t="n">
        <v>8</v>
      </c>
      <c r="Q778" t="inlineStr">
        <is>
          <t>DETERMINANTE</t>
        </is>
      </c>
      <c r="R778" s="9" t="n">
        <v>0.08</v>
      </c>
      <c r="S778" s="10" t="inlineStr">
        <is>
          <t>SÍ — integrante</t>
        </is>
      </c>
      <c r="T778" s="11" t="inlineStr">
        <is>
          <t>B · INTEGRANTE</t>
        </is>
      </c>
      <c r="U778" s="11" t="inlineStr">
        <is>
          <t>DEL BANCO (se hereda)</t>
        </is>
      </c>
      <c r="V778" s="11" t="inlineStr">
        <is>
          <t>9120 · EFECTIVO INTENSIVO</t>
        </is>
      </c>
      <c r="W778" s="12" t="n"/>
      <c r="X778" s="12" t="n"/>
    </row>
    <row r="779" ht="15" customHeight="1">
      <c r="C779" t="inlineStr">
        <is>
          <t>Actividad económica / giro mercantil</t>
        </is>
      </c>
      <c r="D779" t="inlineStr">
        <is>
          <t>F12</t>
        </is>
      </c>
      <c r="E779" t="inlineStr">
        <is>
          <t>INHERENTE</t>
        </is>
      </c>
      <c r="F779" t="inlineStr">
        <is>
          <t>ORFEBRERIA</t>
        </is>
      </c>
      <c r="G779" t="n">
        <v>3932028</v>
      </c>
      <c r="H779" t="n">
        <v>2</v>
      </c>
      <c r="I779" t="n">
        <v>2</v>
      </c>
      <c r="J779" t="n">
        <v>8</v>
      </c>
      <c r="K779" t="n">
        <v>16</v>
      </c>
      <c r="L779" t="n">
        <v>16</v>
      </c>
      <c r="M779" t="n">
        <v>16</v>
      </c>
      <c r="N779" t="n">
        <v>16</v>
      </c>
      <c r="O779" t="n">
        <v>40</v>
      </c>
      <c r="P779" t="n">
        <v>8</v>
      </c>
      <c r="R779" s="9" t="n">
        <v>0.08</v>
      </c>
      <c r="S779" s="10" t="inlineStr">
        <is>
          <t>SÍ — integrante</t>
        </is>
      </c>
      <c r="T779" s="11" t="inlineStr">
        <is>
          <t>B · INTEGRANTE</t>
        </is>
      </c>
      <c r="U779" s="11" t="inlineStr">
        <is>
          <t>DEL BANCO (se hereda)</t>
        </is>
      </c>
      <c r="V779" s="11" t="inlineStr">
        <is>
          <t>9154 · OTRAS ACTIVIDADES NO CLASIFICADAS</t>
        </is>
      </c>
      <c r="W779" s="12" t="n"/>
      <c r="X779" s="12" t="n"/>
    </row>
    <row r="780" ht="15" customHeight="1">
      <c r="C780" t="inlineStr">
        <is>
          <t>Actividad económica / giro mercantil</t>
        </is>
      </c>
      <c r="D780" t="inlineStr">
        <is>
          <t>F12</t>
        </is>
      </c>
      <c r="E780" t="inlineStr">
        <is>
          <t>INHERENTE</t>
        </is>
      </c>
      <c r="F780" t="inlineStr">
        <is>
          <t>TALLADO DE PIEDRAS PRECIOSAS</t>
        </is>
      </c>
      <c r="G780" t="n">
        <v>3932036</v>
      </c>
      <c r="H780" t="n">
        <v>5</v>
      </c>
      <c r="I780" t="n">
        <v>5</v>
      </c>
      <c r="J780" t="n">
        <v>8</v>
      </c>
      <c r="K780" t="n">
        <v>40</v>
      </c>
      <c r="L780" t="n">
        <v>40</v>
      </c>
      <c r="M780" t="n">
        <v>40</v>
      </c>
      <c r="N780" t="n">
        <v>40</v>
      </c>
      <c r="O780" t="n">
        <v>40</v>
      </c>
      <c r="P780" t="n">
        <v>8</v>
      </c>
      <c r="Q780" t="inlineStr">
        <is>
          <t>DETERMINANTE</t>
        </is>
      </c>
      <c r="R780" s="9" t="n">
        <v>0.08</v>
      </c>
      <c r="S780" s="10" t="inlineStr">
        <is>
          <t>SÍ — integrante</t>
        </is>
      </c>
      <c r="T780" s="11" t="inlineStr">
        <is>
          <t>B · INTEGRANTE</t>
        </is>
      </c>
      <c r="U780" s="11" t="inlineStr">
        <is>
          <t>DEL BANCO (se hereda)</t>
        </is>
      </c>
      <c r="V780" s="11" t="inlineStr">
        <is>
          <t>9154 · OTRAS ACTIVIDADES NO CLASIFICADAS</t>
        </is>
      </c>
      <c r="W780" s="12" t="n"/>
      <c r="X780" s="12" t="n"/>
    </row>
    <row r="781" ht="15" customHeight="1">
      <c r="C781" t="inlineStr">
        <is>
          <t>Actividad económica / giro mercantil</t>
        </is>
      </c>
      <c r="D781" t="inlineStr">
        <is>
          <t>F12</t>
        </is>
      </c>
      <c r="E781" t="inlineStr">
        <is>
          <t>INHERENTE</t>
        </is>
      </c>
      <c r="F781" t="inlineStr">
        <is>
          <t>FABRICACION DE ARTICULOS DE QUINCALLERIA Y BISUTERIA</t>
        </is>
      </c>
      <c r="G781" t="n">
        <v>3933018</v>
      </c>
      <c r="H781" t="n">
        <v>1</v>
      </c>
      <c r="I781" t="n">
        <v>1</v>
      </c>
      <c r="J781" t="n">
        <v>8</v>
      </c>
      <c r="K781" t="n">
        <v>8</v>
      </c>
      <c r="L781" t="n">
        <v>8</v>
      </c>
      <c r="M781" t="n">
        <v>8</v>
      </c>
      <c r="N781" t="n">
        <v>8</v>
      </c>
      <c r="O781" t="n">
        <v>40</v>
      </c>
      <c r="P781" t="n">
        <v>8</v>
      </c>
      <c r="R781" s="9" t="n">
        <v>0.08</v>
      </c>
      <c r="S781" s="10" t="inlineStr">
        <is>
          <t>SÍ — integrante</t>
        </is>
      </c>
      <c r="T781" s="11" t="inlineStr">
        <is>
          <t>B · INTEGRANTE</t>
        </is>
      </c>
      <c r="U781" s="11" t="inlineStr">
        <is>
          <t>DEL BANCO (se hereda)</t>
        </is>
      </c>
      <c r="V781" s="11" t="inlineStr">
        <is>
          <t>9152 · INDUSTRIA Y MANUFACTURA</t>
        </is>
      </c>
      <c r="W781" s="12" t="n"/>
      <c r="X781" s="12" t="n"/>
    </row>
    <row r="782" ht="15" customHeight="1">
      <c r="C782" t="inlineStr">
        <is>
          <t>Actividad económica / giro mercantil</t>
        </is>
      </c>
      <c r="D782" t="inlineStr">
        <is>
          <t>F12</t>
        </is>
      </c>
      <c r="E782" t="inlineStr">
        <is>
          <t>INHERENTE</t>
        </is>
      </c>
      <c r="F782" t="inlineStr">
        <is>
          <t>FABRICACION DE CUERDAS PARA GUITARRA</t>
        </is>
      </c>
      <c r="G782" t="n">
        <v>3941011</v>
      </c>
      <c r="H782" t="n">
        <v>1</v>
      </c>
      <c r="I782" t="n">
        <v>1</v>
      </c>
      <c r="J782" t="n">
        <v>8</v>
      </c>
      <c r="K782" t="n">
        <v>8</v>
      </c>
      <c r="L782" t="n">
        <v>8</v>
      </c>
      <c r="M782" t="n">
        <v>8</v>
      </c>
      <c r="N782" t="n">
        <v>8</v>
      </c>
      <c r="O782" t="n">
        <v>40</v>
      </c>
      <c r="P782" t="n">
        <v>8</v>
      </c>
      <c r="R782" s="9" t="n">
        <v>0.08</v>
      </c>
      <c r="S782" s="10" t="inlineStr">
        <is>
          <t>SÍ — integrante</t>
        </is>
      </c>
      <c r="T782" s="11" t="inlineStr">
        <is>
          <t>B · INTEGRANTE</t>
        </is>
      </c>
      <c r="U782" s="11" t="inlineStr">
        <is>
          <t>DEL BANCO (se hereda)</t>
        </is>
      </c>
      <c r="V782" s="11" t="inlineStr">
        <is>
          <t>9152 · INDUSTRIA Y MANUFACTURA</t>
        </is>
      </c>
      <c r="W782" s="12" t="n"/>
      <c r="X782" s="12" t="n"/>
    </row>
    <row r="783" ht="15" customHeight="1">
      <c r="C783" t="inlineStr">
        <is>
          <t>Actividad económica / giro mercantil</t>
        </is>
      </c>
      <c r="D783" t="inlineStr">
        <is>
          <t>F12</t>
        </is>
      </c>
      <c r="E783" t="inlineStr">
        <is>
          <t>INHERENTE</t>
        </is>
      </c>
      <c r="F783" t="inlineStr">
        <is>
          <t>FABRICACION Y REPARACION DE INSTRUMENTOS MUSICALES</t>
        </is>
      </c>
      <c r="G783" t="n">
        <v>3941029</v>
      </c>
      <c r="H783" t="n">
        <v>1</v>
      </c>
      <c r="I783" t="n">
        <v>1</v>
      </c>
      <c r="J783" t="n">
        <v>8</v>
      </c>
      <c r="K783" t="n">
        <v>8</v>
      </c>
      <c r="L783" t="n">
        <v>8</v>
      </c>
      <c r="M783" t="n">
        <v>8</v>
      </c>
      <c r="N783" t="n">
        <v>8</v>
      </c>
      <c r="O783" t="n">
        <v>40</v>
      </c>
      <c r="P783" t="n">
        <v>8</v>
      </c>
      <c r="R783" s="9" t="n">
        <v>0.08</v>
      </c>
      <c r="S783" s="10" t="inlineStr">
        <is>
          <t>SÍ — integrante</t>
        </is>
      </c>
      <c r="T783" s="11" t="inlineStr">
        <is>
          <t>B · INTEGRANTE</t>
        </is>
      </c>
      <c r="U783" s="11" t="inlineStr">
        <is>
          <t>DEL BANCO (se hereda)</t>
        </is>
      </c>
      <c r="V783" s="11" t="inlineStr">
        <is>
          <t>9152 · INDUSTRIA Y MANUFACTURA</t>
        </is>
      </c>
      <c r="W783" s="12" t="n"/>
      <c r="X783" s="12" t="n"/>
    </row>
    <row r="784" ht="15" customHeight="1">
      <c r="C784" t="inlineStr">
        <is>
          <t>Actividad económica / giro mercantil</t>
        </is>
      </c>
      <c r="D784" t="inlineStr">
        <is>
          <t>F12</t>
        </is>
      </c>
      <c r="E784" t="inlineStr">
        <is>
          <t>INHERENTE</t>
        </is>
      </c>
      <c r="F784" t="inlineStr">
        <is>
          <t>FABRICACION DE APARATOS PARA GIMNASIA</t>
        </is>
      </c>
      <c r="G784" t="n">
        <v>3951010</v>
      </c>
      <c r="H784" t="n">
        <v>2</v>
      </c>
      <c r="I784" t="n">
        <v>2</v>
      </c>
      <c r="J784" t="n">
        <v>8</v>
      </c>
      <c r="K784" t="n">
        <v>16</v>
      </c>
      <c r="L784" t="n">
        <v>16</v>
      </c>
      <c r="M784" t="n">
        <v>16</v>
      </c>
      <c r="N784" t="n">
        <v>16</v>
      </c>
      <c r="O784" t="n">
        <v>40</v>
      </c>
      <c r="P784" t="n">
        <v>8</v>
      </c>
      <c r="R784" s="9" t="n">
        <v>0.08</v>
      </c>
      <c r="S784" s="10" t="inlineStr">
        <is>
          <t>SÍ — integrante</t>
        </is>
      </c>
      <c r="T784" s="11" t="inlineStr">
        <is>
          <t>B · INTEGRANTE</t>
        </is>
      </c>
      <c r="U784" s="11" t="inlineStr">
        <is>
          <t>DEL BANCO (se hereda)</t>
        </is>
      </c>
      <c r="V784" s="11" t="inlineStr">
        <is>
          <t>9152 · INDUSTRIA Y MANUFACTURA</t>
        </is>
      </c>
      <c r="W784" s="12" t="n"/>
      <c r="X784" s="12" t="n"/>
    </row>
    <row r="785" ht="15" customHeight="1">
      <c r="C785" t="inlineStr">
        <is>
          <t>Actividad económica / giro mercantil</t>
        </is>
      </c>
      <c r="D785" t="inlineStr">
        <is>
          <t>F12</t>
        </is>
      </c>
      <c r="E785" t="inlineStr">
        <is>
          <t>INHERENTE</t>
        </is>
      </c>
      <c r="F785" t="inlineStr">
        <is>
          <t>FABRICACION DE MESAS DE BILLAR</t>
        </is>
      </c>
      <c r="G785" t="n">
        <v>3951028</v>
      </c>
      <c r="H785" t="n">
        <v>1</v>
      </c>
      <c r="I785" t="n">
        <v>1</v>
      </c>
      <c r="J785" t="n">
        <v>8</v>
      </c>
      <c r="K785" t="n">
        <v>8</v>
      </c>
      <c r="L785" t="n">
        <v>8</v>
      </c>
      <c r="M785" t="n">
        <v>8</v>
      </c>
      <c r="N785" t="n">
        <v>8</v>
      </c>
      <c r="O785" t="n">
        <v>40</v>
      </c>
      <c r="P785" t="n">
        <v>8</v>
      </c>
      <c r="R785" s="9" t="n">
        <v>0.08</v>
      </c>
      <c r="S785" s="10" t="inlineStr">
        <is>
          <t>SÍ — integrante</t>
        </is>
      </c>
      <c r="T785" s="11" t="inlineStr">
        <is>
          <t>B · INTEGRANTE</t>
        </is>
      </c>
      <c r="U785" s="11" t="inlineStr">
        <is>
          <t>DEL BANCO (se hereda)</t>
        </is>
      </c>
      <c r="V785" s="11" t="inlineStr">
        <is>
          <t>9120 · EFECTIVO INTENSIVO</t>
        </is>
      </c>
      <c r="W785" s="12" t="n"/>
      <c r="X785" s="12" t="n"/>
    </row>
    <row r="786" ht="15" customHeight="1">
      <c r="C786" t="inlineStr">
        <is>
          <t>Actividad económica / giro mercantil</t>
        </is>
      </c>
      <c r="D786" t="inlineStr">
        <is>
          <t>F12</t>
        </is>
      </c>
      <c r="E786" t="inlineStr">
        <is>
          <t>INHERENTE</t>
        </is>
      </c>
      <c r="F786" t="inlineStr">
        <is>
          <t>FABRICACION DE OTROS ARTICULOS PARA DEPORTES</t>
        </is>
      </c>
      <c r="G786" t="n">
        <v>3951036</v>
      </c>
      <c r="H786" t="n">
        <v>1</v>
      </c>
      <c r="I786" t="n">
        <v>1</v>
      </c>
      <c r="J786" t="n">
        <v>8</v>
      </c>
      <c r="K786" t="n">
        <v>8</v>
      </c>
      <c r="L786" t="n">
        <v>8</v>
      </c>
      <c r="M786" t="n">
        <v>8</v>
      </c>
      <c r="N786" t="n">
        <v>8</v>
      </c>
      <c r="O786" t="n">
        <v>40</v>
      </c>
      <c r="P786" t="n">
        <v>8</v>
      </c>
      <c r="R786" s="9" t="n">
        <v>0.08</v>
      </c>
      <c r="S786" s="10" t="inlineStr">
        <is>
          <t>SÍ — integrante</t>
        </is>
      </c>
      <c r="T786" s="11" t="inlineStr">
        <is>
          <t>B · INTEGRANTE</t>
        </is>
      </c>
      <c r="U786" s="11" t="inlineStr">
        <is>
          <t>DEL BANCO (se hereda)</t>
        </is>
      </c>
      <c r="V786" s="11" t="inlineStr">
        <is>
          <t>9152 · INDUSTRIA Y MANUFACTURA</t>
        </is>
      </c>
      <c r="W786" s="12" t="n"/>
      <c r="X786" s="12" t="n"/>
    </row>
    <row r="787" ht="15" customHeight="1">
      <c r="C787" t="inlineStr">
        <is>
          <t>Actividad económica / giro mercantil</t>
        </is>
      </c>
      <c r="D787" t="inlineStr">
        <is>
          <t>F12</t>
        </is>
      </c>
      <c r="E787" t="inlineStr">
        <is>
          <t>INHERENTE</t>
        </is>
      </c>
      <c r="F787" t="inlineStr">
        <is>
          <t>FABRICACION DE OTROS INSTRUMENTOS DE MEDICION</t>
        </is>
      </c>
      <c r="G787" t="n">
        <v>3961019</v>
      </c>
      <c r="H787" t="n">
        <v>1</v>
      </c>
      <c r="I787" t="n">
        <v>1</v>
      </c>
      <c r="J787" t="n">
        <v>8</v>
      </c>
      <c r="K787" t="n">
        <v>8</v>
      </c>
      <c r="L787" t="n">
        <v>8</v>
      </c>
      <c r="M787" t="n">
        <v>8</v>
      </c>
      <c r="N787" t="n">
        <v>8</v>
      </c>
      <c r="O787" t="n">
        <v>40</v>
      </c>
      <c r="P787" t="n">
        <v>8</v>
      </c>
      <c r="R787" s="9" t="n">
        <v>0.08</v>
      </c>
      <c r="S787" s="10" t="inlineStr">
        <is>
          <t>SÍ — integrante</t>
        </is>
      </c>
      <c r="T787" s="11" t="inlineStr">
        <is>
          <t>B · INTEGRANTE</t>
        </is>
      </c>
      <c r="U787" s="11" t="inlineStr">
        <is>
          <t>DEL BANCO (se hereda)</t>
        </is>
      </c>
      <c r="V787" s="11" t="inlineStr">
        <is>
          <t>9152 · INDUSTRIA Y MANUFACTURA</t>
        </is>
      </c>
      <c r="W787" s="12" t="n"/>
      <c r="X787" s="12" t="n"/>
    </row>
    <row r="788" ht="15" customHeight="1">
      <c r="C788" t="inlineStr">
        <is>
          <t>Actividad económica / giro mercantil</t>
        </is>
      </c>
      <c r="D788" t="inlineStr">
        <is>
          <t>F12</t>
        </is>
      </c>
      <c r="E788" t="inlineStr">
        <is>
          <t>INHERENTE</t>
        </is>
      </c>
      <c r="F788" t="inlineStr">
        <is>
          <t>FABRICACION Y REPARACION DE BASCULAS Y BALANZAS</t>
        </is>
      </c>
      <c r="G788" t="n">
        <v>3961027</v>
      </c>
      <c r="H788" t="n">
        <v>1</v>
      </c>
      <c r="I788" t="n">
        <v>1</v>
      </c>
      <c r="J788" t="n">
        <v>8</v>
      </c>
      <c r="K788" t="n">
        <v>8</v>
      </c>
      <c r="L788" t="n">
        <v>8</v>
      </c>
      <c r="M788" t="n">
        <v>8</v>
      </c>
      <c r="N788" t="n">
        <v>8</v>
      </c>
      <c r="O788" t="n">
        <v>40</v>
      </c>
      <c r="P788" t="n">
        <v>8</v>
      </c>
      <c r="R788" s="9" t="n">
        <v>0.08</v>
      </c>
      <c r="S788" s="10" t="inlineStr">
        <is>
          <t>SÍ — integrante</t>
        </is>
      </c>
      <c r="T788" s="11" t="inlineStr">
        <is>
          <t>B · INTEGRANTE</t>
        </is>
      </c>
      <c r="U788" s="11" t="inlineStr">
        <is>
          <t>DEL BANCO (se hereda)</t>
        </is>
      </c>
      <c r="V788" s="11" t="inlineStr">
        <is>
          <t>9152 · INDUSTRIA Y MANUFACTURA</t>
        </is>
      </c>
      <c r="W788" s="12" t="n"/>
      <c r="X788" s="12" t="n"/>
    </row>
    <row r="789" ht="15" customHeight="1">
      <c r="C789" t="inlineStr">
        <is>
          <t>Actividad económica / giro mercantil</t>
        </is>
      </c>
      <c r="D789" t="inlineStr">
        <is>
          <t>F12</t>
        </is>
      </c>
      <c r="E789" t="inlineStr">
        <is>
          <t>INHERENTE</t>
        </is>
      </c>
      <c r="F789" t="inlineStr">
        <is>
          <t>FABRICACION Y REPARACION DE INSTRUMENTOS DE FISICA Y QUIMICA</t>
        </is>
      </c>
      <c r="G789" t="n">
        <v>3961035</v>
      </c>
      <c r="H789" t="n">
        <v>3</v>
      </c>
      <c r="I789" t="n">
        <v>3</v>
      </c>
      <c r="J789" t="n">
        <v>8</v>
      </c>
      <c r="K789" t="n">
        <v>24</v>
      </c>
      <c r="L789" t="n">
        <v>24</v>
      </c>
      <c r="M789" t="n">
        <v>24</v>
      </c>
      <c r="N789" t="n">
        <v>24</v>
      </c>
      <c r="O789" t="n">
        <v>40</v>
      </c>
      <c r="P789" t="n">
        <v>8</v>
      </c>
      <c r="R789" s="9" t="n">
        <v>0.08</v>
      </c>
      <c r="S789" s="10" t="inlineStr">
        <is>
          <t>SÍ — integrante</t>
        </is>
      </c>
      <c r="T789" s="11" t="inlineStr">
        <is>
          <t>B · INTEGRANTE</t>
        </is>
      </c>
      <c r="U789" s="11" t="inlineStr">
        <is>
          <t>DEL BANCO (se hereda)</t>
        </is>
      </c>
      <c r="V789" s="11" t="inlineStr">
        <is>
          <t>9152 · INDUSTRIA Y MANUFACTURA</t>
        </is>
      </c>
      <c r="W789" s="12" t="n"/>
      <c r="X789" s="12" t="n"/>
    </row>
    <row r="790" ht="15" customHeight="1">
      <c r="C790" t="inlineStr">
        <is>
          <t>Actividad económica / giro mercantil</t>
        </is>
      </c>
      <c r="D790" t="inlineStr">
        <is>
          <t>F12</t>
        </is>
      </c>
      <c r="E790" t="inlineStr">
        <is>
          <t>INHERENTE</t>
        </is>
      </c>
      <c r="F790" t="inlineStr">
        <is>
          <t>FABRICACION Y REPARACION DE INSTRUMENTOS DE INGENIERIA</t>
        </is>
      </c>
      <c r="G790" t="n">
        <v>3961043</v>
      </c>
      <c r="H790" t="n">
        <v>1</v>
      </c>
      <c r="I790" t="n">
        <v>1</v>
      </c>
      <c r="J790" t="n">
        <v>8</v>
      </c>
      <c r="K790" t="n">
        <v>8</v>
      </c>
      <c r="L790" t="n">
        <v>8</v>
      </c>
      <c r="M790" t="n">
        <v>8</v>
      </c>
      <c r="N790" t="n">
        <v>8</v>
      </c>
      <c r="O790" t="n">
        <v>40</v>
      </c>
      <c r="P790" t="n">
        <v>8</v>
      </c>
      <c r="R790" s="9" t="n">
        <v>0.08</v>
      </c>
      <c r="S790" s="10" t="inlineStr">
        <is>
          <t>SÍ — integrante</t>
        </is>
      </c>
      <c r="T790" s="11" t="inlineStr">
        <is>
          <t>B · INTEGRANTE</t>
        </is>
      </c>
      <c r="U790" s="11" t="inlineStr">
        <is>
          <t>DEL BANCO (se hereda)</t>
        </is>
      </c>
      <c r="V790" s="11" t="inlineStr">
        <is>
          <t>9112 · SERVICIOS PROFESIONALES</t>
        </is>
      </c>
      <c r="W790" s="12" t="n"/>
      <c r="X790" s="12" t="n"/>
    </row>
    <row r="791" ht="15" customHeight="1">
      <c r="C791" t="inlineStr">
        <is>
          <t>Actividad económica / giro mercantil</t>
        </is>
      </c>
      <c r="D791" t="inlineStr">
        <is>
          <t>F12</t>
        </is>
      </c>
      <c r="E791" t="inlineStr">
        <is>
          <t>INHERENTE</t>
        </is>
      </c>
      <c r="F791" t="inlineStr">
        <is>
          <t>FABRICACION DE APARATOS OZONIZADORES</t>
        </is>
      </c>
      <c r="G791" t="n">
        <v>3961051</v>
      </c>
      <c r="H791" t="n">
        <v>1</v>
      </c>
      <c r="I791" t="n">
        <v>1</v>
      </c>
      <c r="J791" t="n">
        <v>8</v>
      </c>
      <c r="K791" t="n">
        <v>8</v>
      </c>
      <c r="L791" t="n">
        <v>8</v>
      </c>
      <c r="M791" t="n">
        <v>8</v>
      </c>
      <c r="N791" t="n">
        <v>8</v>
      </c>
      <c r="O791" t="n">
        <v>40</v>
      </c>
      <c r="P791" t="n">
        <v>8</v>
      </c>
      <c r="R791" s="9" t="n">
        <v>0.08</v>
      </c>
      <c r="S791" s="10" t="inlineStr">
        <is>
          <t>SÍ — integrante</t>
        </is>
      </c>
      <c r="T791" s="11" t="inlineStr">
        <is>
          <t>B · INTEGRANTE</t>
        </is>
      </c>
      <c r="U791" s="11" t="inlineStr">
        <is>
          <t>DEL BANCO (se hereda)</t>
        </is>
      </c>
      <c r="V791" s="11" t="inlineStr">
        <is>
          <t>9152 · INDUSTRIA Y MANUFACTURA</t>
        </is>
      </c>
      <c r="W791" s="12" t="n"/>
      <c r="X791" s="12" t="n"/>
    </row>
    <row r="792" ht="15" customHeight="1">
      <c r="C792" t="inlineStr">
        <is>
          <t>Actividad económica / giro mercantil</t>
        </is>
      </c>
      <c r="D792" t="inlineStr">
        <is>
          <t>F12</t>
        </is>
      </c>
      <c r="E792" t="inlineStr">
        <is>
          <t>INHERENTE</t>
        </is>
      </c>
      <c r="F792" t="inlineStr">
        <is>
          <t>FABRICACION DE TAXIMETROS</t>
        </is>
      </c>
      <c r="G792" t="n">
        <v>3961069</v>
      </c>
      <c r="H792" t="n">
        <v>1</v>
      </c>
      <c r="I792" t="n">
        <v>1</v>
      </c>
      <c r="J792" t="n">
        <v>8</v>
      </c>
      <c r="K792" t="n">
        <v>8</v>
      </c>
      <c r="L792" t="n">
        <v>8</v>
      </c>
      <c r="M792" t="n">
        <v>8</v>
      </c>
      <c r="N792" t="n">
        <v>8</v>
      </c>
      <c r="O792" t="n">
        <v>40</v>
      </c>
      <c r="P792" t="n">
        <v>8</v>
      </c>
      <c r="R792" s="9" t="n">
        <v>0.08</v>
      </c>
      <c r="S792" s="10" t="inlineStr">
        <is>
          <t>SÍ — integrante</t>
        </is>
      </c>
      <c r="T792" s="11" t="inlineStr">
        <is>
          <t>B · INTEGRANTE</t>
        </is>
      </c>
      <c r="U792" s="11" t="inlineStr">
        <is>
          <t>DEL BANCO (se hereda)</t>
        </is>
      </c>
      <c r="V792" s="11" t="inlineStr">
        <is>
          <t>9152 · INDUSTRIA Y MANUFACTURA</t>
        </is>
      </c>
      <c r="W792" s="12" t="n"/>
      <c r="X792" s="12" t="n"/>
    </row>
    <row r="793" ht="15" customHeight="1">
      <c r="C793" t="inlineStr">
        <is>
          <t>Actividad económica / giro mercantil</t>
        </is>
      </c>
      <c r="D793" t="inlineStr">
        <is>
          <t>F12</t>
        </is>
      </c>
      <c r="E793" t="inlineStr">
        <is>
          <t>INHERENTE</t>
        </is>
      </c>
      <c r="F793" t="inlineStr">
        <is>
          <t>FABRICACION Y REPARACION DE APARATOS ORTOPEDICOS</t>
        </is>
      </c>
      <c r="G793" t="n">
        <v>3962017</v>
      </c>
      <c r="H793" t="n">
        <v>1</v>
      </c>
      <c r="I793" t="n">
        <v>1</v>
      </c>
      <c r="J793" t="n">
        <v>8</v>
      </c>
      <c r="K793" t="n">
        <v>8</v>
      </c>
      <c r="L793" t="n">
        <v>8</v>
      </c>
      <c r="M793" t="n">
        <v>8</v>
      </c>
      <c r="N793" t="n">
        <v>8</v>
      </c>
      <c r="O793" t="n">
        <v>40</v>
      </c>
      <c r="P793" t="n">
        <v>8</v>
      </c>
      <c r="R793" s="9" t="n">
        <v>0.08</v>
      </c>
      <c r="S793" s="10" t="inlineStr">
        <is>
          <t>SÍ — integrante</t>
        </is>
      </c>
      <c r="T793" s="11" t="inlineStr">
        <is>
          <t>B · INTEGRANTE</t>
        </is>
      </c>
      <c r="U793" s="11" t="inlineStr">
        <is>
          <t>DEL BANCO (se hereda)</t>
        </is>
      </c>
      <c r="V793" s="11" t="inlineStr">
        <is>
          <t>9152 · INDUSTRIA Y MANUFACTURA</t>
        </is>
      </c>
      <c r="W793" s="12" t="n"/>
      <c r="X793" s="12" t="n"/>
    </row>
    <row r="794" ht="15" customHeight="1">
      <c r="C794" t="inlineStr">
        <is>
          <t>Actividad económica / giro mercantil</t>
        </is>
      </c>
      <c r="D794" t="inlineStr">
        <is>
          <t>F12</t>
        </is>
      </c>
      <c r="E794" t="inlineStr">
        <is>
          <t>INHERENTE</t>
        </is>
      </c>
      <c r="F794" t="inlineStr">
        <is>
          <t>FABRICACION Y REPARACION DE INSTRUMENTOS DE CIRUGIA</t>
        </is>
      </c>
      <c r="G794" t="n">
        <v>3962025</v>
      </c>
      <c r="H794" t="n">
        <v>1</v>
      </c>
      <c r="I794" t="n">
        <v>1</v>
      </c>
      <c r="J794" t="n">
        <v>8</v>
      </c>
      <c r="K794" t="n">
        <v>8</v>
      </c>
      <c r="L794" t="n">
        <v>8</v>
      </c>
      <c r="M794" t="n">
        <v>8</v>
      </c>
      <c r="N794" t="n">
        <v>8</v>
      </c>
      <c r="O794" t="n">
        <v>40</v>
      </c>
      <c r="P794" t="n">
        <v>8</v>
      </c>
      <c r="R794" s="9" t="n">
        <v>0.08</v>
      </c>
      <c r="S794" s="10" t="inlineStr">
        <is>
          <t>SÍ — integrante</t>
        </is>
      </c>
      <c r="T794" s="11" t="inlineStr">
        <is>
          <t>B · INTEGRANTE</t>
        </is>
      </c>
      <c r="U794" s="11" t="inlineStr">
        <is>
          <t>DEL BANCO (se hereda)</t>
        </is>
      </c>
      <c r="V794" s="11" t="inlineStr">
        <is>
          <t>9152 · INDUSTRIA Y MANUFACTURA</t>
        </is>
      </c>
      <c r="W794" s="12" t="n"/>
      <c r="X794" s="12" t="n"/>
    </row>
    <row r="795" ht="15" customHeight="1">
      <c r="C795" t="inlineStr">
        <is>
          <t>Actividad económica / giro mercantil</t>
        </is>
      </c>
      <c r="D795" t="inlineStr">
        <is>
          <t>F12</t>
        </is>
      </c>
      <c r="E795" t="inlineStr">
        <is>
          <t>INHERENTE</t>
        </is>
      </c>
      <c r="F795" t="inlineStr">
        <is>
          <t>FABRICACION DE JUGUETES EXCEPTO LOS DE HULE Y DE PLASTICO MOLDEADOS</t>
        </is>
      </c>
      <c r="G795" t="n">
        <v>3991016</v>
      </c>
      <c r="H795" t="n">
        <v>1</v>
      </c>
      <c r="I795" t="n">
        <v>1</v>
      </c>
      <c r="J795" t="n">
        <v>8</v>
      </c>
      <c r="K795" t="n">
        <v>8</v>
      </c>
      <c r="L795" t="n">
        <v>8</v>
      </c>
      <c r="M795" t="n">
        <v>8</v>
      </c>
      <c r="N795" t="n">
        <v>8</v>
      </c>
      <c r="O795" t="n">
        <v>40</v>
      </c>
      <c r="P795" t="n">
        <v>8</v>
      </c>
      <c r="R795" s="9" t="n">
        <v>0.08</v>
      </c>
      <c r="S795" s="10" t="inlineStr">
        <is>
          <t>SÍ — integrante</t>
        </is>
      </c>
      <c r="T795" s="11" t="inlineStr">
        <is>
          <t>B · INTEGRANTE</t>
        </is>
      </c>
      <c r="U795" s="11" t="inlineStr">
        <is>
          <t>DEL BANCO (se hereda)</t>
        </is>
      </c>
      <c r="V795" s="11" t="inlineStr">
        <is>
          <t>9151 · SECTOR PRIMARIO (agropecuario, pesca, forestal, minería)</t>
        </is>
      </c>
      <c r="W795" s="12" t="n"/>
      <c r="X795" s="12" t="n"/>
    </row>
    <row r="796" ht="15" customHeight="1">
      <c r="C796" t="inlineStr">
        <is>
          <t>Actividad económica / giro mercantil</t>
        </is>
      </c>
      <c r="D796" t="inlineStr">
        <is>
          <t>F12</t>
        </is>
      </c>
      <c r="E796" t="inlineStr">
        <is>
          <t>INHERENTE</t>
        </is>
      </c>
      <c r="F796" t="inlineStr">
        <is>
          <t>FABRICACION DE ARTICULOS PARA ESCRITORIO</t>
        </is>
      </c>
      <c r="G796" t="n">
        <v>3992014</v>
      </c>
      <c r="H796" t="n">
        <v>1</v>
      </c>
      <c r="I796" t="n">
        <v>1</v>
      </c>
      <c r="J796" t="n">
        <v>8</v>
      </c>
      <c r="K796" t="n">
        <v>8</v>
      </c>
      <c r="L796" t="n">
        <v>8</v>
      </c>
      <c r="M796" t="n">
        <v>8</v>
      </c>
      <c r="N796" t="n">
        <v>8</v>
      </c>
      <c r="O796" t="n">
        <v>40</v>
      </c>
      <c r="P796" t="n">
        <v>8</v>
      </c>
      <c r="R796" s="9" t="n">
        <v>0.08</v>
      </c>
      <c r="S796" s="10" t="inlineStr">
        <is>
          <t>SÍ — integrante</t>
        </is>
      </c>
      <c r="T796" s="11" t="inlineStr">
        <is>
          <t>B · INTEGRANTE</t>
        </is>
      </c>
      <c r="U796" s="11" t="inlineStr">
        <is>
          <t>DEL BANCO (se hereda)</t>
        </is>
      </c>
      <c r="V796" s="11" t="inlineStr">
        <is>
          <t>9152 · INDUSTRIA Y MANUFACTURA</t>
        </is>
      </c>
      <c r="W796" s="12" t="n"/>
      <c r="X796" s="12" t="n"/>
    </row>
    <row r="797" ht="15" customHeight="1">
      <c r="C797" t="inlineStr">
        <is>
          <t>Actividad económica / giro mercantil</t>
        </is>
      </c>
      <c r="D797" t="inlineStr">
        <is>
          <t>F12</t>
        </is>
      </c>
      <c r="E797" t="inlineStr">
        <is>
          <t>INHERENTE</t>
        </is>
      </c>
      <c r="F797" t="inlineStr">
        <is>
          <t>FABRICACION DE CANUTEROS</t>
        </is>
      </c>
      <c r="G797" t="n">
        <v>3992022</v>
      </c>
      <c r="H797" t="n">
        <v>1</v>
      </c>
      <c r="I797" t="n">
        <v>1</v>
      </c>
      <c r="J797" t="n">
        <v>8</v>
      </c>
      <c r="K797" t="n">
        <v>8</v>
      </c>
      <c r="L797" t="n">
        <v>8</v>
      </c>
      <c r="M797" t="n">
        <v>8</v>
      </c>
      <c r="N797" t="n">
        <v>8</v>
      </c>
      <c r="O797" t="n">
        <v>40</v>
      </c>
      <c r="P797" t="n">
        <v>8</v>
      </c>
      <c r="R797" s="9" t="n">
        <v>0.08</v>
      </c>
      <c r="S797" s="10" t="inlineStr">
        <is>
          <t>SÍ — integrante</t>
        </is>
      </c>
      <c r="T797" s="11" t="inlineStr">
        <is>
          <t>B · INTEGRANTE</t>
        </is>
      </c>
      <c r="U797" s="11" t="inlineStr">
        <is>
          <t>DEL BANCO (se hereda)</t>
        </is>
      </c>
      <c r="V797" s="11" t="inlineStr">
        <is>
          <t>9152 · INDUSTRIA Y MANUFACTURA</t>
        </is>
      </c>
      <c r="W797" s="12" t="n"/>
      <c r="X797" s="12" t="n"/>
    </row>
    <row r="798" ht="15" customHeight="1">
      <c r="C798" t="inlineStr">
        <is>
          <t>Actividad económica / giro mercantil</t>
        </is>
      </c>
      <c r="D798" t="inlineStr">
        <is>
          <t>F12</t>
        </is>
      </c>
      <c r="E798" t="inlineStr">
        <is>
          <t>INHERENTE</t>
        </is>
      </c>
      <c r="F798" t="inlineStr">
        <is>
          <t>FABRICACION DE CINTAS PARA MAQUINAS CALCULADORAS REGISTRADORAS Y DE ESCRIBIR</t>
        </is>
      </c>
      <c r="G798" t="n">
        <v>3992030</v>
      </c>
      <c r="H798" t="n">
        <v>1</v>
      </c>
      <c r="I798" t="n">
        <v>1</v>
      </c>
      <c r="J798" t="n">
        <v>8</v>
      </c>
      <c r="K798" t="n">
        <v>8</v>
      </c>
      <c r="L798" t="n">
        <v>8</v>
      </c>
      <c r="M798" t="n">
        <v>8</v>
      </c>
      <c r="N798" t="n">
        <v>8</v>
      </c>
      <c r="O798" t="n">
        <v>40</v>
      </c>
      <c r="P798" t="n">
        <v>8</v>
      </c>
      <c r="R798" s="9" t="n">
        <v>0.08</v>
      </c>
      <c r="S798" s="10" t="inlineStr">
        <is>
          <t>SÍ — integrante</t>
        </is>
      </c>
      <c r="T798" s="11" t="inlineStr">
        <is>
          <t>B · INTEGRANTE</t>
        </is>
      </c>
      <c r="U798" s="11" t="inlineStr">
        <is>
          <t>DEL BANCO (se hereda)</t>
        </is>
      </c>
      <c r="V798" s="11" t="inlineStr">
        <is>
          <t>9152 · INDUSTRIA Y MANUFACTURA</t>
        </is>
      </c>
      <c r="W798" s="12" t="n"/>
      <c r="X798" s="12" t="n"/>
    </row>
    <row r="799" ht="15" customHeight="1">
      <c r="C799" t="inlineStr">
        <is>
          <t>Actividad económica / giro mercantil</t>
        </is>
      </c>
      <c r="D799" t="inlineStr">
        <is>
          <t>F12</t>
        </is>
      </c>
      <c r="E799" t="inlineStr">
        <is>
          <t>INHERENTE</t>
        </is>
      </c>
      <c r="F799" t="inlineStr">
        <is>
          <t>FABRICACION DE LAPICES</t>
        </is>
      </c>
      <c r="G799" t="n">
        <v>3992048</v>
      </c>
      <c r="H799" t="n">
        <v>1</v>
      </c>
      <c r="I799" t="n">
        <v>1</v>
      </c>
      <c r="J799" t="n">
        <v>8</v>
      </c>
      <c r="K799" t="n">
        <v>8</v>
      </c>
      <c r="L799" t="n">
        <v>8</v>
      </c>
      <c r="M799" t="n">
        <v>8</v>
      </c>
      <c r="N799" t="n">
        <v>8</v>
      </c>
      <c r="O799" t="n">
        <v>40</v>
      </c>
      <c r="P799" t="n">
        <v>8</v>
      </c>
      <c r="R799" s="9" t="n">
        <v>0.08</v>
      </c>
      <c r="S799" s="10" t="inlineStr">
        <is>
          <t>SÍ — integrante</t>
        </is>
      </c>
      <c r="T799" s="11" t="inlineStr">
        <is>
          <t>B · INTEGRANTE</t>
        </is>
      </c>
      <c r="U799" s="11" t="inlineStr">
        <is>
          <t>DEL BANCO (se hereda)</t>
        </is>
      </c>
      <c r="V799" s="11" t="inlineStr">
        <is>
          <t>9152 · INDUSTRIA Y MANUFACTURA</t>
        </is>
      </c>
      <c r="W799" s="12" t="n"/>
      <c r="X799" s="12" t="n"/>
    </row>
    <row r="800" ht="15" customHeight="1">
      <c r="C800" t="inlineStr">
        <is>
          <t>Actividad económica / giro mercantil</t>
        </is>
      </c>
      <c r="D800" t="inlineStr">
        <is>
          <t>F12</t>
        </is>
      </c>
      <c r="E800" t="inlineStr">
        <is>
          <t>INHERENTE</t>
        </is>
      </c>
      <c r="F800" t="inlineStr">
        <is>
          <t>FABRICACION DE PIZARRONES</t>
        </is>
      </c>
      <c r="G800" t="n">
        <v>3992056</v>
      </c>
      <c r="H800" t="n">
        <v>1</v>
      </c>
      <c r="I800" t="n">
        <v>1</v>
      </c>
      <c r="J800" t="n">
        <v>8</v>
      </c>
      <c r="K800" t="n">
        <v>8</v>
      </c>
      <c r="L800" t="n">
        <v>8</v>
      </c>
      <c r="M800" t="n">
        <v>8</v>
      </c>
      <c r="N800" t="n">
        <v>8</v>
      </c>
      <c r="O800" t="n">
        <v>40</v>
      </c>
      <c r="P800" t="n">
        <v>8</v>
      </c>
      <c r="R800" s="9" t="n">
        <v>0.08</v>
      </c>
      <c r="S800" s="10" t="inlineStr">
        <is>
          <t>SÍ — integrante</t>
        </is>
      </c>
      <c r="T800" s="11" t="inlineStr">
        <is>
          <t>B · INTEGRANTE</t>
        </is>
      </c>
      <c r="U800" s="11" t="inlineStr">
        <is>
          <t>DEL BANCO (se hereda)</t>
        </is>
      </c>
      <c r="V800" s="11" t="inlineStr">
        <is>
          <t>9152 · INDUSTRIA Y MANUFACTURA</t>
        </is>
      </c>
      <c r="W800" s="12" t="n"/>
      <c r="X800" s="12" t="n"/>
    </row>
    <row r="801" ht="15" customHeight="1">
      <c r="C801" t="inlineStr">
        <is>
          <t>Actividad económica / giro mercantil</t>
        </is>
      </c>
      <c r="D801" t="inlineStr">
        <is>
          <t>F12</t>
        </is>
      </c>
      <c r="E801" t="inlineStr">
        <is>
          <t>INHERENTE</t>
        </is>
      </c>
      <c r="F801" t="inlineStr">
        <is>
          <t>FABRICACION DE SELLOS DE GOMA</t>
        </is>
      </c>
      <c r="G801" t="n">
        <v>3993012</v>
      </c>
      <c r="H801" t="n">
        <v>1</v>
      </c>
      <c r="I801" t="n">
        <v>1</v>
      </c>
      <c r="J801" t="n">
        <v>8</v>
      </c>
      <c r="K801" t="n">
        <v>8</v>
      </c>
      <c r="L801" t="n">
        <v>8</v>
      </c>
      <c r="M801" t="n">
        <v>8</v>
      </c>
      <c r="N801" t="n">
        <v>8</v>
      </c>
      <c r="O801" t="n">
        <v>40</v>
      </c>
      <c r="P801" t="n">
        <v>8</v>
      </c>
      <c r="R801" s="9" t="n">
        <v>0.08</v>
      </c>
      <c r="S801" s="10" t="inlineStr">
        <is>
          <t>SÍ — integrante</t>
        </is>
      </c>
      <c r="T801" s="11" t="inlineStr">
        <is>
          <t>B · INTEGRANTE</t>
        </is>
      </c>
      <c r="U801" s="11" t="inlineStr">
        <is>
          <t>DEL BANCO (se hereda)</t>
        </is>
      </c>
      <c r="V801" s="11" t="inlineStr">
        <is>
          <t>9152 · INDUSTRIA Y MANUFACTURA</t>
        </is>
      </c>
      <c r="W801" s="12" t="n"/>
      <c r="X801" s="12" t="n"/>
    </row>
    <row r="802" ht="15" customHeight="1">
      <c r="C802" t="inlineStr">
        <is>
          <t>Actividad económica / giro mercantil</t>
        </is>
      </c>
      <c r="D802" t="inlineStr">
        <is>
          <t>F12</t>
        </is>
      </c>
      <c r="E802" t="inlineStr">
        <is>
          <t>INHERENTE</t>
        </is>
      </c>
      <c r="F802" t="inlineStr">
        <is>
          <t>FABRICACION DE SELLOS PARA CARROS DE FERROCARRIL</t>
        </is>
      </c>
      <c r="G802" t="n">
        <v>3993020</v>
      </c>
      <c r="H802" t="n">
        <v>1</v>
      </c>
      <c r="I802" t="n">
        <v>1</v>
      </c>
      <c r="J802" t="n">
        <v>8</v>
      </c>
      <c r="K802" t="n">
        <v>8</v>
      </c>
      <c r="L802" t="n">
        <v>8</v>
      </c>
      <c r="M802" t="n">
        <v>8</v>
      </c>
      <c r="N802" t="n">
        <v>8</v>
      </c>
      <c r="O802" t="n">
        <v>40</v>
      </c>
      <c r="P802" t="n">
        <v>8</v>
      </c>
      <c r="R802" s="9" t="n">
        <v>0.08</v>
      </c>
      <c r="S802" s="10" t="inlineStr">
        <is>
          <t>SÍ — integrante</t>
        </is>
      </c>
      <c r="T802" s="11" t="inlineStr">
        <is>
          <t>B · INTEGRANTE</t>
        </is>
      </c>
      <c r="U802" s="11" t="inlineStr">
        <is>
          <t>DEL BANCO (se hereda)</t>
        </is>
      </c>
      <c r="V802" s="11" t="inlineStr">
        <is>
          <t>9152 · INDUSTRIA Y MANUFACTURA</t>
        </is>
      </c>
      <c r="W802" s="12" t="n"/>
      <c r="X802" s="12" t="n"/>
    </row>
    <row r="803" ht="15" customHeight="1">
      <c r="C803" t="inlineStr">
        <is>
          <t>Actividad económica / giro mercantil</t>
        </is>
      </c>
      <c r="D803" t="inlineStr">
        <is>
          <t>F12</t>
        </is>
      </c>
      <c r="E803" t="inlineStr">
        <is>
          <t>INHERENTE</t>
        </is>
      </c>
      <c r="F803" t="inlineStr">
        <is>
          <t>FABRICACION DE ARTICULOS PARA DENTISTA</t>
        </is>
      </c>
      <c r="G803" t="n">
        <v>3994010</v>
      </c>
      <c r="H803" t="n">
        <v>1</v>
      </c>
      <c r="I803" t="n">
        <v>1</v>
      </c>
      <c r="J803" t="n">
        <v>8</v>
      </c>
      <c r="K803" t="n">
        <v>8</v>
      </c>
      <c r="L803" t="n">
        <v>8</v>
      </c>
      <c r="M803" t="n">
        <v>8</v>
      </c>
      <c r="N803" t="n">
        <v>8</v>
      </c>
      <c r="O803" t="n">
        <v>40</v>
      </c>
      <c r="P803" t="n">
        <v>8</v>
      </c>
      <c r="R803" s="9" t="n">
        <v>0.08</v>
      </c>
      <c r="S803" s="10" t="inlineStr">
        <is>
          <t>SÍ — integrante</t>
        </is>
      </c>
      <c r="T803" s="11" t="inlineStr">
        <is>
          <t>B · INTEGRANTE</t>
        </is>
      </c>
      <c r="U803" s="11" t="inlineStr">
        <is>
          <t>DEL BANCO (se hereda)</t>
        </is>
      </c>
      <c r="V803" s="11" t="inlineStr">
        <is>
          <t>9112 · SERVICIOS PROFESIONALES</t>
        </is>
      </c>
      <c r="W803" s="12" t="n"/>
      <c r="X803" s="12" t="n"/>
    </row>
    <row r="804" ht="15" customHeight="1">
      <c r="C804" t="inlineStr">
        <is>
          <t>Actividad económica / giro mercantil</t>
        </is>
      </c>
      <c r="D804" t="inlineStr">
        <is>
          <t>F12</t>
        </is>
      </c>
      <c r="E804" t="inlineStr">
        <is>
          <t>INHERENTE</t>
        </is>
      </c>
      <c r="F804" t="inlineStr">
        <is>
          <t>FABRICACION DE CERCOS PARA CALZADO</t>
        </is>
      </c>
      <c r="G804" t="n">
        <v>3995018</v>
      </c>
      <c r="H804" t="n">
        <v>1</v>
      </c>
      <c r="I804" t="n">
        <v>1</v>
      </c>
      <c r="J804" t="n">
        <v>8</v>
      </c>
      <c r="K804" t="n">
        <v>8</v>
      </c>
      <c r="L804" t="n">
        <v>8</v>
      </c>
      <c r="M804" t="n">
        <v>8</v>
      </c>
      <c r="N804" t="n">
        <v>8</v>
      </c>
      <c r="O804" t="n">
        <v>40</v>
      </c>
      <c r="P804" t="n">
        <v>8</v>
      </c>
      <c r="R804" s="9" t="n">
        <v>0.08</v>
      </c>
      <c r="S804" s="10" t="inlineStr">
        <is>
          <t>SÍ — integrante</t>
        </is>
      </c>
      <c r="T804" s="11" t="inlineStr">
        <is>
          <t>B · INTEGRANTE</t>
        </is>
      </c>
      <c r="U804" s="11" t="inlineStr">
        <is>
          <t>DEL BANCO (se hereda)</t>
        </is>
      </c>
      <c r="V804" s="11" t="inlineStr">
        <is>
          <t>9152 · INDUSTRIA Y MANUFACTURA</t>
        </is>
      </c>
      <c r="W804" s="12" t="n"/>
      <c r="X804" s="12" t="n"/>
    </row>
    <row r="805" ht="15" customHeight="1">
      <c r="C805" t="inlineStr">
        <is>
          <t>Actividad económica / giro mercantil</t>
        </is>
      </c>
      <c r="D805" t="inlineStr">
        <is>
          <t>F12</t>
        </is>
      </c>
      <c r="E805" t="inlineStr">
        <is>
          <t>INHERENTE</t>
        </is>
      </c>
      <c r="F805" t="inlineStr">
        <is>
          <t>FABRICACION DE HORMAS PARA CALZADO Y TACONES</t>
        </is>
      </c>
      <c r="G805" t="n">
        <v>3995026</v>
      </c>
      <c r="H805" t="n">
        <v>1</v>
      </c>
      <c r="I805" t="n">
        <v>1</v>
      </c>
      <c r="J805" t="n">
        <v>8</v>
      </c>
      <c r="K805" t="n">
        <v>8</v>
      </c>
      <c r="L805" t="n">
        <v>8</v>
      </c>
      <c r="M805" t="n">
        <v>8</v>
      </c>
      <c r="N805" t="n">
        <v>8</v>
      </c>
      <c r="O805" t="n">
        <v>40</v>
      </c>
      <c r="P805" t="n">
        <v>8</v>
      </c>
      <c r="R805" s="9" t="n">
        <v>0.08</v>
      </c>
      <c r="S805" s="10" t="inlineStr">
        <is>
          <t>SÍ — integrante</t>
        </is>
      </c>
      <c r="T805" s="11" t="inlineStr">
        <is>
          <t>B · INTEGRANTE</t>
        </is>
      </c>
      <c r="U805" s="11" t="inlineStr">
        <is>
          <t>DEL BANCO (se hereda)</t>
        </is>
      </c>
      <c r="V805" s="11" t="inlineStr">
        <is>
          <t>9152 · INDUSTRIA Y MANUFACTURA</t>
        </is>
      </c>
      <c r="W805" s="12" t="n"/>
      <c r="X805" s="12" t="n"/>
    </row>
    <row r="806" ht="15" customHeight="1">
      <c r="C806" t="inlineStr">
        <is>
          <t>Actividad económica / giro mercantil</t>
        </is>
      </c>
      <c r="D806" t="inlineStr">
        <is>
          <t>F12</t>
        </is>
      </c>
      <c r="E806" t="inlineStr">
        <is>
          <t>INHERENTE</t>
        </is>
      </c>
      <c r="F806" t="inlineStr">
        <is>
          <t>FABRICACION DE ESCOBAS</t>
        </is>
      </c>
      <c r="G806" t="n">
        <v>3996016</v>
      </c>
      <c r="H806" t="n">
        <v>1</v>
      </c>
      <c r="I806" t="n">
        <v>1</v>
      </c>
      <c r="J806" t="n">
        <v>8</v>
      </c>
      <c r="K806" t="n">
        <v>8</v>
      </c>
      <c r="L806" t="n">
        <v>8</v>
      </c>
      <c r="M806" t="n">
        <v>8</v>
      </c>
      <c r="N806" t="n">
        <v>8</v>
      </c>
      <c r="O806" t="n">
        <v>40</v>
      </c>
      <c r="P806" t="n">
        <v>8</v>
      </c>
      <c r="R806" s="9" t="n">
        <v>0.08</v>
      </c>
      <c r="S806" s="10" t="inlineStr">
        <is>
          <t>SÍ — integrante</t>
        </is>
      </c>
      <c r="T806" s="11" t="inlineStr">
        <is>
          <t>B · INTEGRANTE</t>
        </is>
      </c>
      <c r="U806" s="11" t="inlineStr">
        <is>
          <t>DEL BANCO (se hereda)</t>
        </is>
      </c>
      <c r="V806" s="11" t="inlineStr">
        <is>
          <t>9152 · INDUSTRIA Y MANUFACTURA</t>
        </is>
      </c>
      <c r="W806" s="12" t="n"/>
      <c r="X806" s="12" t="n"/>
    </row>
    <row r="807" ht="15" customHeight="1">
      <c r="C807" t="inlineStr">
        <is>
          <t>Actividad económica / giro mercantil</t>
        </is>
      </c>
      <c r="D807" t="inlineStr">
        <is>
          <t>F12</t>
        </is>
      </c>
      <c r="E807" t="inlineStr">
        <is>
          <t>INHERENTE</t>
        </is>
      </c>
      <c r="F807" t="inlineStr">
        <is>
          <t>FABRICACION DE ARMAS</t>
        </is>
      </c>
      <c r="G807" t="n">
        <v>3997014</v>
      </c>
      <c r="H807" t="n">
        <v>5</v>
      </c>
      <c r="I807" t="n">
        <v>5</v>
      </c>
      <c r="J807" t="n">
        <v>8</v>
      </c>
      <c r="K807" t="n">
        <v>40</v>
      </c>
      <c r="L807" t="n">
        <v>40</v>
      </c>
      <c r="M807" t="n">
        <v>40</v>
      </c>
      <c r="N807" t="n">
        <v>40</v>
      </c>
      <c r="O807" t="n">
        <v>40</v>
      </c>
      <c r="P807" t="n">
        <v>8</v>
      </c>
      <c r="Q807" t="inlineStr">
        <is>
          <t>DETERMINANTE</t>
        </is>
      </c>
      <c r="R807" s="9" t="n">
        <v>0.08</v>
      </c>
      <c r="S807" s="10" t="inlineStr">
        <is>
          <t>SÍ — integrante</t>
        </is>
      </c>
      <c r="T807" s="11" t="inlineStr">
        <is>
          <t>B · INTEGRANTE</t>
        </is>
      </c>
      <c r="U807" s="11" t="inlineStr">
        <is>
          <t>DEL BANCO (se hereda)</t>
        </is>
      </c>
      <c r="V807" s="11" t="inlineStr">
        <is>
          <t>9152 · INDUSTRIA Y MANUFACTURA</t>
        </is>
      </c>
      <c r="W807" s="12" t="n"/>
      <c r="X807" s="12" t="n"/>
    </row>
    <row r="808" ht="15" customHeight="1">
      <c r="C808" t="inlineStr">
        <is>
          <t>Actividad económica / giro mercantil</t>
        </is>
      </c>
      <c r="D808" t="inlineStr">
        <is>
          <t>F12</t>
        </is>
      </c>
      <c r="E808" t="inlineStr">
        <is>
          <t>INHERENTE</t>
        </is>
      </c>
      <c r="F808" t="inlineStr">
        <is>
          <t>FABRICACION DE CARTUCHOS</t>
        </is>
      </c>
      <c r="G808" t="n">
        <v>3997022</v>
      </c>
      <c r="H808" t="n">
        <v>5</v>
      </c>
      <c r="I808" t="n">
        <v>5</v>
      </c>
      <c r="J808" t="n">
        <v>8</v>
      </c>
      <c r="K808" t="n">
        <v>40</v>
      </c>
      <c r="L808" t="n">
        <v>40</v>
      </c>
      <c r="M808" t="n">
        <v>40</v>
      </c>
      <c r="N808" t="n">
        <v>40</v>
      </c>
      <c r="O808" t="n">
        <v>40</v>
      </c>
      <c r="P808" t="n">
        <v>8</v>
      </c>
      <c r="Q808" t="inlineStr">
        <is>
          <t>DETERMINANTE</t>
        </is>
      </c>
      <c r="R808" s="9" t="n">
        <v>0.08</v>
      </c>
      <c r="S808" s="10" t="inlineStr">
        <is>
          <t>SÍ — integrante</t>
        </is>
      </c>
      <c r="T808" s="11" t="inlineStr">
        <is>
          <t>B · INTEGRANTE</t>
        </is>
      </c>
      <c r="U808" s="11" t="inlineStr">
        <is>
          <t>DEL BANCO (se hereda)</t>
        </is>
      </c>
      <c r="V808" s="11" t="inlineStr">
        <is>
          <t>9152 · INDUSTRIA Y MANUFACTURA</t>
        </is>
      </c>
      <c r="W808" s="12" t="n"/>
      <c r="X808" s="12" t="n"/>
    </row>
    <row r="809" ht="15" customHeight="1">
      <c r="C809" t="inlineStr">
        <is>
          <t>Actividad económica / giro mercantil</t>
        </is>
      </c>
      <c r="D809" t="inlineStr">
        <is>
          <t>F12</t>
        </is>
      </c>
      <c r="E809" t="inlineStr">
        <is>
          <t>INHERENTE</t>
        </is>
      </c>
      <c r="F809" t="inlineStr">
        <is>
          <t>FABRICACION DE CASQUILLOS</t>
        </is>
      </c>
      <c r="G809" t="n">
        <v>3997030</v>
      </c>
      <c r="H809" t="n">
        <v>5</v>
      </c>
      <c r="I809" t="n">
        <v>5</v>
      </c>
      <c r="J809" t="n">
        <v>8</v>
      </c>
      <c r="K809" t="n">
        <v>40</v>
      </c>
      <c r="L809" t="n">
        <v>40</v>
      </c>
      <c r="M809" t="n">
        <v>40</v>
      </c>
      <c r="N809" t="n">
        <v>40</v>
      </c>
      <c r="O809" t="n">
        <v>40</v>
      </c>
      <c r="P809" t="n">
        <v>8</v>
      </c>
      <c r="Q809" t="inlineStr">
        <is>
          <t>DETERMINANTE</t>
        </is>
      </c>
      <c r="R809" s="9" t="n">
        <v>0.08</v>
      </c>
      <c r="S809" s="10" t="inlineStr">
        <is>
          <t>SÍ — integrante</t>
        </is>
      </c>
      <c r="T809" s="11" t="inlineStr">
        <is>
          <t>B · INTEGRANTE</t>
        </is>
      </c>
      <c r="U809" s="11" t="inlineStr">
        <is>
          <t>DEL BANCO (se hereda)</t>
        </is>
      </c>
      <c r="V809" s="11" t="inlineStr">
        <is>
          <t>9152 · INDUSTRIA Y MANUFACTURA</t>
        </is>
      </c>
      <c r="W809" s="12" t="n"/>
      <c r="X809" s="12" t="n"/>
    </row>
    <row r="810" ht="15" customHeight="1">
      <c r="C810" t="inlineStr">
        <is>
          <t>Actividad económica / giro mercantil</t>
        </is>
      </c>
      <c r="D810" t="inlineStr">
        <is>
          <t>F12</t>
        </is>
      </c>
      <c r="E810" t="inlineStr">
        <is>
          <t>INHERENTE</t>
        </is>
      </c>
      <c r="F810" t="inlineStr">
        <is>
          <t>FABRICACION DE MUNICIONES PARA CAZA</t>
        </is>
      </c>
      <c r="G810" t="n">
        <v>3997048</v>
      </c>
      <c r="H810" t="n">
        <v>1</v>
      </c>
      <c r="I810" t="n">
        <v>1</v>
      </c>
      <c r="J810" t="n">
        <v>8</v>
      </c>
      <c r="K810" t="n">
        <v>8</v>
      </c>
      <c r="L810" t="n">
        <v>8</v>
      </c>
      <c r="M810" t="n">
        <v>8</v>
      </c>
      <c r="N810" t="n">
        <v>8</v>
      </c>
      <c r="O810" t="n">
        <v>40</v>
      </c>
      <c r="P810" t="n">
        <v>8</v>
      </c>
      <c r="R810" s="9" t="n">
        <v>0.08</v>
      </c>
      <c r="S810" s="10" t="inlineStr">
        <is>
          <t>SÍ — integrante</t>
        </is>
      </c>
      <c r="T810" s="11" t="inlineStr">
        <is>
          <t>B · INTEGRANTE</t>
        </is>
      </c>
      <c r="U810" s="11" t="inlineStr">
        <is>
          <t>DEL BANCO (se hereda)</t>
        </is>
      </c>
      <c r="V810" s="11" t="inlineStr">
        <is>
          <t>9151 · SECTOR PRIMARIO (agropecuario, pesca, forestal, minería)</t>
        </is>
      </c>
      <c r="W810" s="12" t="n"/>
      <c r="X810" s="12" t="n"/>
    </row>
    <row r="811" ht="15" customHeight="1">
      <c r="C811" t="inlineStr">
        <is>
          <t>Actividad económica / giro mercantil</t>
        </is>
      </c>
      <c r="D811" t="inlineStr">
        <is>
          <t>F12</t>
        </is>
      </c>
      <c r="E811" t="inlineStr">
        <is>
          <t>INHERENTE</t>
        </is>
      </c>
      <c r="F811" t="inlineStr">
        <is>
          <t>FABRICACION DE ABANICOS</t>
        </is>
      </c>
      <c r="G811" t="n">
        <v>3999010</v>
      </c>
      <c r="H811" t="n">
        <v>1</v>
      </c>
      <c r="I811" t="n">
        <v>1</v>
      </c>
      <c r="J811" t="n">
        <v>8</v>
      </c>
      <c r="K811" t="n">
        <v>8</v>
      </c>
      <c r="L811" t="n">
        <v>8</v>
      </c>
      <c r="M811" t="n">
        <v>8</v>
      </c>
      <c r="N811" t="n">
        <v>8</v>
      </c>
      <c r="O811" t="n">
        <v>40</v>
      </c>
      <c r="P811" t="n">
        <v>8</v>
      </c>
      <c r="R811" s="9" t="n">
        <v>0.08</v>
      </c>
      <c r="S811" s="10" t="inlineStr">
        <is>
          <t>SÍ — integrante</t>
        </is>
      </c>
      <c r="T811" s="11" t="inlineStr">
        <is>
          <t>B · INTEGRANTE</t>
        </is>
      </c>
      <c r="U811" s="11" t="inlineStr">
        <is>
          <t>DEL BANCO (se hereda)</t>
        </is>
      </c>
      <c r="V811" s="11" t="inlineStr">
        <is>
          <t>9152 · INDUSTRIA Y MANUFACTURA</t>
        </is>
      </c>
      <c r="W811" s="12" t="n"/>
      <c r="X811" s="12" t="n"/>
    </row>
    <row r="812" ht="15" customHeight="1">
      <c r="C812" t="inlineStr">
        <is>
          <t>Actividad económica / giro mercantil</t>
        </is>
      </c>
      <c r="D812" t="inlineStr">
        <is>
          <t>F12</t>
        </is>
      </c>
      <c r="E812" t="inlineStr">
        <is>
          <t>INHERENTE</t>
        </is>
      </c>
      <c r="F812" t="inlineStr">
        <is>
          <t>FABRICACION DE ARTICULOS DE CAREY</t>
        </is>
      </c>
      <c r="G812" t="n">
        <v>3999028</v>
      </c>
      <c r="H812" t="n">
        <v>1</v>
      </c>
      <c r="I812" t="n">
        <v>1</v>
      </c>
      <c r="J812" t="n">
        <v>8</v>
      </c>
      <c r="K812" t="n">
        <v>8</v>
      </c>
      <c r="L812" t="n">
        <v>8</v>
      </c>
      <c r="M812" t="n">
        <v>8</v>
      </c>
      <c r="N812" t="n">
        <v>8</v>
      </c>
      <c r="O812" t="n">
        <v>40</v>
      </c>
      <c r="P812" t="n">
        <v>8</v>
      </c>
      <c r="R812" s="9" t="n">
        <v>0.08</v>
      </c>
      <c r="S812" s="10" t="inlineStr">
        <is>
          <t>SÍ — integrante</t>
        </is>
      </c>
      <c r="T812" s="11" t="inlineStr">
        <is>
          <t>B · INTEGRANTE</t>
        </is>
      </c>
      <c r="U812" s="11" t="inlineStr">
        <is>
          <t>DEL BANCO (se hereda)</t>
        </is>
      </c>
      <c r="V812" s="11" t="inlineStr">
        <is>
          <t>9152 · INDUSTRIA Y MANUFACTURA</t>
        </is>
      </c>
      <c r="W812" s="12" t="n"/>
      <c r="X812" s="12" t="n"/>
    </row>
    <row r="813" ht="15" customHeight="1">
      <c r="C813" t="inlineStr">
        <is>
          <t>Actividad económica / giro mercantil</t>
        </is>
      </c>
      <c r="D813" t="inlineStr">
        <is>
          <t>F12</t>
        </is>
      </c>
      <c r="E813" t="inlineStr">
        <is>
          <t>INHERENTE</t>
        </is>
      </c>
      <c r="F813" t="inlineStr">
        <is>
          <t>FABRICACION DE ARTICULOS DE CONCHA</t>
        </is>
      </c>
      <c r="G813" t="n">
        <v>3999036</v>
      </c>
      <c r="H813" t="n">
        <v>1</v>
      </c>
      <c r="I813" t="n">
        <v>1</v>
      </c>
      <c r="J813" t="n">
        <v>8</v>
      </c>
      <c r="K813" t="n">
        <v>8</v>
      </c>
      <c r="L813" t="n">
        <v>8</v>
      </c>
      <c r="M813" t="n">
        <v>8</v>
      </c>
      <c r="N813" t="n">
        <v>8</v>
      </c>
      <c r="O813" t="n">
        <v>40</v>
      </c>
      <c r="P813" t="n">
        <v>8</v>
      </c>
      <c r="R813" s="9" t="n">
        <v>0.08</v>
      </c>
      <c r="S813" s="10" t="inlineStr">
        <is>
          <t>SÍ — integrante</t>
        </is>
      </c>
      <c r="T813" s="11" t="inlineStr">
        <is>
          <t>B · INTEGRANTE</t>
        </is>
      </c>
      <c r="U813" s="11" t="inlineStr">
        <is>
          <t>DEL BANCO (se hereda)</t>
        </is>
      </c>
      <c r="V813" s="11" t="inlineStr">
        <is>
          <t>9152 · INDUSTRIA Y MANUFACTURA</t>
        </is>
      </c>
      <c r="W813" s="12" t="n"/>
      <c r="X813" s="12" t="n"/>
    </row>
    <row r="814" ht="15" customHeight="1">
      <c r="C814" t="inlineStr">
        <is>
          <t>Actividad económica / giro mercantil</t>
        </is>
      </c>
      <c r="D814" t="inlineStr">
        <is>
          <t>F12</t>
        </is>
      </c>
      <c r="E814" t="inlineStr">
        <is>
          <t>INHERENTE</t>
        </is>
      </c>
      <c r="F814" t="inlineStr">
        <is>
          <t>FABRICACION DE BASTONES PARAGUAS Y SOMBRILLAS</t>
        </is>
      </c>
      <c r="G814" t="n">
        <v>3999044</v>
      </c>
      <c r="H814" t="n">
        <v>1</v>
      </c>
      <c r="I814" t="n">
        <v>1</v>
      </c>
      <c r="J814" t="n">
        <v>8</v>
      </c>
      <c r="K814" t="n">
        <v>8</v>
      </c>
      <c r="L814" t="n">
        <v>8</v>
      </c>
      <c r="M814" t="n">
        <v>8</v>
      </c>
      <c r="N814" t="n">
        <v>8</v>
      </c>
      <c r="O814" t="n">
        <v>40</v>
      </c>
      <c r="P814" t="n">
        <v>8</v>
      </c>
      <c r="R814" s="9" t="n">
        <v>0.08</v>
      </c>
      <c r="S814" s="10" t="inlineStr">
        <is>
          <t>SÍ — integrante</t>
        </is>
      </c>
      <c r="T814" s="11" t="inlineStr">
        <is>
          <t>B · INTEGRANTE</t>
        </is>
      </c>
      <c r="U814" s="11" t="inlineStr">
        <is>
          <t>DEL BANCO (se hereda)</t>
        </is>
      </c>
      <c r="V814" s="11" t="inlineStr">
        <is>
          <t>9152 · INDUSTRIA Y MANUFACTURA</t>
        </is>
      </c>
      <c r="W814" s="12" t="n"/>
      <c r="X814" s="12" t="n"/>
    </row>
    <row r="815" ht="15" customHeight="1">
      <c r="C815" t="inlineStr">
        <is>
          <t>Actividad económica / giro mercantil</t>
        </is>
      </c>
      <c r="D815" t="inlineStr">
        <is>
          <t>F12</t>
        </is>
      </c>
      <c r="E815" t="inlineStr">
        <is>
          <t>INHERENTE</t>
        </is>
      </c>
      <c r="F815" t="inlineStr">
        <is>
          <t>FABRICACION DE FLORES ARTIFICIALES</t>
        </is>
      </c>
      <c r="G815" t="n">
        <v>3999052</v>
      </c>
      <c r="H815" t="n">
        <v>1</v>
      </c>
      <c r="I815" t="n">
        <v>1</v>
      </c>
      <c r="J815" t="n">
        <v>8</v>
      </c>
      <c r="K815" t="n">
        <v>8</v>
      </c>
      <c r="L815" t="n">
        <v>8</v>
      </c>
      <c r="M815" t="n">
        <v>8</v>
      </c>
      <c r="N815" t="n">
        <v>8</v>
      </c>
      <c r="O815" t="n">
        <v>40</v>
      </c>
      <c r="P815" t="n">
        <v>8</v>
      </c>
      <c r="R815" s="9" t="n">
        <v>0.08</v>
      </c>
      <c r="S815" s="10" t="inlineStr">
        <is>
          <t>SÍ — integrante</t>
        </is>
      </c>
      <c r="T815" s="11" t="inlineStr">
        <is>
          <t>B · INTEGRANTE</t>
        </is>
      </c>
      <c r="U815" s="11" t="inlineStr">
        <is>
          <t>DEL BANCO (se hereda)</t>
        </is>
      </c>
      <c r="V815" s="11" t="inlineStr">
        <is>
          <t>9152 · INDUSTRIA Y MANUFACTURA</t>
        </is>
      </c>
      <c r="W815" s="12" t="n"/>
      <c r="X815" s="12" t="n"/>
    </row>
    <row r="816" ht="15" customHeight="1">
      <c r="C816" t="inlineStr">
        <is>
          <t>Actividad económica / giro mercantil</t>
        </is>
      </c>
      <c r="D816" t="inlineStr">
        <is>
          <t>F12</t>
        </is>
      </c>
      <c r="E816" t="inlineStr">
        <is>
          <t>INHERENTE</t>
        </is>
      </c>
      <c r="F816" t="inlineStr">
        <is>
          <t>FABRICACION DE OTROS ARTICULOS DE PLUMA DE AVE</t>
        </is>
      </c>
      <c r="G816" t="n">
        <v>3999060</v>
      </c>
      <c r="H816" t="n">
        <v>1</v>
      </c>
      <c r="I816" t="n">
        <v>1</v>
      </c>
      <c r="J816" t="n">
        <v>8</v>
      </c>
      <c r="K816" t="n">
        <v>8</v>
      </c>
      <c r="L816" t="n">
        <v>8</v>
      </c>
      <c r="M816" t="n">
        <v>8</v>
      </c>
      <c r="N816" t="n">
        <v>8</v>
      </c>
      <c r="O816" t="n">
        <v>40</v>
      </c>
      <c r="P816" t="n">
        <v>8</v>
      </c>
      <c r="R816" s="9" t="n">
        <v>0.08</v>
      </c>
      <c r="S816" s="10" t="inlineStr">
        <is>
          <t>SÍ — integrante</t>
        </is>
      </c>
      <c r="T816" s="11" t="inlineStr">
        <is>
          <t>B · INTEGRANTE</t>
        </is>
      </c>
      <c r="U816" s="11" t="inlineStr">
        <is>
          <t>DEL BANCO (se hereda)</t>
        </is>
      </c>
      <c r="V816" s="11" t="inlineStr">
        <is>
          <t>9152 · INDUSTRIA Y MANUFACTURA</t>
        </is>
      </c>
      <c r="W816" s="12" t="n"/>
      <c r="X816" s="12" t="n"/>
    </row>
    <row r="817" ht="15" customHeight="1">
      <c r="C817" t="inlineStr">
        <is>
          <t>Actividad económica / giro mercantil</t>
        </is>
      </c>
      <c r="D817" t="inlineStr">
        <is>
          <t>F12</t>
        </is>
      </c>
      <c r="E817" t="inlineStr">
        <is>
          <t>INHERENTE</t>
        </is>
      </c>
      <c r="F817" t="inlineStr">
        <is>
          <t>FABRICACION DE ROTULOS</t>
        </is>
      </c>
      <c r="G817" t="n">
        <v>3999078</v>
      </c>
      <c r="H817" t="n">
        <v>1</v>
      </c>
      <c r="I817" t="n">
        <v>1</v>
      </c>
      <c r="J817" t="n">
        <v>8</v>
      </c>
      <c r="K817" t="n">
        <v>8</v>
      </c>
      <c r="L817" t="n">
        <v>8</v>
      </c>
      <c r="M817" t="n">
        <v>8</v>
      </c>
      <c r="N817" t="n">
        <v>8</v>
      </c>
      <c r="O817" t="n">
        <v>40</v>
      </c>
      <c r="P817" t="n">
        <v>8</v>
      </c>
      <c r="R817" s="9" t="n">
        <v>0.08</v>
      </c>
      <c r="S817" s="10" t="inlineStr">
        <is>
          <t>SÍ — integrante</t>
        </is>
      </c>
      <c r="T817" s="11" t="inlineStr">
        <is>
          <t>B · INTEGRANTE</t>
        </is>
      </c>
      <c r="U817" s="11" t="inlineStr">
        <is>
          <t>DEL BANCO (se hereda)</t>
        </is>
      </c>
      <c r="V817" s="11" t="inlineStr">
        <is>
          <t>9152 · INDUSTRIA Y MANUFACTURA</t>
        </is>
      </c>
      <c r="W817" s="12" t="n"/>
      <c r="X817" s="12" t="n"/>
    </row>
    <row r="818" ht="15" customHeight="1">
      <c r="C818" t="inlineStr">
        <is>
          <t>Actividad económica / giro mercantil</t>
        </is>
      </c>
      <c r="D818" t="inlineStr">
        <is>
          <t>F12</t>
        </is>
      </c>
      <c r="E818" t="inlineStr">
        <is>
          <t>INHERENTE</t>
        </is>
      </c>
      <c r="F818" t="inlineStr">
        <is>
          <t>FABRICACION DE TALCO INDUSTRIAL</t>
        </is>
      </c>
      <c r="G818" t="n">
        <v>3999086</v>
      </c>
      <c r="H818" t="n">
        <v>1</v>
      </c>
      <c r="I818" t="n">
        <v>1</v>
      </c>
      <c r="J818" t="n">
        <v>8</v>
      </c>
      <c r="K818" t="n">
        <v>8</v>
      </c>
      <c r="L818" t="n">
        <v>8</v>
      </c>
      <c r="M818" t="n">
        <v>8</v>
      </c>
      <c r="N818" t="n">
        <v>8</v>
      </c>
      <c r="O818" t="n">
        <v>40</v>
      </c>
      <c r="P818" t="n">
        <v>8</v>
      </c>
      <c r="R818" s="9" t="n">
        <v>0.08</v>
      </c>
      <c r="S818" s="10" t="inlineStr">
        <is>
          <t>SÍ — integrante</t>
        </is>
      </c>
      <c r="T818" s="11" t="inlineStr">
        <is>
          <t>B · INTEGRANTE</t>
        </is>
      </c>
      <c r="U818" s="11" t="inlineStr">
        <is>
          <t>DEL BANCO (se hereda)</t>
        </is>
      </c>
      <c r="V818" s="11" t="inlineStr">
        <is>
          <t>9152 · INDUSTRIA Y MANUFACTURA</t>
        </is>
      </c>
      <c r="W818" s="12" t="n"/>
      <c r="X818" s="12" t="n"/>
    </row>
    <row r="819" ht="15" customHeight="1">
      <c r="C819" t="inlineStr">
        <is>
          <t>Actividad económica / giro mercantil</t>
        </is>
      </c>
      <c r="D819" t="inlineStr">
        <is>
          <t>F12</t>
        </is>
      </c>
      <c r="E819" t="inlineStr">
        <is>
          <t>INHERENTE</t>
        </is>
      </c>
      <c r="F819" t="inlineStr">
        <is>
          <t>FABRICACION DE TRAGALUCES Y MARQUESINAS</t>
        </is>
      </c>
      <c r="G819" t="n">
        <v>3999094</v>
      </c>
      <c r="H819" t="n">
        <v>1</v>
      </c>
      <c r="I819" t="n">
        <v>1</v>
      </c>
      <c r="J819" t="n">
        <v>8</v>
      </c>
      <c r="K819" t="n">
        <v>8</v>
      </c>
      <c r="L819" t="n">
        <v>8</v>
      </c>
      <c r="M819" t="n">
        <v>8</v>
      </c>
      <c r="N819" t="n">
        <v>8</v>
      </c>
      <c r="O819" t="n">
        <v>40</v>
      </c>
      <c r="P819" t="n">
        <v>8</v>
      </c>
      <c r="R819" s="9" t="n">
        <v>0.08</v>
      </c>
      <c r="S819" s="10" t="inlineStr">
        <is>
          <t>SÍ — integrante</t>
        </is>
      </c>
      <c r="T819" s="11" t="inlineStr">
        <is>
          <t>B · INTEGRANTE</t>
        </is>
      </c>
      <c r="U819" s="11" t="inlineStr">
        <is>
          <t>DEL BANCO (se hereda)</t>
        </is>
      </c>
      <c r="V819" s="11" t="inlineStr">
        <is>
          <t>9152 · INDUSTRIA Y MANUFACTURA</t>
        </is>
      </c>
      <c r="W819" s="12" t="n"/>
      <c r="X819" s="12" t="n"/>
    </row>
    <row r="820" ht="15" customHeight="1">
      <c r="C820" t="inlineStr">
        <is>
          <t>Actividad económica / giro mercantil</t>
        </is>
      </c>
      <c r="D820" t="inlineStr">
        <is>
          <t>F12</t>
        </is>
      </c>
      <c r="E820" t="inlineStr">
        <is>
          <t>INHERENTE</t>
        </is>
      </c>
      <c r="F820" t="inlineStr">
        <is>
          <t>FABRICACION DE PRODUCTOS MANUFACTURADOS NO CLASIFICADOS EN OTRA PARTE</t>
        </is>
      </c>
      <c r="G820" t="n">
        <v>3999101</v>
      </c>
      <c r="H820" t="n">
        <v>1</v>
      </c>
      <c r="I820" t="n">
        <v>1</v>
      </c>
      <c r="J820" t="n">
        <v>8</v>
      </c>
      <c r="K820" t="n">
        <v>8</v>
      </c>
      <c r="L820" t="n">
        <v>8</v>
      </c>
      <c r="M820" t="n">
        <v>8</v>
      </c>
      <c r="N820" t="n">
        <v>8</v>
      </c>
      <c r="O820" t="n">
        <v>40</v>
      </c>
      <c r="P820" t="n">
        <v>8</v>
      </c>
      <c r="R820" s="9" t="n">
        <v>0.08</v>
      </c>
      <c r="S820" s="10" t="inlineStr">
        <is>
          <t>SÍ — integrante</t>
        </is>
      </c>
      <c r="T820" s="11" t="inlineStr">
        <is>
          <t>B · INTEGRANTE</t>
        </is>
      </c>
      <c r="U820" s="11" t="inlineStr">
        <is>
          <t>DEL BANCO (se hereda)</t>
        </is>
      </c>
      <c r="V820" s="11" t="inlineStr">
        <is>
          <t>9152 · INDUSTRIA Y MANUFACTURA</t>
        </is>
      </c>
      <c r="W820" s="12" t="n"/>
      <c r="X820" s="12" t="n"/>
    </row>
    <row r="821" ht="15" customHeight="1">
      <c r="C821" t="inlineStr">
        <is>
          <t>Actividad económica / giro mercantil</t>
        </is>
      </c>
      <c r="D821" t="inlineStr">
        <is>
          <t>F12</t>
        </is>
      </c>
      <c r="E821" t="inlineStr">
        <is>
          <t>INHERENTE</t>
        </is>
      </c>
      <c r="F821" t="inlineStr">
        <is>
          <t>AJUSTE PROGRAMA VENTA DE CARTERA FOBAPROA</t>
        </is>
      </c>
      <c r="G821" t="n">
        <v>3999119</v>
      </c>
      <c r="H821" t="n">
        <v>1</v>
      </c>
      <c r="I821" t="n">
        <v>1</v>
      </c>
      <c r="J821" t="n">
        <v>8</v>
      </c>
      <c r="K821" t="n">
        <v>8</v>
      </c>
      <c r="L821" t="n">
        <v>8</v>
      </c>
      <c r="M821" t="n">
        <v>8</v>
      </c>
      <c r="N821" t="n">
        <v>8</v>
      </c>
      <c r="O821" t="n">
        <v>40</v>
      </c>
      <c r="P821" t="n">
        <v>8</v>
      </c>
      <c r="R821" s="9" t="n">
        <v>0.08</v>
      </c>
      <c r="S821" s="10" t="inlineStr">
        <is>
          <t>SÍ — integrante</t>
        </is>
      </c>
      <c r="T821" s="11" t="inlineStr">
        <is>
          <t>B · INTEGRANTE</t>
        </is>
      </c>
      <c r="U821" s="11" t="inlineStr">
        <is>
          <t>DEL BANCO (se hereda)</t>
        </is>
      </c>
      <c r="V821" s="11" t="inlineStr">
        <is>
          <t>9113 · COMERCIO GENERAL</t>
        </is>
      </c>
      <c r="W821" s="12" t="n"/>
      <c r="X821" s="12" t="n"/>
    </row>
    <row r="822" ht="15" customHeight="1">
      <c r="C822" t="inlineStr">
        <is>
          <t>Actividad económica / giro mercantil</t>
        </is>
      </c>
      <c r="D822" t="inlineStr">
        <is>
          <t>F12</t>
        </is>
      </c>
      <c r="E822" t="inlineStr">
        <is>
          <t>INHERENTE</t>
        </is>
      </c>
      <c r="F822" t="inlineStr">
        <is>
          <t>AJUSTE ESTADISTICO</t>
        </is>
      </c>
      <c r="G822" t="n">
        <v>3999127</v>
      </c>
      <c r="H822" t="n">
        <v>1</v>
      </c>
      <c r="I822" t="n">
        <v>1</v>
      </c>
      <c r="J822" t="n">
        <v>8</v>
      </c>
      <c r="K822" t="n">
        <v>8</v>
      </c>
      <c r="L822" t="n">
        <v>8</v>
      </c>
      <c r="M822" t="n">
        <v>8</v>
      </c>
      <c r="N822" t="n">
        <v>8</v>
      </c>
      <c r="O822" t="n">
        <v>40</v>
      </c>
      <c r="P822" t="n">
        <v>8</v>
      </c>
      <c r="R822" s="9" t="n">
        <v>0.08</v>
      </c>
      <c r="S822" s="10" t="inlineStr">
        <is>
          <t>SÍ — integrante</t>
        </is>
      </c>
      <c r="T822" s="11" t="inlineStr">
        <is>
          <t>B · INTEGRANTE</t>
        </is>
      </c>
      <c r="U822" s="11" t="inlineStr">
        <is>
          <t>DEL BANCO (se hereda)</t>
        </is>
      </c>
      <c r="V822" s="11" t="inlineStr">
        <is>
          <t>9154 · OTRAS ACTIVIDADES NO CLASIFICADAS</t>
        </is>
      </c>
      <c r="W822" s="12" t="n"/>
      <c r="X822" s="12" t="n"/>
    </row>
    <row r="823" ht="15" customHeight="1">
      <c r="C823" t="inlineStr">
        <is>
          <t>Actividad económica / giro mercantil</t>
        </is>
      </c>
      <c r="D823" t="inlineStr">
        <is>
          <t>F12</t>
        </is>
      </c>
      <c r="E823" t="inlineStr">
        <is>
          <t>INHERENTE</t>
        </is>
      </c>
      <c r="F823" t="inlineStr">
        <is>
          <t>USUARIOS MENORES INDUSTRIA MANUFACTURERA</t>
        </is>
      </c>
      <c r="G823" t="n">
        <v>3999903</v>
      </c>
      <c r="H823" t="n">
        <v>1</v>
      </c>
      <c r="I823" t="n">
        <v>1</v>
      </c>
      <c r="J823" t="n">
        <v>8</v>
      </c>
      <c r="K823" t="n">
        <v>8</v>
      </c>
      <c r="L823" t="n">
        <v>8</v>
      </c>
      <c r="M823" t="n">
        <v>8</v>
      </c>
      <c r="N823" t="n">
        <v>8</v>
      </c>
      <c r="O823" t="n">
        <v>40</v>
      </c>
      <c r="P823" t="n">
        <v>8</v>
      </c>
      <c r="R823" s="9" t="n">
        <v>0.08</v>
      </c>
      <c r="S823" s="10" t="inlineStr">
        <is>
          <t>SÍ — integrante</t>
        </is>
      </c>
      <c r="T823" s="11" t="inlineStr">
        <is>
          <t>B · INTEGRANTE</t>
        </is>
      </c>
      <c r="U823" s="11" t="inlineStr">
        <is>
          <t>DEL BANCO (se hereda)</t>
        </is>
      </c>
      <c r="V823" s="11" t="inlineStr">
        <is>
          <t>9152 · INDUSTRIA Y MANUFACTURA</t>
        </is>
      </c>
      <c r="W823" s="12" t="n"/>
      <c r="X823" s="12" t="n"/>
    </row>
    <row r="824" ht="15" customHeight="1">
      <c r="C824" t="inlineStr">
        <is>
          <t>Actividad económica / giro mercantil</t>
        </is>
      </c>
      <c r="D824" t="inlineStr">
        <is>
          <t>F12</t>
        </is>
      </c>
      <c r="E824" t="inlineStr">
        <is>
          <t>INHERENTE</t>
        </is>
      </c>
      <c r="F824" t="inlineStr">
        <is>
          <t>CARTERA DE INDUSTRIA MANUFACTURERA DE ESTADOS ANAL</t>
        </is>
      </c>
      <c r="G824" t="n">
        <v>3999911</v>
      </c>
      <c r="H824" t="n">
        <v>2</v>
      </c>
      <c r="I824" t="n">
        <v>2</v>
      </c>
      <c r="J824" t="n">
        <v>8</v>
      </c>
      <c r="K824" t="n">
        <v>16</v>
      </c>
      <c r="L824" t="n">
        <v>16</v>
      </c>
      <c r="M824" t="n">
        <v>16</v>
      </c>
      <c r="N824" t="n">
        <v>16</v>
      </c>
      <c r="O824" t="n">
        <v>40</v>
      </c>
      <c r="P824" t="n">
        <v>8</v>
      </c>
      <c r="R824" s="9" t="n">
        <v>0.08</v>
      </c>
      <c r="S824" s="10" t="inlineStr">
        <is>
          <t>SÍ — integrante</t>
        </is>
      </c>
      <c r="T824" s="11" t="inlineStr">
        <is>
          <t>B · INTEGRANTE</t>
        </is>
      </c>
      <c r="U824" s="11" t="inlineStr">
        <is>
          <t>DEL BANCO (se hereda)</t>
        </is>
      </c>
      <c r="V824" s="11" t="inlineStr">
        <is>
          <t>9152 · INDUSTRIA Y MANUFACTURA</t>
        </is>
      </c>
      <c r="W824" s="12" t="n"/>
      <c r="X824" s="12" t="n"/>
    </row>
    <row r="825" ht="15" customHeight="1">
      <c r="C825" t="inlineStr">
        <is>
          <t>Actividad económica / giro mercantil</t>
        </is>
      </c>
      <c r="D825" t="inlineStr">
        <is>
          <t>F12</t>
        </is>
      </c>
      <c r="E825" t="inlineStr">
        <is>
          <t>INHERENTE</t>
        </is>
      </c>
      <c r="F825" t="inlineStr">
        <is>
          <t>CONTRATACIÓN DE OBRAS COMPLETAS DE CONSTRUCCIÓN (CASAS, DEPARTAMENTOS, INMUEBLES, PAVIMENTACIÓN, NO RESIDENCIALES, VIAS DE COMUNICACIÓN)</t>
        </is>
      </c>
      <c r="G825" t="n">
        <v>4100004</v>
      </c>
      <c r="H825" t="n">
        <v>5</v>
      </c>
      <c r="I825" t="n">
        <v>5</v>
      </c>
      <c r="J825" t="n">
        <v>8</v>
      </c>
      <c r="K825" t="n">
        <v>40</v>
      </c>
      <c r="L825" t="n">
        <v>40</v>
      </c>
      <c r="M825" t="n">
        <v>40</v>
      </c>
      <c r="N825" t="n">
        <v>40</v>
      </c>
      <c r="O825" t="n">
        <v>40</v>
      </c>
      <c r="P825" t="n">
        <v>8</v>
      </c>
      <c r="R825" s="9" t="n">
        <v>0.08</v>
      </c>
      <c r="S825" s="10" t="inlineStr">
        <is>
          <t>SÍ — integrante</t>
        </is>
      </c>
      <c r="T825" s="11" t="inlineStr">
        <is>
          <t>B · INTEGRANTE</t>
        </is>
      </c>
      <c r="U825" s="11" t="inlineStr">
        <is>
          <t>DEL BANCO (se hereda)</t>
        </is>
      </c>
      <c r="V825" s="11" t="inlineStr">
        <is>
          <t>9117 · INMOBILIARIO / CONSTRUCCIÓN</t>
        </is>
      </c>
      <c r="W825" s="12" t="n"/>
      <c r="X825" s="12" t="n"/>
    </row>
    <row r="826" ht="15" customHeight="1">
      <c r="C826" t="inlineStr">
        <is>
          <t>Actividad económica / giro mercantil</t>
        </is>
      </c>
      <c r="D826" t="inlineStr">
        <is>
          <t>F12</t>
        </is>
      </c>
      <c r="E826" t="inlineStr">
        <is>
          <t>INHERENTE</t>
        </is>
      </c>
      <c r="F826" t="inlineStr">
        <is>
          <t>CONSTRUCCION DE CASAS Y TECHOS DESARMABLES</t>
        </is>
      </c>
      <c r="G826" t="n">
        <v>4111019</v>
      </c>
      <c r="H826" t="n">
        <v>5</v>
      </c>
      <c r="I826" t="n">
        <v>5</v>
      </c>
      <c r="J826" t="n">
        <v>8</v>
      </c>
      <c r="K826" t="n">
        <v>40</v>
      </c>
      <c r="L826" t="n">
        <v>40</v>
      </c>
      <c r="M826" t="n">
        <v>40</v>
      </c>
      <c r="N826" t="n">
        <v>40</v>
      </c>
      <c r="O826" t="n">
        <v>40</v>
      </c>
      <c r="P826" t="n">
        <v>8</v>
      </c>
      <c r="Q826" t="inlineStr">
        <is>
          <t>DETERMINANTE</t>
        </is>
      </c>
      <c r="R826" s="9" t="n">
        <v>0.08</v>
      </c>
      <c r="S826" s="10" t="inlineStr">
        <is>
          <t>SÍ — integrante</t>
        </is>
      </c>
      <c r="T826" s="11" t="inlineStr">
        <is>
          <t>B · INTEGRANTE</t>
        </is>
      </c>
      <c r="U826" s="11" t="inlineStr">
        <is>
          <t>DEL BANCO (se hereda)</t>
        </is>
      </c>
      <c r="V826" s="11" t="inlineStr">
        <is>
          <t>9117 · INMOBILIARIO / CONSTRUCCIÓN</t>
        </is>
      </c>
      <c r="W826" s="12" t="n"/>
      <c r="X826" s="12" t="n"/>
    </row>
    <row r="827" ht="15" customHeight="1">
      <c r="C827" t="inlineStr">
        <is>
          <t>Actividad económica / giro mercantil</t>
        </is>
      </c>
      <c r="D827" t="inlineStr">
        <is>
          <t>F12</t>
        </is>
      </c>
      <c r="E827" t="inlineStr">
        <is>
          <t>INHERENTE</t>
        </is>
      </c>
      <c r="F827" t="inlineStr">
        <is>
          <t>CONSTRUCCION DE INMUEBLES</t>
        </is>
      </c>
      <c r="G827" t="n">
        <v>4111027</v>
      </c>
      <c r="H827" t="n">
        <v>5</v>
      </c>
      <c r="I827" t="n">
        <v>5</v>
      </c>
      <c r="J827" t="n">
        <v>8</v>
      </c>
      <c r="K827" t="n">
        <v>40</v>
      </c>
      <c r="L827" t="n">
        <v>40</v>
      </c>
      <c r="M827" t="n">
        <v>40</v>
      </c>
      <c r="N827" t="n">
        <v>40</v>
      </c>
      <c r="O827" t="n">
        <v>40</v>
      </c>
      <c r="P827" t="n">
        <v>8</v>
      </c>
      <c r="Q827" t="inlineStr">
        <is>
          <t>DETERMINANTE</t>
        </is>
      </c>
      <c r="R827" s="9" t="n">
        <v>0.08</v>
      </c>
      <c r="S827" s="10" t="inlineStr">
        <is>
          <t>SÍ — integrante</t>
        </is>
      </c>
      <c r="T827" s="11" t="inlineStr">
        <is>
          <t>B · INTEGRANTE</t>
        </is>
      </c>
      <c r="U827" s="11" t="inlineStr">
        <is>
          <t>DEL BANCO (se hereda)</t>
        </is>
      </c>
      <c r="V827" s="11" t="inlineStr">
        <is>
          <t>9117 · INMOBILIARIO / CONSTRUCCIÓN</t>
        </is>
      </c>
      <c r="W827" s="12" t="n"/>
      <c r="X827" s="12" t="n"/>
    </row>
    <row r="828" ht="15" customHeight="1">
      <c r="C828" t="inlineStr">
        <is>
          <t>Actividad económica / giro mercantil</t>
        </is>
      </c>
      <c r="D828" t="inlineStr">
        <is>
          <t>F12</t>
        </is>
      </c>
      <c r="E828" t="inlineStr">
        <is>
          <t>INHERENTE</t>
        </is>
      </c>
      <c r="F828" t="inlineStr">
        <is>
          <t>PRESTAMOS PARA LA CONSTRUCCION DE VIVIENDA  TANTO DE INTERES SOCIAL COMO PROVENIENTES DE LA RESERVA PARA PENSIONES DEL PERSONAL</t>
        </is>
      </c>
      <c r="G828" t="n">
        <v>4111035</v>
      </c>
      <c r="H828" t="n">
        <v>5</v>
      </c>
      <c r="I828" t="n">
        <v>5</v>
      </c>
      <c r="J828" t="n">
        <v>8</v>
      </c>
      <c r="K828" t="n">
        <v>40</v>
      </c>
      <c r="L828" t="n">
        <v>40</v>
      </c>
      <c r="M828" t="n">
        <v>40</v>
      </c>
      <c r="N828" t="n">
        <v>40</v>
      </c>
      <c r="O828" t="n">
        <v>40</v>
      </c>
      <c r="P828" t="n">
        <v>8</v>
      </c>
      <c r="Q828" t="inlineStr">
        <is>
          <t>DETERMINANTE</t>
        </is>
      </c>
      <c r="R828" s="9" t="n">
        <v>0.08</v>
      </c>
      <c r="S828" s="10" t="inlineStr">
        <is>
          <t>SÍ — integrante</t>
        </is>
      </c>
      <c r="T828" s="11" t="inlineStr">
        <is>
          <t>B · INTEGRANTE</t>
        </is>
      </c>
      <c r="U828" s="11" t="inlineStr">
        <is>
          <t>DEL BANCO (se hereda)</t>
        </is>
      </c>
      <c r="V828" s="11" t="inlineStr">
        <is>
          <t>9115 · SECTOR FINANCIERO REGULADO</t>
        </is>
      </c>
      <c r="W828" s="12" t="n"/>
      <c r="X828" s="12" t="n"/>
    </row>
    <row r="829" ht="15" customHeight="1">
      <c r="C829" t="inlineStr">
        <is>
          <t>Actividad económica / giro mercantil</t>
        </is>
      </c>
      <c r="D829" t="inlineStr">
        <is>
          <t>F12</t>
        </is>
      </c>
      <c r="E829" t="inlineStr">
        <is>
          <t>INHERENTE</t>
        </is>
      </c>
      <c r="F829" t="inlineStr">
        <is>
          <t>PRESTAMOS PARA LA CONSTRUCCION DE VIVIENDA PARA ACREDITADOS DE INGRESOS MINIMOS</t>
        </is>
      </c>
      <c r="G829" t="n">
        <v>4111043</v>
      </c>
      <c r="H829" t="n">
        <v>5</v>
      </c>
      <c r="I829" t="n">
        <v>5</v>
      </c>
      <c r="J829" t="n">
        <v>8</v>
      </c>
      <c r="K829" t="n">
        <v>40</v>
      </c>
      <c r="L829" t="n">
        <v>40</v>
      </c>
      <c r="M829" t="n">
        <v>40</v>
      </c>
      <c r="N829" t="n">
        <v>40</v>
      </c>
      <c r="O829" t="n">
        <v>40</v>
      </c>
      <c r="P829" t="n">
        <v>8</v>
      </c>
      <c r="Q829" t="inlineStr">
        <is>
          <t>DETERMINANTE</t>
        </is>
      </c>
      <c r="R829" s="9" t="n">
        <v>0.08</v>
      </c>
      <c r="S829" s="10" t="inlineStr">
        <is>
          <t>SÍ — integrante</t>
        </is>
      </c>
      <c r="T829" s="11" t="inlineStr">
        <is>
          <t>B · INTEGRANTE</t>
        </is>
      </c>
      <c r="U829" s="11" t="inlineStr">
        <is>
          <t>DEL BANCO (se hereda)</t>
        </is>
      </c>
      <c r="V829" s="11" t="inlineStr">
        <is>
          <t>9115 · SECTOR FINANCIERO REGULADO</t>
        </is>
      </c>
      <c r="W829" s="12" t="n"/>
      <c r="X829" s="12" t="n"/>
    </row>
    <row r="830" ht="15" customHeight="1">
      <c r="C830" t="inlineStr">
        <is>
          <t>Actividad económica / giro mercantil</t>
        </is>
      </c>
      <c r="D830" t="inlineStr">
        <is>
          <t>F12</t>
        </is>
      </c>
      <c r="E830" t="inlineStr">
        <is>
          <t>INHERENTE</t>
        </is>
      </c>
      <c r="F830" t="inlineStr">
        <is>
          <t>DESARROLLADORES DE VIVIENDA</t>
        </is>
      </c>
      <c r="G830" t="n">
        <v>4111051</v>
      </c>
      <c r="H830" t="n">
        <v>5</v>
      </c>
      <c r="I830" t="n">
        <v>5</v>
      </c>
      <c r="J830" t="n">
        <v>8</v>
      </c>
      <c r="K830" t="n">
        <v>40</v>
      </c>
      <c r="L830" t="n">
        <v>40</v>
      </c>
      <c r="M830" t="n">
        <v>40</v>
      </c>
      <c r="N830" t="n">
        <v>40</v>
      </c>
      <c r="O830" t="n">
        <v>40</v>
      </c>
      <c r="P830" t="n">
        <v>8</v>
      </c>
      <c r="Q830" t="inlineStr">
        <is>
          <t>DETERMINANTE</t>
        </is>
      </c>
      <c r="R830" s="9" t="n">
        <v>0.08</v>
      </c>
      <c r="S830" s="10" t="inlineStr">
        <is>
          <t>SÍ — integrante</t>
        </is>
      </c>
      <c r="T830" s="11" t="inlineStr">
        <is>
          <t>B · INTEGRANTE</t>
        </is>
      </c>
      <c r="U830" s="11" t="inlineStr">
        <is>
          <t>DEL BANCO (se hereda)</t>
        </is>
      </c>
      <c r="V830" s="11" t="inlineStr">
        <is>
          <t>9117 · INMOBILIARIO / CONSTRUCCIÓN</t>
        </is>
      </c>
      <c r="W830" s="12" t="n"/>
      <c r="X830" s="12" t="n"/>
    </row>
    <row r="831" ht="15" customHeight="1">
      <c r="C831" t="inlineStr">
        <is>
          <t>Actividad económica / giro mercantil</t>
        </is>
      </c>
      <c r="D831" t="inlineStr">
        <is>
          <t>F12</t>
        </is>
      </c>
      <c r="E831" t="inlineStr">
        <is>
          <t>INHERENTE</t>
        </is>
      </c>
      <c r="F831" t="inlineStr">
        <is>
          <t>CARTERA DE VIVIENDA DE INTERES SOCIAL DE ESTADOS A</t>
        </is>
      </c>
      <c r="G831" t="n">
        <v>4111910</v>
      </c>
      <c r="H831" t="n">
        <v>2</v>
      </c>
      <c r="I831" t="n">
        <v>2</v>
      </c>
      <c r="J831" t="n">
        <v>8</v>
      </c>
      <c r="K831" t="n">
        <v>16</v>
      </c>
      <c r="L831" t="n">
        <v>16</v>
      </c>
      <c r="M831" t="n">
        <v>16</v>
      </c>
      <c r="N831" t="n">
        <v>16</v>
      </c>
      <c r="O831" t="n">
        <v>40</v>
      </c>
      <c r="P831" t="n">
        <v>8</v>
      </c>
      <c r="R831" s="9" t="n">
        <v>0.08</v>
      </c>
      <c r="S831" s="10" t="inlineStr">
        <is>
          <t>SÍ — integrante</t>
        </is>
      </c>
      <c r="T831" s="11" t="inlineStr">
        <is>
          <t>B · INTEGRANTE</t>
        </is>
      </c>
      <c r="U831" s="11" t="inlineStr">
        <is>
          <t>DEL BANCO (se hereda)</t>
        </is>
      </c>
      <c r="V831" s="11" t="inlineStr">
        <is>
          <t>9117 · INMOBILIARIO / CONSTRUCCIÓN</t>
        </is>
      </c>
      <c r="W831" s="12" t="n"/>
      <c r="X831" s="12" t="n"/>
    </row>
    <row r="832" ht="15" customHeight="1">
      <c r="C832" t="inlineStr">
        <is>
          <t>Actividad económica / giro mercantil</t>
        </is>
      </c>
      <c r="D832" t="inlineStr">
        <is>
          <t>F12</t>
        </is>
      </c>
      <c r="E832" t="inlineStr">
        <is>
          <t>INHERENTE</t>
        </is>
      </c>
      <c r="F832" t="inlineStr">
        <is>
          <t>CONSTRUCCION DE VIVIENDA TIPO MEDIO</t>
        </is>
      </c>
      <c r="G832" t="n">
        <v>4111928</v>
      </c>
      <c r="H832" t="n">
        <v>5</v>
      </c>
      <c r="I832" t="n">
        <v>5</v>
      </c>
      <c r="J832" t="n">
        <v>8</v>
      </c>
      <c r="K832" t="n">
        <v>40</v>
      </c>
      <c r="L832" t="n">
        <v>40</v>
      </c>
      <c r="M832" t="n">
        <v>40</v>
      </c>
      <c r="N832" t="n">
        <v>40</v>
      </c>
      <c r="O832" t="n">
        <v>40</v>
      </c>
      <c r="P832" t="n">
        <v>8</v>
      </c>
      <c r="Q832" t="inlineStr">
        <is>
          <t>DETERMINANTE</t>
        </is>
      </c>
      <c r="R832" s="9" t="n">
        <v>0.08</v>
      </c>
      <c r="S832" s="10" t="inlineStr">
        <is>
          <t>SÍ — integrante</t>
        </is>
      </c>
      <c r="T832" s="11" t="inlineStr">
        <is>
          <t>B · INTEGRANTE</t>
        </is>
      </c>
      <c r="U832" s="11" t="inlineStr">
        <is>
          <t>DEL BANCO (se hereda)</t>
        </is>
      </c>
      <c r="V832" s="11" t="inlineStr">
        <is>
          <t>9117 · INMOBILIARIO / CONSTRUCCIÓN</t>
        </is>
      </c>
      <c r="W832" s="12" t="n"/>
      <c r="X832" s="12" t="n"/>
    </row>
    <row r="833" ht="15" customHeight="1">
      <c r="C833" t="inlineStr">
        <is>
          <t>Actividad económica / giro mercantil</t>
        </is>
      </c>
      <c r="D833" t="inlineStr">
        <is>
          <t>F12</t>
        </is>
      </c>
      <c r="E833" t="inlineStr">
        <is>
          <t>INHERENTE</t>
        </is>
      </c>
      <c r="F833" t="inlineStr">
        <is>
          <t>USUARIOS MENORES CONSTRUCCION DE VIVIENDA TIPO MEDIO</t>
        </is>
      </c>
      <c r="G833" t="n">
        <v>4111936</v>
      </c>
      <c r="H833" t="n">
        <v>5</v>
      </c>
      <c r="I833" t="n">
        <v>5</v>
      </c>
      <c r="J833" t="n">
        <v>8</v>
      </c>
      <c r="K833" t="n">
        <v>40</v>
      </c>
      <c r="L833" t="n">
        <v>40</v>
      </c>
      <c r="M833" t="n">
        <v>40</v>
      </c>
      <c r="N833" t="n">
        <v>40</v>
      </c>
      <c r="O833" t="n">
        <v>40</v>
      </c>
      <c r="P833" t="n">
        <v>8</v>
      </c>
      <c r="Q833" t="inlineStr">
        <is>
          <t>DETERMINANTE</t>
        </is>
      </c>
      <c r="R833" s="9" t="n">
        <v>0.08</v>
      </c>
      <c r="S833" s="10" t="inlineStr">
        <is>
          <t>SÍ — integrante</t>
        </is>
      </c>
      <c r="T833" s="11" t="inlineStr">
        <is>
          <t>B · INTEGRANTE</t>
        </is>
      </c>
      <c r="U833" s="11" t="inlineStr">
        <is>
          <t>DEL BANCO (se hereda)</t>
        </is>
      </c>
      <c r="V833" s="11" t="inlineStr">
        <is>
          <t>9117 · INMOBILIARIO / CONSTRUCCIÓN</t>
        </is>
      </c>
      <c r="W833" s="12" t="n"/>
      <c r="X833" s="12" t="n"/>
    </row>
    <row r="834" ht="15" customHeight="1">
      <c r="C834" t="inlineStr">
        <is>
          <t>Actividad económica / giro mercantil</t>
        </is>
      </c>
      <c r="D834" t="inlineStr">
        <is>
          <t>F12</t>
        </is>
      </c>
      <c r="E834" t="inlineStr">
        <is>
          <t>INHERENTE</t>
        </is>
      </c>
      <c r="F834" t="inlineStr">
        <is>
          <t>CONSTRUCCION DE VIVIENDA RESIDENCIAL</t>
        </is>
      </c>
      <c r="G834" t="n">
        <v>4111944</v>
      </c>
      <c r="H834" t="n">
        <v>5</v>
      </c>
      <c r="I834" t="n">
        <v>5</v>
      </c>
      <c r="J834" t="n">
        <v>8</v>
      </c>
      <c r="K834" t="n">
        <v>40</v>
      </c>
      <c r="L834" t="n">
        <v>40</v>
      </c>
      <c r="M834" t="n">
        <v>40</v>
      </c>
      <c r="N834" t="n">
        <v>40</v>
      </c>
      <c r="O834" t="n">
        <v>40</v>
      </c>
      <c r="P834" t="n">
        <v>8</v>
      </c>
      <c r="Q834" t="inlineStr">
        <is>
          <t>DETERMINANTE</t>
        </is>
      </c>
      <c r="R834" s="9" t="n">
        <v>0.08</v>
      </c>
      <c r="S834" s="10" t="inlineStr">
        <is>
          <t>SÍ — integrante</t>
        </is>
      </c>
      <c r="T834" s="11" t="inlineStr">
        <is>
          <t>B · INTEGRANTE</t>
        </is>
      </c>
      <c r="U834" s="11" t="inlineStr">
        <is>
          <t>DEL BANCO (se hereda)</t>
        </is>
      </c>
      <c r="V834" s="11" t="inlineStr">
        <is>
          <t>9117 · INMOBILIARIO / CONSTRUCCIÓN</t>
        </is>
      </c>
      <c r="W834" s="12" t="n"/>
      <c r="X834" s="12" t="n"/>
    </row>
    <row r="835" ht="15" customHeight="1">
      <c r="C835" t="inlineStr">
        <is>
          <t>Actividad económica / giro mercantil</t>
        </is>
      </c>
      <c r="D835" t="inlineStr">
        <is>
          <t>F12</t>
        </is>
      </c>
      <c r="E835" t="inlineStr">
        <is>
          <t>INHERENTE</t>
        </is>
      </c>
      <c r="F835" t="inlineStr">
        <is>
          <t>MENORES CONSTRUCCION DE VIVIENDA RESIDENCIAL</t>
        </is>
      </c>
      <c r="G835" t="n">
        <v>4111952</v>
      </c>
      <c r="H835" t="n">
        <v>5</v>
      </c>
      <c r="I835" t="n">
        <v>5</v>
      </c>
      <c r="J835" t="n">
        <v>8</v>
      </c>
      <c r="K835" t="n">
        <v>40</v>
      </c>
      <c r="L835" t="n">
        <v>40</v>
      </c>
      <c r="M835" t="n">
        <v>40</v>
      </c>
      <c r="N835" t="n">
        <v>40</v>
      </c>
      <c r="O835" t="n">
        <v>40</v>
      </c>
      <c r="P835" t="n">
        <v>8</v>
      </c>
      <c r="Q835" t="inlineStr">
        <is>
          <t>DETERMINANTE</t>
        </is>
      </c>
      <c r="R835" s="9" t="n">
        <v>0.08</v>
      </c>
      <c r="S835" s="10" t="inlineStr">
        <is>
          <t>SÍ — integrante</t>
        </is>
      </c>
      <c r="T835" s="11" t="inlineStr">
        <is>
          <t>B · INTEGRANTE</t>
        </is>
      </c>
      <c r="U835" s="11" t="inlineStr">
        <is>
          <t>DEL BANCO (se hereda)</t>
        </is>
      </c>
      <c r="V835" s="11" t="inlineStr">
        <is>
          <t>9117 · INMOBILIARIO / CONSTRUCCIÓN</t>
        </is>
      </c>
      <c r="W835" s="12" t="n"/>
      <c r="X835" s="12" t="n"/>
    </row>
    <row r="836" ht="15" customHeight="1">
      <c r="C836" t="inlineStr">
        <is>
          <t>Actividad económica / giro mercantil</t>
        </is>
      </c>
      <c r="D836" t="inlineStr">
        <is>
          <t>F12</t>
        </is>
      </c>
      <c r="E836" t="inlineStr">
        <is>
          <t>INHERENTE</t>
        </is>
      </c>
      <c r="F836" t="inlineStr">
        <is>
          <t>CONSTRUCCION DE EDIFICIOS PARA OFICINAS ESCUELAS HOSPITALES HOTELES Y OTROS NO RESIDENCIALES</t>
        </is>
      </c>
      <c r="G836" t="n">
        <v>4112017</v>
      </c>
      <c r="H836" t="n">
        <v>5</v>
      </c>
      <c r="I836" t="n">
        <v>5</v>
      </c>
      <c r="J836" t="n">
        <v>8</v>
      </c>
      <c r="K836" t="n">
        <v>40</v>
      </c>
      <c r="L836" t="n">
        <v>40</v>
      </c>
      <c r="M836" t="n">
        <v>40</v>
      </c>
      <c r="N836" t="n">
        <v>40</v>
      </c>
      <c r="O836" t="n">
        <v>40</v>
      </c>
      <c r="P836" t="n">
        <v>8</v>
      </c>
      <c r="Q836" t="inlineStr">
        <is>
          <t>DETERMINANTE</t>
        </is>
      </c>
      <c r="R836" s="9" t="n">
        <v>0.08</v>
      </c>
      <c r="S836" s="10" t="inlineStr">
        <is>
          <t>SÍ — integrante</t>
        </is>
      </c>
      <c r="T836" s="11" t="inlineStr">
        <is>
          <t>B · INTEGRANTE</t>
        </is>
      </c>
      <c r="U836" s="11" t="inlineStr">
        <is>
          <t>DEL BANCO (se hereda)</t>
        </is>
      </c>
      <c r="V836" s="11" t="inlineStr">
        <is>
          <t>9117 · INMOBILIARIO / CONSTRUCCIÓN</t>
        </is>
      </c>
      <c r="W836" s="12" t="n"/>
      <c r="X836" s="12" t="n"/>
    </row>
    <row r="837" ht="15" customHeight="1">
      <c r="C837" t="inlineStr">
        <is>
          <t>Actividad económica / giro mercantil</t>
        </is>
      </c>
      <c r="D837" t="inlineStr">
        <is>
          <t>F12</t>
        </is>
      </c>
      <c r="E837" t="inlineStr">
        <is>
          <t>INHERENTE</t>
        </is>
      </c>
      <c r="F837" t="inlineStr">
        <is>
          <t>CONSTRUCCION DE EDIFICIOS INDUSTRIALES Y PARA FINES ANALOGOS</t>
        </is>
      </c>
      <c r="G837" t="n">
        <v>4113015</v>
      </c>
      <c r="H837" t="n">
        <v>5</v>
      </c>
      <c r="I837" t="n">
        <v>5</v>
      </c>
      <c r="J837" t="n">
        <v>8</v>
      </c>
      <c r="K837" t="n">
        <v>40</v>
      </c>
      <c r="L837" t="n">
        <v>40</v>
      </c>
      <c r="M837" t="n">
        <v>40</v>
      </c>
      <c r="N837" t="n">
        <v>40</v>
      </c>
      <c r="O837" t="n">
        <v>40</v>
      </c>
      <c r="P837" t="n">
        <v>8</v>
      </c>
      <c r="Q837" t="inlineStr">
        <is>
          <t>DETERMINANTE</t>
        </is>
      </c>
      <c r="R837" s="9" t="n">
        <v>0.08</v>
      </c>
      <c r="S837" s="10" t="inlineStr">
        <is>
          <t>SÍ — integrante</t>
        </is>
      </c>
      <c r="T837" s="11" t="inlineStr">
        <is>
          <t>B · INTEGRANTE</t>
        </is>
      </c>
      <c r="U837" s="11" t="inlineStr">
        <is>
          <t>DEL BANCO (se hereda)</t>
        </is>
      </c>
      <c r="V837" s="11" t="inlineStr">
        <is>
          <t>9117 · INMOBILIARIO / CONSTRUCCIÓN</t>
        </is>
      </c>
      <c r="W837" s="12" t="n"/>
      <c r="X837" s="12" t="n"/>
    </row>
    <row r="838" ht="15" customHeight="1">
      <c r="C838" t="inlineStr">
        <is>
          <t>Actividad económica / giro mercantil</t>
        </is>
      </c>
      <c r="D838" t="inlineStr">
        <is>
          <t>F12</t>
        </is>
      </c>
      <c r="E838" t="inlineStr">
        <is>
          <t>INHERENTE</t>
        </is>
      </c>
      <c r="F838" t="inlineStr">
        <is>
          <t>CONSTRUCCION DE VIAS DE COMUNICACION</t>
        </is>
      </c>
      <c r="G838" t="n">
        <v>4121018</v>
      </c>
      <c r="H838" t="n">
        <v>5</v>
      </c>
      <c r="I838" t="n">
        <v>5</v>
      </c>
      <c r="J838" t="n">
        <v>8</v>
      </c>
      <c r="K838" t="n">
        <v>40</v>
      </c>
      <c r="L838" t="n">
        <v>40</v>
      </c>
      <c r="M838" t="n">
        <v>40</v>
      </c>
      <c r="N838" t="n">
        <v>40</v>
      </c>
      <c r="O838" t="n">
        <v>40</v>
      </c>
      <c r="P838" t="n">
        <v>8</v>
      </c>
      <c r="Q838" t="inlineStr">
        <is>
          <t>DETERMINANTE</t>
        </is>
      </c>
      <c r="R838" s="9" t="n">
        <v>0.08</v>
      </c>
      <c r="S838" s="10" t="inlineStr">
        <is>
          <t>SÍ — integrante</t>
        </is>
      </c>
      <c r="T838" s="11" t="inlineStr">
        <is>
          <t>B · INTEGRANTE</t>
        </is>
      </c>
      <c r="U838" s="11" t="inlineStr">
        <is>
          <t>DEL BANCO (se hereda)</t>
        </is>
      </c>
      <c r="V838" s="11" t="inlineStr">
        <is>
          <t>9117 · INMOBILIARIO / CONSTRUCCIÓN</t>
        </is>
      </c>
      <c r="W838" s="12" t="n"/>
      <c r="X838" s="12" t="n"/>
    </row>
    <row r="839" ht="15" customHeight="1">
      <c r="C839" t="inlineStr">
        <is>
          <t>Actividad económica / giro mercantil</t>
        </is>
      </c>
      <c r="D839" t="inlineStr">
        <is>
          <t>F12</t>
        </is>
      </c>
      <c r="E839" t="inlineStr">
        <is>
          <t>INHERENTE</t>
        </is>
      </c>
      <c r="F839" t="inlineStr">
        <is>
          <t>PAVIMENTACION</t>
        </is>
      </c>
      <c r="G839" t="n">
        <v>4121026</v>
      </c>
      <c r="H839" t="n">
        <v>5</v>
      </c>
      <c r="I839" t="n">
        <v>5</v>
      </c>
      <c r="J839" t="n">
        <v>8</v>
      </c>
      <c r="K839" t="n">
        <v>40</v>
      </c>
      <c r="L839" t="n">
        <v>40</v>
      </c>
      <c r="M839" t="n">
        <v>40</v>
      </c>
      <c r="N839" t="n">
        <v>40</v>
      </c>
      <c r="O839" t="n">
        <v>40</v>
      </c>
      <c r="P839" t="n">
        <v>8</v>
      </c>
      <c r="Q839" t="inlineStr">
        <is>
          <t>DETERMINANTE</t>
        </is>
      </c>
      <c r="R839" s="9" t="n">
        <v>0.08</v>
      </c>
      <c r="S839" s="10" t="inlineStr">
        <is>
          <t>SÍ — integrante</t>
        </is>
      </c>
      <c r="T839" s="11" t="inlineStr">
        <is>
          <t>B · INTEGRANTE</t>
        </is>
      </c>
      <c r="U839" s="11" t="inlineStr">
        <is>
          <t>DEL BANCO (se hereda)</t>
        </is>
      </c>
      <c r="V839" s="11" t="inlineStr">
        <is>
          <t>9154 · OTRAS ACTIVIDADES NO CLASIFICADAS</t>
        </is>
      </c>
      <c r="W839" s="12" t="n"/>
      <c r="X839" s="12" t="n"/>
    </row>
    <row r="840" ht="15" customHeight="1">
      <c r="C840" t="inlineStr">
        <is>
          <t>Actividad económica / giro mercantil</t>
        </is>
      </c>
      <c r="D840" t="inlineStr">
        <is>
          <t>F12</t>
        </is>
      </c>
      <c r="E840" t="inlineStr">
        <is>
          <t>INHERENTE</t>
        </is>
      </c>
      <c r="F840" t="inlineStr">
        <is>
          <t>URBANIZACION</t>
        </is>
      </c>
      <c r="G840" t="n">
        <v>4121034</v>
      </c>
      <c r="H840" t="n">
        <v>5</v>
      </c>
      <c r="I840" t="n">
        <v>5</v>
      </c>
      <c r="J840" t="n">
        <v>8</v>
      </c>
      <c r="K840" t="n">
        <v>40</v>
      </c>
      <c r="L840" t="n">
        <v>40</v>
      </c>
      <c r="M840" t="n">
        <v>40</v>
      </c>
      <c r="N840" t="n">
        <v>40</v>
      </c>
      <c r="O840" t="n">
        <v>40</v>
      </c>
      <c r="P840" t="n">
        <v>8</v>
      </c>
      <c r="Q840" t="inlineStr">
        <is>
          <t>DETERMINANTE</t>
        </is>
      </c>
      <c r="R840" s="9" t="n">
        <v>0.08</v>
      </c>
      <c r="S840" s="10" t="inlineStr">
        <is>
          <t>SÍ — integrante</t>
        </is>
      </c>
      <c r="T840" s="11" t="inlineStr">
        <is>
          <t>B · INTEGRANTE</t>
        </is>
      </c>
      <c r="U840" s="11" t="inlineStr">
        <is>
          <t>DEL BANCO (se hereda)</t>
        </is>
      </c>
      <c r="V840" s="11" t="inlineStr">
        <is>
          <t>9117 · INMOBILIARIO / CONSTRUCCIÓN</t>
        </is>
      </c>
      <c r="W840" s="12" t="n"/>
      <c r="X840" s="12" t="n"/>
    </row>
    <row r="841" ht="15" customHeight="1">
      <c r="C841" t="inlineStr">
        <is>
          <t>Actividad económica / giro mercantil</t>
        </is>
      </c>
      <c r="D841" t="inlineStr">
        <is>
          <t>F12</t>
        </is>
      </c>
      <c r="E841" t="inlineStr">
        <is>
          <t>INHERENTE</t>
        </is>
      </c>
      <c r="F841" t="inlineStr">
        <is>
          <t>CONSTRUCCION DE PUERTOS</t>
        </is>
      </c>
      <c r="G841" t="n">
        <v>4122016</v>
      </c>
      <c r="H841" t="n">
        <v>5</v>
      </c>
      <c r="I841" t="n">
        <v>5</v>
      </c>
      <c r="J841" t="n">
        <v>8</v>
      </c>
      <c r="K841" t="n">
        <v>40</v>
      </c>
      <c r="L841" t="n">
        <v>40</v>
      </c>
      <c r="M841" t="n">
        <v>40</v>
      </c>
      <c r="N841" t="n">
        <v>40</v>
      </c>
      <c r="O841" t="n">
        <v>40</v>
      </c>
      <c r="P841" t="n">
        <v>8</v>
      </c>
      <c r="Q841" t="inlineStr">
        <is>
          <t>DETERMINANTE</t>
        </is>
      </c>
      <c r="R841" s="9" t="n">
        <v>0.08</v>
      </c>
      <c r="S841" s="10" t="inlineStr">
        <is>
          <t>SÍ — integrante</t>
        </is>
      </c>
      <c r="T841" s="11" t="inlineStr">
        <is>
          <t>B · INTEGRANTE</t>
        </is>
      </c>
      <c r="U841" s="11" t="inlineStr">
        <is>
          <t>DEL BANCO (se hereda)</t>
        </is>
      </c>
      <c r="V841" s="11" t="inlineStr">
        <is>
          <t>9117 · INMOBILIARIO / CONSTRUCCIÓN</t>
        </is>
      </c>
      <c r="W841" s="12" t="n"/>
      <c r="X841" s="12" t="n"/>
    </row>
    <row r="842" ht="15" customHeight="1">
      <c r="C842" t="inlineStr">
        <is>
          <t>Actividad económica / giro mercantil</t>
        </is>
      </c>
      <c r="D842" t="inlineStr">
        <is>
          <t>F12</t>
        </is>
      </c>
      <c r="E842" t="inlineStr">
        <is>
          <t>INHERENTE</t>
        </is>
      </c>
      <c r="F842" t="inlineStr">
        <is>
          <t>CONSTRUCCION E INSTALACION DE LINEAS TELEFONICAS TORRES EMISORAS DE RADIO Y TELEVISION Y OTRAS OBRAS CONEXAS</t>
        </is>
      </c>
      <c r="G842" t="n">
        <v>4123014</v>
      </c>
      <c r="H842" t="n">
        <v>5</v>
      </c>
      <c r="I842" t="n">
        <v>5</v>
      </c>
      <c r="J842" t="n">
        <v>8</v>
      </c>
      <c r="K842" t="n">
        <v>40</v>
      </c>
      <c r="L842" t="n">
        <v>40</v>
      </c>
      <c r="M842" t="n">
        <v>40</v>
      </c>
      <c r="N842" t="n">
        <v>40</v>
      </c>
      <c r="O842" t="n">
        <v>40</v>
      </c>
      <c r="P842" t="n">
        <v>8</v>
      </c>
      <c r="Q842" t="inlineStr">
        <is>
          <t>DETERMINANTE</t>
        </is>
      </c>
      <c r="R842" s="9" t="n">
        <v>0.08</v>
      </c>
      <c r="S842" s="10" t="inlineStr">
        <is>
          <t>SÍ — integrante</t>
        </is>
      </c>
      <c r="T842" s="11" t="inlineStr">
        <is>
          <t>B · INTEGRANTE</t>
        </is>
      </c>
      <c r="U842" s="11" t="inlineStr">
        <is>
          <t>DEL BANCO (se hereda)</t>
        </is>
      </c>
      <c r="V842" s="11" t="inlineStr">
        <is>
          <t>9117 · INMOBILIARIO / CONSTRUCCIÓN</t>
        </is>
      </c>
      <c r="W842" s="12" t="n"/>
      <c r="X842" s="12" t="n"/>
    </row>
    <row r="843" ht="15" customHeight="1">
      <c r="C843" t="inlineStr">
        <is>
          <t>Actividad económica / giro mercantil</t>
        </is>
      </c>
      <c r="D843" t="inlineStr">
        <is>
          <t>F12</t>
        </is>
      </c>
      <c r="E843" t="inlineStr">
        <is>
          <t>INHERENTE</t>
        </is>
      </c>
      <c r="F843" t="inlineStr">
        <is>
          <t>CONSTRUCCION DE PISTAS DE ATERRIZAJE DUCTOS Y OTRAS OBRAS VINCULADAS A LAS VIAS DE COMUNICACION</t>
        </is>
      </c>
      <c r="G843" t="n">
        <v>4129012</v>
      </c>
      <c r="H843" t="n">
        <v>5</v>
      </c>
      <c r="I843" t="n">
        <v>5</v>
      </c>
      <c r="J843" t="n">
        <v>8</v>
      </c>
      <c r="K843" t="n">
        <v>40</v>
      </c>
      <c r="L843" t="n">
        <v>40</v>
      </c>
      <c r="M843" t="n">
        <v>40</v>
      </c>
      <c r="N843" t="n">
        <v>40</v>
      </c>
      <c r="O843" t="n">
        <v>40</v>
      </c>
      <c r="P843" t="n">
        <v>8</v>
      </c>
      <c r="Q843" t="inlineStr">
        <is>
          <t>DETERMINANTE</t>
        </is>
      </c>
      <c r="R843" s="9" t="n">
        <v>0.08</v>
      </c>
      <c r="S843" s="10" t="inlineStr">
        <is>
          <t>SÍ — integrante</t>
        </is>
      </c>
      <c r="T843" s="11" t="inlineStr">
        <is>
          <t>B · INTEGRANTE</t>
        </is>
      </c>
      <c r="U843" s="11" t="inlineStr">
        <is>
          <t>DEL BANCO (se hereda)</t>
        </is>
      </c>
      <c r="V843" s="11" t="inlineStr">
        <is>
          <t>9117 · INMOBILIARIO / CONSTRUCCIÓN</t>
        </is>
      </c>
      <c r="W843" s="12" t="n"/>
      <c r="X843" s="12" t="n"/>
    </row>
    <row r="844" ht="15" customHeight="1">
      <c r="C844" t="inlineStr">
        <is>
          <t>Actividad económica / giro mercantil</t>
        </is>
      </c>
      <c r="D844" t="inlineStr">
        <is>
          <t>F12</t>
        </is>
      </c>
      <c r="E844" t="inlineStr">
        <is>
          <t>INHERENTE</t>
        </is>
      </c>
      <c r="F844" t="inlineStr">
        <is>
          <t>CONSTRUCCION DE PRESAS</t>
        </is>
      </c>
      <c r="G844" t="n">
        <v>4191011</v>
      </c>
      <c r="H844" t="n">
        <v>5</v>
      </c>
      <c r="I844" t="n">
        <v>5</v>
      </c>
      <c r="J844" t="n">
        <v>8</v>
      </c>
      <c r="K844" t="n">
        <v>40</v>
      </c>
      <c r="L844" t="n">
        <v>40</v>
      </c>
      <c r="M844" t="n">
        <v>40</v>
      </c>
      <c r="N844" t="n">
        <v>40</v>
      </c>
      <c r="O844" t="n">
        <v>40</v>
      </c>
      <c r="P844" t="n">
        <v>8</v>
      </c>
      <c r="Q844" t="inlineStr">
        <is>
          <t>DETERMINANTE</t>
        </is>
      </c>
      <c r="R844" s="9" t="n">
        <v>0.08</v>
      </c>
      <c r="S844" s="10" t="inlineStr">
        <is>
          <t>SÍ — integrante</t>
        </is>
      </c>
      <c r="T844" s="11" t="inlineStr">
        <is>
          <t>B · INTEGRANTE</t>
        </is>
      </c>
      <c r="U844" s="11" t="inlineStr">
        <is>
          <t>DEL BANCO (se hereda)</t>
        </is>
      </c>
      <c r="V844" s="11" t="inlineStr">
        <is>
          <t>9117 · INMOBILIARIO / CONSTRUCCIÓN</t>
        </is>
      </c>
      <c r="W844" s="12" t="n"/>
      <c r="X844" s="12" t="n"/>
    </row>
    <row r="845" ht="15" customHeight="1">
      <c r="C845" t="inlineStr">
        <is>
          <t>Actividad económica / giro mercantil</t>
        </is>
      </c>
      <c r="D845" t="inlineStr">
        <is>
          <t>F12</t>
        </is>
      </c>
      <c r="E845" t="inlineStr">
        <is>
          <t>INHERENTE</t>
        </is>
      </c>
      <c r="F845" t="inlineStr">
        <is>
          <t>PERFORACION DE NORIAS Y POZOS PARA AGUA</t>
        </is>
      </c>
      <c r="G845" t="n">
        <v>4192019</v>
      </c>
      <c r="H845" t="n">
        <v>1</v>
      </c>
      <c r="I845" t="n">
        <v>1</v>
      </c>
      <c r="J845" t="n">
        <v>8</v>
      </c>
      <c r="K845" t="n">
        <v>8</v>
      </c>
      <c r="L845" t="n">
        <v>8</v>
      </c>
      <c r="M845" t="n">
        <v>8</v>
      </c>
      <c r="N845" t="n">
        <v>8</v>
      </c>
      <c r="O845" t="n">
        <v>40</v>
      </c>
      <c r="P845" t="n">
        <v>8</v>
      </c>
      <c r="R845" s="9" t="n">
        <v>0.08</v>
      </c>
      <c r="S845" s="10" t="inlineStr">
        <is>
          <t>SÍ — integrante</t>
        </is>
      </c>
      <c r="T845" s="11" t="inlineStr">
        <is>
          <t>B · INTEGRANTE</t>
        </is>
      </c>
      <c r="U845" s="11" t="inlineStr">
        <is>
          <t>DEL BANCO (se hereda)</t>
        </is>
      </c>
      <c r="V845" s="11" t="inlineStr">
        <is>
          <t>9151 · SECTOR PRIMARIO (agropecuario, pesca, forestal, minería)</t>
        </is>
      </c>
      <c r="W845" s="12" t="n"/>
      <c r="X845" s="12" t="n"/>
    </row>
    <row r="846" ht="15" customHeight="1">
      <c r="C846" t="inlineStr">
        <is>
          <t>Actividad económica / giro mercantil</t>
        </is>
      </c>
      <c r="D846" t="inlineStr">
        <is>
          <t>F12</t>
        </is>
      </c>
      <c r="E846" t="inlineStr">
        <is>
          <t>INHERENTE</t>
        </is>
      </c>
      <c r="F846" t="inlineStr">
        <is>
          <t>CONSTRUCCION E INSTALACION DE PLANTAS GENERADORAS Y LINEAS DE TRANSMISION Y DISTRIBUCION DE ENERGIA ELECTRICA</t>
        </is>
      </c>
      <c r="G846" t="n">
        <v>4193017</v>
      </c>
      <c r="H846" t="n">
        <v>4</v>
      </c>
      <c r="I846" t="n">
        <v>4</v>
      </c>
      <c r="J846" t="n">
        <v>8</v>
      </c>
      <c r="K846" t="n">
        <v>32</v>
      </c>
      <c r="L846" t="n">
        <v>32</v>
      </c>
      <c r="M846" t="n">
        <v>32</v>
      </c>
      <c r="N846" t="n">
        <v>32</v>
      </c>
      <c r="O846" t="n">
        <v>40</v>
      </c>
      <c r="P846" t="n">
        <v>8</v>
      </c>
      <c r="R846" s="9" t="n">
        <v>0.08</v>
      </c>
      <c r="S846" s="10" t="inlineStr">
        <is>
          <t>SÍ — integrante</t>
        </is>
      </c>
      <c r="T846" s="11" t="inlineStr">
        <is>
          <t>B · INTEGRANTE</t>
        </is>
      </c>
      <c r="U846" s="11" t="inlineStr">
        <is>
          <t>DEL BANCO (se hereda)</t>
        </is>
      </c>
      <c r="V846" s="11" t="inlineStr">
        <is>
          <t>9117 · INMOBILIARIO / CONSTRUCCIÓN</t>
        </is>
      </c>
      <c r="W846" s="12" t="n"/>
      <c r="X846" s="12" t="n"/>
    </row>
    <row r="847" ht="15" customHeight="1">
      <c r="C847" t="inlineStr">
        <is>
          <t>Actividad económica / giro mercantil</t>
        </is>
      </c>
      <c r="D847" t="inlineStr">
        <is>
          <t>F12</t>
        </is>
      </c>
      <c r="E847" t="inlineStr">
        <is>
          <t>INHERENTE</t>
        </is>
      </c>
      <c r="F847" t="inlineStr">
        <is>
          <t>PERFORACION DE POZOS PETROLEROS Y DE GAS</t>
        </is>
      </c>
      <c r="G847" t="n">
        <v>4194015</v>
      </c>
      <c r="H847" t="n">
        <v>5</v>
      </c>
      <c r="I847" t="n">
        <v>5</v>
      </c>
      <c r="J847" t="n">
        <v>8</v>
      </c>
      <c r="K847" t="n">
        <v>40</v>
      </c>
      <c r="L847" t="n">
        <v>40</v>
      </c>
      <c r="M847" t="n">
        <v>40</v>
      </c>
      <c r="N847" t="n">
        <v>40</v>
      </c>
      <c r="O847" t="n">
        <v>40</v>
      </c>
      <c r="P847" t="n">
        <v>8</v>
      </c>
      <c r="R847" s="9" t="n">
        <v>0.08</v>
      </c>
      <c r="S847" s="10" t="inlineStr">
        <is>
          <t>SÍ — integrante</t>
        </is>
      </c>
      <c r="T847" s="11" t="inlineStr">
        <is>
          <t>B · INTEGRANTE</t>
        </is>
      </c>
      <c r="U847" s="11" t="inlineStr">
        <is>
          <t>DEL BANCO (se hereda)</t>
        </is>
      </c>
      <c r="V847" s="11" t="inlineStr">
        <is>
          <t>9154 · OTRAS ACTIVIDADES NO CLASIFICADAS</t>
        </is>
      </c>
      <c r="W847" s="12" t="n"/>
      <c r="X847" s="12" t="n"/>
    </row>
    <row r="848" ht="15" customHeight="1">
      <c r="C848" t="inlineStr">
        <is>
          <t>Actividad económica / giro mercantil</t>
        </is>
      </c>
      <c r="D848" t="inlineStr">
        <is>
          <t>F12</t>
        </is>
      </c>
      <c r="E848" t="inlineStr">
        <is>
          <t>INHERENTE</t>
        </is>
      </c>
      <c r="F848" t="inlineStr">
        <is>
          <t>CONSTRUCCION DE ESTADIOS MONUMENTOS Y OTRAS OBRAS DE INGENIERIA</t>
        </is>
      </c>
      <c r="G848" t="n">
        <v>4199015</v>
      </c>
      <c r="H848" t="n">
        <v>5</v>
      </c>
      <c r="I848" t="n">
        <v>5</v>
      </c>
      <c r="J848" t="n">
        <v>8</v>
      </c>
      <c r="K848" t="n">
        <v>40</v>
      </c>
      <c r="L848" t="n">
        <v>40</v>
      </c>
      <c r="M848" t="n">
        <v>40</v>
      </c>
      <c r="N848" t="n">
        <v>40</v>
      </c>
      <c r="O848" t="n">
        <v>40</v>
      </c>
      <c r="P848" t="n">
        <v>8</v>
      </c>
      <c r="Q848" t="inlineStr">
        <is>
          <t>DETERMINANTE</t>
        </is>
      </c>
      <c r="R848" s="9" t="n">
        <v>0.08</v>
      </c>
      <c r="S848" s="10" t="inlineStr">
        <is>
          <t>SÍ — integrante</t>
        </is>
      </c>
      <c r="T848" s="11" t="inlineStr">
        <is>
          <t>B · INTEGRANTE</t>
        </is>
      </c>
      <c r="U848" s="11" t="inlineStr">
        <is>
          <t>DEL BANCO (se hereda)</t>
        </is>
      </c>
      <c r="V848" s="11" t="inlineStr">
        <is>
          <t>9117 · INMOBILIARIO / CONSTRUCCIÓN</t>
        </is>
      </c>
      <c r="W848" s="12" t="n"/>
      <c r="X848" s="12" t="n"/>
    </row>
    <row r="849" ht="15" customHeight="1">
      <c r="C849" t="inlineStr">
        <is>
          <t>Actividad económica / giro mercantil</t>
        </is>
      </c>
      <c r="D849" t="inlineStr">
        <is>
          <t>F12</t>
        </is>
      </c>
      <c r="E849" t="inlineStr">
        <is>
          <t>INHERENTE</t>
        </is>
      </c>
      <c r="F849" t="inlineStr">
        <is>
          <t>USUARIOS MENORES CONSTRUCCION DIFERENTE A VIVIENDA</t>
        </is>
      </c>
      <c r="G849" t="n">
        <v>4199908</v>
      </c>
      <c r="H849" t="n">
        <v>5</v>
      </c>
      <c r="I849" t="n">
        <v>5</v>
      </c>
      <c r="J849" t="n">
        <v>8</v>
      </c>
      <c r="K849" t="n">
        <v>40</v>
      </c>
      <c r="L849" t="n">
        <v>40</v>
      </c>
      <c r="M849" t="n">
        <v>40</v>
      </c>
      <c r="N849" t="n">
        <v>40</v>
      </c>
      <c r="O849" t="n">
        <v>40</v>
      </c>
      <c r="P849" t="n">
        <v>8</v>
      </c>
      <c r="Q849" t="inlineStr">
        <is>
          <t>DETERMINANTE</t>
        </is>
      </c>
      <c r="R849" s="9" t="n">
        <v>0.08</v>
      </c>
      <c r="S849" s="10" t="inlineStr">
        <is>
          <t>SÍ — integrante</t>
        </is>
      </c>
      <c r="T849" s="11" t="inlineStr">
        <is>
          <t>B · INTEGRANTE</t>
        </is>
      </c>
      <c r="U849" s="11" t="inlineStr">
        <is>
          <t>DEL BANCO (se hereda)</t>
        </is>
      </c>
      <c r="V849" s="11" t="inlineStr">
        <is>
          <t>9117 · INMOBILIARIO / CONSTRUCCIÓN</t>
        </is>
      </c>
      <c r="W849" s="12" t="n"/>
      <c r="X849" s="12" t="n"/>
    </row>
    <row r="850" ht="15" customHeight="1">
      <c r="C850" t="inlineStr">
        <is>
          <t>Actividad económica / giro mercantil</t>
        </is>
      </c>
      <c r="D850" t="inlineStr">
        <is>
          <t>F12</t>
        </is>
      </c>
      <c r="E850" t="inlineStr">
        <is>
          <t>INHERENTE</t>
        </is>
      </c>
      <c r="F850" t="inlineStr">
        <is>
          <t>CARTERA DE CONSTRUCCION DE ESTADOS ANALITICOS</t>
        </is>
      </c>
      <c r="G850" t="n">
        <v>4199916</v>
      </c>
      <c r="H850" t="n">
        <v>2</v>
      </c>
      <c r="I850" t="n">
        <v>2</v>
      </c>
      <c r="J850" t="n">
        <v>8</v>
      </c>
      <c r="K850" t="n">
        <v>16</v>
      </c>
      <c r="L850" t="n">
        <v>16</v>
      </c>
      <c r="M850" t="n">
        <v>16</v>
      </c>
      <c r="N850" t="n">
        <v>16</v>
      </c>
      <c r="O850" t="n">
        <v>40</v>
      </c>
      <c r="P850" t="n">
        <v>8</v>
      </c>
      <c r="R850" s="9" t="n">
        <v>0.08</v>
      </c>
      <c r="S850" s="10" t="inlineStr">
        <is>
          <t>SÍ — integrante</t>
        </is>
      </c>
      <c r="T850" s="11" t="inlineStr">
        <is>
          <t>B · INTEGRANTE</t>
        </is>
      </c>
      <c r="U850" s="11" t="inlineStr">
        <is>
          <t>DEL BANCO (se hereda)</t>
        </is>
      </c>
      <c r="V850" s="11" t="inlineStr">
        <is>
          <t>9117 · INMOBILIARIO / CONSTRUCCIÓN</t>
        </is>
      </c>
      <c r="W850" s="12" t="n"/>
      <c r="X850" s="12" t="n"/>
    </row>
    <row r="851" ht="15" customHeight="1">
      <c r="C851" t="inlineStr">
        <is>
          <t>Actividad económica / giro mercantil</t>
        </is>
      </c>
      <c r="D851" t="inlineStr">
        <is>
          <t>F12</t>
        </is>
      </c>
      <c r="E851" t="inlineStr">
        <is>
          <t>INHERENTE</t>
        </is>
      </c>
      <c r="F851" t="inlineStr">
        <is>
          <t>SERVICIOS ESPECIALES PRESTADOS POR SUBCONTRATISTAS (DEMOLICIONES, CARPINTERIA, IMPERMIABILIZACIÓN, INST ESLECTRICAS, PINTURA, PLOMERIA)</t>
        </is>
      </c>
      <c r="G851" t="n">
        <v>4200002</v>
      </c>
      <c r="H851" t="n">
        <v>1</v>
      </c>
      <c r="I851" t="n">
        <v>1</v>
      </c>
      <c r="J851" t="n">
        <v>8</v>
      </c>
      <c r="K851" t="n">
        <v>8</v>
      </c>
      <c r="L851" t="n">
        <v>8</v>
      </c>
      <c r="M851" t="n">
        <v>8</v>
      </c>
      <c r="N851" t="n">
        <v>8</v>
      </c>
      <c r="O851" t="n">
        <v>40</v>
      </c>
      <c r="P851" t="n">
        <v>8</v>
      </c>
      <c r="R851" s="9" t="n">
        <v>0.08</v>
      </c>
      <c r="S851" s="10" t="inlineStr">
        <is>
          <t>SÍ — integrante</t>
        </is>
      </c>
      <c r="T851" s="11" t="inlineStr">
        <is>
          <t>B · INTEGRANTE</t>
        </is>
      </c>
      <c r="U851" s="11" t="inlineStr">
        <is>
          <t>DEL BANCO (se hereda)</t>
        </is>
      </c>
      <c r="V851" s="11" t="inlineStr">
        <is>
          <t>9152 · INDUSTRIA Y MANUFACTURA</t>
        </is>
      </c>
      <c r="W851" s="12" t="n"/>
      <c r="X851" s="12" t="n"/>
    </row>
    <row r="852" ht="15" customHeight="1">
      <c r="C852" t="inlineStr">
        <is>
          <t>Actividad económica / giro mercantil</t>
        </is>
      </c>
      <c r="D852" t="inlineStr">
        <is>
          <t>F12</t>
        </is>
      </c>
      <c r="E852" t="inlineStr">
        <is>
          <t>INHERENTE</t>
        </is>
      </c>
      <c r="F852" t="inlineStr">
        <is>
          <t>PREMEZCLADO Y COLADO DE CONCRETO</t>
        </is>
      </c>
      <c r="G852" t="n">
        <v>4211017</v>
      </c>
      <c r="H852" t="n">
        <v>1</v>
      </c>
      <c r="I852" t="n">
        <v>1</v>
      </c>
      <c r="J852" t="n">
        <v>8</v>
      </c>
      <c r="K852" t="n">
        <v>8</v>
      </c>
      <c r="L852" t="n">
        <v>8</v>
      </c>
      <c r="M852" t="n">
        <v>8</v>
      </c>
      <c r="N852" t="n">
        <v>8</v>
      </c>
      <c r="O852" t="n">
        <v>40</v>
      </c>
      <c r="P852" t="n">
        <v>8</v>
      </c>
      <c r="R852" s="9" t="n">
        <v>0.08</v>
      </c>
      <c r="S852" s="10" t="inlineStr">
        <is>
          <t>SÍ — integrante</t>
        </is>
      </c>
      <c r="T852" s="11" t="inlineStr">
        <is>
          <t>B · INTEGRANTE</t>
        </is>
      </c>
      <c r="U852" s="11" t="inlineStr">
        <is>
          <t>DEL BANCO (se hereda)</t>
        </is>
      </c>
      <c r="V852" s="11" t="inlineStr">
        <is>
          <t>9154 · OTRAS ACTIVIDADES NO CLASIFICADAS</t>
        </is>
      </c>
      <c r="W852" s="12" t="n"/>
      <c r="X852" s="12" t="n"/>
    </row>
    <row r="853" ht="15" customHeight="1">
      <c r="C853" t="inlineStr">
        <is>
          <t>Actividad económica / giro mercantil</t>
        </is>
      </c>
      <c r="D853" t="inlineStr">
        <is>
          <t>F12</t>
        </is>
      </c>
      <c r="E853" t="inlineStr">
        <is>
          <t>INHERENTE</t>
        </is>
      </c>
      <c r="F853" t="inlineStr">
        <is>
          <t>DEMOLICION DE INMUEBLES</t>
        </is>
      </c>
      <c r="G853" t="n">
        <v>4212015</v>
      </c>
      <c r="H853" t="n">
        <v>2</v>
      </c>
      <c r="I853" t="n">
        <v>2</v>
      </c>
      <c r="J853" t="n">
        <v>8</v>
      </c>
      <c r="K853" t="n">
        <v>16</v>
      </c>
      <c r="L853" t="n">
        <v>16</v>
      </c>
      <c r="M853" t="n">
        <v>16</v>
      </c>
      <c r="N853" t="n">
        <v>16</v>
      </c>
      <c r="O853" t="n">
        <v>40</v>
      </c>
      <c r="P853" t="n">
        <v>8</v>
      </c>
      <c r="R853" s="9" t="n">
        <v>0.08</v>
      </c>
      <c r="S853" s="10" t="inlineStr">
        <is>
          <t>SÍ — integrante</t>
        </is>
      </c>
      <c r="T853" s="11" t="inlineStr">
        <is>
          <t>B · INTEGRANTE</t>
        </is>
      </c>
      <c r="U853" s="11" t="inlineStr">
        <is>
          <t>DEL BANCO (se hereda)</t>
        </is>
      </c>
      <c r="V853" s="11" t="inlineStr">
        <is>
          <t>9154 · OTRAS ACTIVIDADES NO CLASIFICADAS</t>
        </is>
      </c>
      <c r="W853" s="12" t="n"/>
      <c r="X853" s="12" t="n"/>
    </row>
    <row r="854" ht="15" customHeight="1">
      <c r="C854" t="inlineStr">
        <is>
          <t>Actividad económica / giro mercantil</t>
        </is>
      </c>
      <c r="D854" t="inlineStr">
        <is>
          <t>F12</t>
        </is>
      </c>
      <c r="E854" t="inlineStr">
        <is>
          <t>INHERENTE</t>
        </is>
      </c>
      <c r="F854" t="inlineStr">
        <is>
          <t>IMPERMEABILIZACION DE INMUEBLES</t>
        </is>
      </c>
      <c r="G854" t="n">
        <v>4219011</v>
      </c>
      <c r="H854" t="n">
        <v>1</v>
      </c>
      <c r="I854" t="n">
        <v>1</v>
      </c>
      <c r="J854" t="n">
        <v>8</v>
      </c>
      <c r="K854" t="n">
        <v>8</v>
      </c>
      <c r="L854" t="n">
        <v>8</v>
      </c>
      <c r="M854" t="n">
        <v>8</v>
      </c>
      <c r="N854" t="n">
        <v>8</v>
      </c>
      <c r="O854" t="n">
        <v>40</v>
      </c>
      <c r="P854" t="n">
        <v>8</v>
      </c>
      <c r="R854" s="9" t="n">
        <v>0.08</v>
      </c>
      <c r="S854" s="10" t="inlineStr">
        <is>
          <t>SÍ — integrante</t>
        </is>
      </c>
      <c r="T854" s="11" t="inlineStr">
        <is>
          <t>B · INTEGRANTE</t>
        </is>
      </c>
      <c r="U854" s="11" t="inlineStr">
        <is>
          <t>DEL BANCO (se hereda)</t>
        </is>
      </c>
      <c r="V854" s="11" t="inlineStr">
        <is>
          <t>9154 · OTRAS ACTIVIDADES NO CLASIFICADAS</t>
        </is>
      </c>
      <c r="W854" s="12" t="n"/>
      <c r="X854" s="12" t="n"/>
    </row>
    <row r="855" ht="15" customHeight="1">
      <c r="C855" t="inlineStr">
        <is>
          <t>Actividad económica / giro mercantil</t>
        </is>
      </c>
      <c r="D855" t="inlineStr">
        <is>
          <t>F12</t>
        </is>
      </c>
      <c r="E855" t="inlineStr">
        <is>
          <t>INHERENTE</t>
        </is>
      </c>
      <c r="F855" t="inlineStr">
        <is>
          <t>TALLER DE PLOMERIA</t>
        </is>
      </c>
      <c r="G855" t="n">
        <v>4221016</v>
      </c>
      <c r="H855" t="n">
        <v>1</v>
      </c>
      <c r="I855" t="n">
        <v>1</v>
      </c>
      <c r="J855" t="n">
        <v>8</v>
      </c>
      <c r="K855" t="n">
        <v>8</v>
      </c>
      <c r="L855" t="n">
        <v>8</v>
      </c>
      <c r="M855" t="n">
        <v>8</v>
      </c>
      <c r="N855" t="n">
        <v>8</v>
      </c>
      <c r="O855" t="n">
        <v>40</v>
      </c>
      <c r="P855" t="n">
        <v>8</v>
      </c>
      <c r="R855" s="9" t="n">
        <v>0.08</v>
      </c>
      <c r="S855" s="10" t="inlineStr">
        <is>
          <t>SÍ — integrante</t>
        </is>
      </c>
      <c r="T855" s="11" t="inlineStr">
        <is>
          <t>B · INTEGRANTE</t>
        </is>
      </c>
      <c r="U855" s="11" t="inlineStr">
        <is>
          <t>DEL BANCO (se hereda)</t>
        </is>
      </c>
      <c r="V855" s="11" t="inlineStr">
        <is>
          <t>9152 · INDUSTRIA Y MANUFACTURA</t>
        </is>
      </c>
      <c r="W855" s="12" t="n"/>
      <c r="X855" s="12" t="n"/>
    </row>
    <row r="856" ht="15" customHeight="1">
      <c r="C856" t="inlineStr">
        <is>
          <t>Actividad económica / giro mercantil</t>
        </is>
      </c>
      <c r="D856" t="inlineStr">
        <is>
          <t>F12</t>
        </is>
      </c>
      <c r="E856" t="inlineStr">
        <is>
          <t>INHERENTE</t>
        </is>
      </c>
      <c r="F856" t="inlineStr">
        <is>
          <t>INSTALACIONES DEL SISTEMA ELECTRICO INCLUYE SISTEMAS DE INTERCOMUNICACION</t>
        </is>
      </c>
      <c r="G856" t="n">
        <v>4222014</v>
      </c>
      <c r="H856" t="n">
        <v>1</v>
      </c>
      <c r="I856" t="n">
        <v>1</v>
      </c>
      <c r="J856" t="n">
        <v>8</v>
      </c>
      <c r="K856" t="n">
        <v>8</v>
      </c>
      <c r="L856" t="n">
        <v>8</v>
      </c>
      <c r="M856" t="n">
        <v>8</v>
      </c>
      <c r="N856" t="n">
        <v>8</v>
      </c>
      <c r="O856" t="n">
        <v>40</v>
      </c>
      <c r="P856" t="n">
        <v>8</v>
      </c>
      <c r="R856" s="9" t="n">
        <v>0.08</v>
      </c>
      <c r="S856" s="10" t="inlineStr">
        <is>
          <t>SÍ — integrante</t>
        </is>
      </c>
      <c r="T856" s="11" t="inlineStr">
        <is>
          <t>B · INTEGRANTE</t>
        </is>
      </c>
      <c r="U856" s="11" t="inlineStr">
        <is>
          <t>DEL BANCO (se hereda)</t>
        </is>
      </c>
      <c r="V856" s="11" t="inlineStr">
        <is>
          <t>9154 · OTRAS ACTIVIDADES NO CLASIFICADAS</t>
        </is>
      </c>
      <c r="W856" s="12" t="n"/>
      <c r="X856" s="12" t="n"/>
    </row>
    <row r="857" ht="15" customHeight="1">
      <c r="C857" t="inlineStr">
        <is>
          <t>Actividad económica / giro mercantil</t>
        </is>
      </c>
      <c r="D857" t="inlineStr">
        <is>
          <t>F12</t>
        </is>
      </c>
      <c r="E857" t="inlineStr">
        <is>
          <t>INHERENTE</t>
        </is>
      </c>
      <c r="F857" t="inlineStr">
        <is>
          <t>INSTALACIONES DE SISTEMAS DE AIRE ACONDICIONADO Y CALEFACCION Y OTRAS INSTALACIONES ANALOGAS</t>
        </is>
      </c>
      <c r="G857" t="n">
        <v>4229010</v>
      </c>
      <c r="H857" t="n">
        <v>1</v>
      </c>
      <c r="I857" t="n">
        <v>1</v>
      </c>
      <c r="J857" t="n">
        <v>8</v>
      </c>
      <c r="K857" t="n">
        <v>8</v>
      </c>
      <c r="L857" t="n">
        <v>8</v>
      </c>
      <c r="M857" t="n">
        <v>8</v>
      </c>
      <c r="N857" t="n">
        <v>8</v>
      </c>
      <c r="O857" t="n">
        <v>40</v>
      </c>
      <c r="P857" t="n">
        <v>8</v>
      </c>
      <c r="R857" s="9" t="n">
        <v>0.08</v>
      </c>
      <c r="S857" s="10" t="inlineStr">
        <is>
          <t>SÍ — integrante</t>
        </is>
      </c>
      <c r="T857" s="11" t="inlineStr">
        <is>
          <t>B · INTEGRANTE</t>
        </is>
      </c>
      <c r="U857" s="11" t="inlineStr">
        <is>
          <t>DEL BANCO (se hereda)</t>
        </is>
      </c>
      <c r="V857" s="11" t="inlineStr">
        <is>
          <t>9154 · OTRAS ACTIVIDADES NO CLASIFICADAS</t>
        </is>
      </c>
      <c r="W857" s="12" t="n"/>
      <c r="X857" s="12" t="n"/>
    </row>
    <row r="858" ht="15" customHeight="1">
      <c r="C858" t="inlineStr">
        <is>
          <t>Actividad económica / giro mercantil</t>
        </is>
      </c>
      <c r="D858" t="inlineStr">
        <is>
          <t>F12</t>
        </is>
      </c>
      <c r="E858" t="inlineStr">
        <is>
          <t>INHERENTE</t>
        </is>
      </c>
      <c r="F858" t="inlineStr">
        <is>
          <t>SERVICIOS DE PINTADO Y TAPIZADO DE INMUEBLES</t>
        </is>
      </c>
      <c r="G858" t="n">
        <v>4291019</v>
      </c>
      <c r="H858" t="n">
        <v>1</v>
      </c>
      <c r="I858" t="n">
        <v>1</v>
      </c>
      <c r="J858" t="n">
        <v>8</v>
      </c>
      <c r="K858" t="n">
        <v>8</v>
      </c>
      <c r="L858" t="n">
        <v>8</v>
      </c>
      <c r="M858" t="n">
        <v>8</v>
      </c>
      <c r="N858" t="n">
        <v>8</v>
      </c>
      <c r="O858" t="n">
        <v>40</v>
      </c>
      <c r="P858" t="n">
        <v>8</v>
      </c>
      <c r="R858" s="9" t="n">
        <v>0.08</v>
      </c>
      <c r="S858" s="10" t="inlineStr">
        <is>
          <t>SÍ — integrante</t>
        </is>
      </c>
      <c r="T858" s="11" t="inlineStr">
        <is>
          <t>B · INTEGRANTE</t>
        </is>
      </c>
      <c r="U858" s="11" t="inlineStr">
        <is>
          <t>DEL BANCO (se hereda)</t>
        </is>
      </c>
      <c r="V858" s="11" t="inlineStr">
        <is>
          <t>9154 · OTRAS ACTIVIDADES NO CLASIFICADAS</t>
        </is>
      </c>
      <c r="W858" s="12" t="n"/>
      <c r="X858" s="12" t="n"/>
    </row>
    <row r="859" ht="15" customHeight="1">
      <c r="C859" t="inlineStr">
        <is>
          <t>Actividad económica / giro mercantil</t>
        </is>
      </c>
      <c r="D859" t="inlineStr">
        <is>
          <t>F12</t>
        </is>
      </c>
      <c r="E859" t="inlineStr">
        <is>
          <t>INHERENTE</t>
        </is>
      </c>
      <c r="F859" t="inlineStr">
        <is>
          <t>LABRADO Y COLOCACION DE PIEDRA</t>
        </is>
      </c>
      <c r="G859" t="n">
        <v>4292017</v>
      </c>
      <c r="H859" t="n">
        <v>1</v>
      </c>
      <c r="I859" t="n">
        <v>1</v>
      </c>
      <c r="J859" t="n">
        <v>8</v>
      </c>
      <c r="K859" t="n">
        <v>8</v>
      </c>
      <c r="L859" t="n">
        <v>8</v>
      </c>
      <c r="M859" t="n">
        <v>8</v>
      </c>
      <c r="N859" t="n">
        <v>8</v>
      </c>
      <c r="O859" t="n">
        <v>40</v>
      </c>
      <c r="P859" t="n">
        <v>8</v>
      </c>
      <c r="R859" s="9" t="n">
        <v>0.08</v>
      </c>
      <c r="S859" s="10" t="inlineStr">
        <is>
          <t>SÍ — integrante</t>
        </is>
      </c>
      <c r="T859" s="11" t="inlineStr">
        <is>
          <t>B · INTEGRANTE</t>
        </is>
      </c>
      <c r="U859" s="11" t="inlineStr">
        <is>
          <t>DEL BANCO (se hereda)</t>
        </is>
      </c>
      <c r="V859" s="11" t="inlineStr">
        <is>
          <t>9154 · OTRAS ACTIVIDADES NO CLASIFICADAS</t>
        </is>
      </c>
      <c r="W859" s="12" t="n"/>
      <c r="X859" s="12" t="n"/>
    </row>
    <row r="860" ht="15" customHeight="1">
      <c r="C860" t="inlineStr">
        <is>
          <t>Actividad económica / giro mercantil</t>
        </is>
      </c>
      <c r="D860" t="inlineStr">
        <is>
          <t>F12</t>
        </is>
      </c>
      <c r="E860" t="inlineStr">
        <is>
          <t>INHERENTE</t>
        </is>
      </c>
      <c r="F860" t="inlineStr">
        <is>
          <t>COLOCACION DE DUELAS PARQUET LAMBRINES Y OTROS TRABAJOS DE CARPINTERIA</t>
        </is>
      </c>
      <c r="G860" t="n">
        <v>4293015</v>
      </c>
      <c r="H860" t="n">
        <v>1</v>
      </c>
      <c r="I860" t="n">
        <v>1</v>
      </c>
      <c r="J860" t="n">
        <v>8</v>
      </c>
      <c r="K860" t="n">
        <v>8</v>
      </c>
      <c r="L860" t="n">
        <v>8</v>
      </c>
      <c r="M860" t="n">
        <v>8</v>
      </c>
      <c r="N860" t="n">
        <v>8</v>
      </c>
      <c r="O860" t="n">
        <v>40</v>
      </c>
      <c r="P860" t="n">
        <v>8</v>
      </c>
      <c r="R860" s="9" t="n">
        <v>0.08</v>
      </c>
      <c r="S860" s="10" t="inlineStr">
        <is>
          <t>SÍ — integrante</t>
        </is>
      </c>
      <c r="T860" s="11" t="inlineStr">
        <is>
          <t>B · INTEGRANTE</t>
        </is>
      </c>
      <c r="U860" s="11" t="inlineStr">
        <is>
          <t>DEL BANCO (se hereda)</t>
        </is>
      </c>
      <c r="V860" s="11" t="inlineStr">
        <is>
          <t>9152 · INDUSTRIA Y MANUFACTURA</t>
        </is>
      </c>
      <c r="W860" s="12" t="n"/>
      <c r="X860" s="12" t="n"/>
    </row>
    <row r="861" ht="15" customHeight="1">
      <c r="C861" t="inlineStr">
        <is>
          <t>Actividad económica / giro mercantil</t>
        </is>
      </c>
      <c r="D861" t="inlineStr">
        <is>
          <t>F12</t>
        </is>
      </c>
      <c r="E861" t="inlineStr">
        <is>
          <t>INHERENTE</t>
        </is>
      </c>
      <c r="F861" t="inlineStr">
        <is>
          <t>OTROS SERVICIOS DE ACABADO PRESTADOS POR SUBCONTRATISTAS</t>
        </is>
      </c>
      <c r="G861" t="n">
        <v>4299013</v>
      </c>
      <c r="H861" t="n">
        <v>1</v>
      </c>
      <c r="I861" t="n">
        <v>1</v>
      </c>
      <c r="J861" t="n">
        <v>8</v>
      </c>
      <c r="K861" t="n">
        <v>8</v>
      </c>
      <c r="L861" t="n">
        <v>8</v>
      </c>
      <c r="M861" t="n">
        <v>8</v>
      </c>
      <c r="N861" t="n">
        <v>8</v>
      </c>
      <c r="O861" t="n">
        <v>40</v>
      </c>
      <c r="P861" t="n">
        <v>8</v>
      </c>
      <c r="R861" s="9" t="n">
        <v>0.08</v>
      </c>
      <c r="S861" s="10" t="inlineStr">
        <is>
          <t>SÍ — integrante</t>
        </is>
      </c>
      <c r="T861" s="11" t="inlineStr">
        <is>
          <t>B · INTEGRANTE</t>
        </is>
      </c>
      <c r="U861" s="11" t="inlineStr">
        <is>
          <t>DEL BANCO (se hereda)</t>
        </is>
      </c>
      <c r="V861" s="11" t="inlineStr">
        <is>
          <t>9154 · OTRAS ACTIVIDADES NO CLASIFICADAS</t>
        </is>
      </c>
      <c r="W861" s="12" t="n"/>
      <c r="X861" s="12" t="n"/>
    </row>
    <row r="862" ht="15" customHeight="1">
      <c r="C862" t="inlineStr">
        <is>
          <t>Actividad económica / giro mercantil</t>
        </is>
      </c>
      <c r="D862" t="inlineStr">
        <is>
          <t>F12</t>
        </is>
      </c>
      <c r="E862" t="inlineStr">
        <is>
          <t>INHERENTE</t>
        </is>
      </c>
      <c r="F862" t="inlineStr">
        <is>
          <t>GENERACIÓN, TRANSMISIÓN Y DISTRIBUCIÓN DE ENERGÍA ELÉCTRICA</t>
        </is>
      </c>
      <c r="G862" t="n">
        <v>5000005</v>
      </c>
      <c r="H862" t="n">
        <v>4</v>
      </c>
      <c r="I862" t="n">
        <v>4</v>
      </c>
      <c r="J862" t="n">
        <v>8</v>
      </c>
      <c r="K862" t="n">
        <v>32</v>
      </c>
      <c r="L862" t="n">
        <v>32</v>
      </c>
      <c r="M862" t="n">
        <v>32</v>
      </c>
      <c r="N862" t="n">
        <v>32</v>
      </c>
      <c r="O862" t="n">
        <v>40</v>
      </c>
      <c r="P862" t="n">
        <v>8</v>
      </c>
      <c r="R862" s="9" t="n">
        <v>0.08</v>
      </c>
      <c r="S862" s="10" t="inlineStr">
        <is>
          <t>SÍ — integrante</t>
        </is>
      </c>
      <c r="T862" s="11" t="inlineStr">
        <is>
          <t>B · INTEGRANTE</t>
        </is>
      </c>
      <c r="U862" s="11" t="inlineStr">
        <is>
          <t>DEL BANCO (se hereda)</t>
        </is>
      </c>
      <c r="V862" s="11" t="inlineStr">
        <is>
          <t>9154 · OTRAS ACTIVIDADES NO CLASIFICADAS</t>
        </is>
      </c>
      <c r="W862" s="12" t="n"/>
      <c r="X862" s="12" t="n"/>
    </row>
    <row r="863" ht="15" customHeight="1">
      <c r="C863" t="inlineStr">
        <is>
          <t>Actividad económica / giro mercantil</t>
        </is>
      </c>
      <c r="D863" t="inlineStr">
        <is>
          <t>F12</t>
        </is>
      </c>
      <c r="E863" t="inlineStr">
        <is>
          <t>INHERENTE</t>
        </is>
      </c>
      <c r="F863" t="inlineStr">
        <is>
          <t>GENERACION Y SUMINISTRO DE ENERGIA ELECTRICA</t>
        </is>
      </c>
      <c r="G863" t="n">
        <v>5011010</v>
      </c>
      <c r="H863" t="n">
        <v>4</v>
      </c>
      <c r="I863" t="n">
        <v>4</v>
      </c>
      <c r="J863" t="n">
        <v>8</v>
      </c>
      <c r="K863" t="n">
        <v>32</v>
      </c>
      <c r="L863" t="n">
        <v>32</v>
      </c>
      <c r="M863" t="n">
        <v>32</v>
      </c>
      <c r="N863" t="n">
        <v>32</v>
      </c>
      <c r="O863" t="n">
        <v>40</v>
      </c>
      <c r="P863" t="n">
        <v>8</v>
      </c>
      <c r="R863" s="9" t="n">
        <v>0.08</v>
      </c>
      <c r="S863" s="10" t="inlineStr">
        <is>
          <t>SÍ — integrante</t>
        </is>
      </c>
      <c r="T863" s="11" t="inlineStr">
        <is>
          <t>B · INTEGRANTE</t>
        </is>
      </c>
      <c r="U863" s="11" t="inlineStr">
        <is>
          <t>DEL BANCO (se hereda)</t>
        </is>
      </c>
      <c r="V863" s="11" t="inlineStr">
        <is>
          <t>9154 · OTRAS ACTIVIDADES NO CLASIFICADAS</t>
        </is>
      </c>
      <c r="W863" s="12" t="n"/>
      <c r="X863" s="12" t="n"/>
    </row>
    <row r="864" ht="15" customHeight="1">
      <c r="C864" t="inlineStr">
        <is>
          <t>Actividad económica / giro mercantil</t>
        </is>
      </c>
      <c r="D864" t="inlineStr">
        <is>
          <t>F12</t>
        </is>
      </c>
      <c r="E864" t="inlineStr">
        <is>
          <t>INHERENTE</t>
        </is>
      </c>
      <c r="F864" t="inlineStr">
        <is>
          <t>USUARIOS MENORES ENERGIA ELECTRICA</t>
        </is>
      </c>
      <c r="G864" t="n">
        <v>5011903</v>
      </c>
      <c r="H864" t="n">
        <v>1</v>
      </c>
      <c r="I864" t="n">
        <v>1</v>
      </c>
      <c r="J864" t="n">
        <v>8</v>
      </c>
      <c r="K864" t="n">
        <v>8</v>
      </c>
      <c r="L864" t="n">
        <v>8</v>
      </c>
      <c r="M864" t="n">
        <v>8</v>
      </c>
      <c r="N864" t="n">
        <v>8</v>
      </c>
      <c r="O864" t="n">
        <v>40</v>
      </c>
      <c r="P864" t="n">
        <v>8</v>
      </c>
      <c r="R864" s="9" t="n">
        <v>0.08</v>
      </c>
      <c r="S864" s="10" t="inlineStr">
        <is>
          <t>SÍ — integrante</t>
        </is>
      </c>
      <c r="T864" s="11" t="inlineStr">
        <is>
          <t>B · INTEGRANTE</t>
        </is>
      </c>
      <c r="U864" s="11" t="inlineStr">
        <is>
          <t>DEL BANCO (se hereda)</t>
        </is>
      </c>
      <c r="V864" s="11" t="inlineStr">
        <is>
          <t>9154 · OTRAS ACTIVIDADES NO CLASIFICADAS</t>
        </is>
      </c>
      <c r="W864" s="12" t="n"/>
      <c r="X864" s="12" t="n"/>
    </row>
    <row r="865" ht="15" customHeight="1">
      <c r="C865" t="inlineStr">
        <is>
          <t>Actividad económica / giro mercantil</t>
        </is>
      </c>
      <c r="D865" t="inlineStr">
        <is>
          <t>F12</t>
        </is>
      </c>
      <c r="E865" t="inlineStr">
        <is>
          <t>INHERENTE</t>
        </is>
      </c>
      <c r="F865" t="inlineStr">
        <is>
          <t>CARTERA DE ENERGIA ELECTRICA DE ESTADOS ANALITICOS</t>
        </is>
      </c>
      <c r="G865" t="n">
        <v>5011911</v>
      </c>
      <c r="H865" t="n">
        <v>2</v>
      </c>
      <c r="I865" t="n">
        <v>2</v>
      </c>
      <c r="J865" t="n">
        <v>8</v>
      </c>
      <c r="K865" t="n">
        <v>16</v>
      </c>
      <c r="L865" t="n">
        <v>16</v>
      </c>
      <c r="M865" t="n">
        <v>16</v>
      </c>
      <c r="N865" t="n">
        <v>16</v>
      </c>
      <c r="O865" t="n">
        <v>40</v>
      </c>
      <c r="P865" t="n">
        <v>8</v>
      </c>
      <c r="R865" s="9" t="n">
        <v>0.08</v>
      </c>
      <c r="S865" s="10" t="inlineStr">
        <is>
          <t>SÍ — integrante</t>
        </is>
      </c>
      <c r="T865" s="11" t="inlineStr">
        <is>
          <t>B · INTEGRANTE</t>
        </is>
      </c>
      <c r="U865" s="11" t="inlineStr">
        <is>
          <t>DEL BANCO (se hereda)</t>
        </is>
      </c>
      <c r="V865" s="11" t="inlineStr">
        <is>
          <t>9154 · OTRAS ACTIVIDADES NO CLASIFICADAS</t>
        </is>
      </c>
      <c r="W865" s="12" t="n"/>
      <c r="X865" s="12" t="n"/>
    </row>
    <row r="866" ht="15" customHeight="1">
      <c r="C866" t="inlineStr">
        <is>
          <t>Actividad económica / giro mercantil</t>
        </is>
      </c>
      <c r="D866" t="inlineStr">
        <is>
          <t>F12</t>
        </is>
      </c>
      <c r="E866" t="inlineStr">
        <is>
          <t>INHERENTE</t>
        </is>
      </c>
      <c r="F866" t="inlineStr">
        <is>
          <t>DISTRIBUCION DE ENERGIA ELECTRICA</t>
        </is>
      </c>
      <c r="G866" t="n">
        <v>5012018</v>
      </c>
      <c r="H866" t="n">
        <v>2</v>
      </c>
      <c r="I866" t="n">
        <v>2</v>
      </c>
      <c r="J866" t="n">
        <v>8</v>
      </c>
      <c r="K866" t="n">
        <v>16</v>
      </c>
      <c r="L866" t="n">
        <v>16</v>
      </c>
      <c r="M866" t="n">
        <v>16</v>
      </c>
      <c r="N866" t="n">
        <v>16</v>
      </c>
      <c r="O866" t="n">
        <v>40</v>
      </c>
      <c r="P866" t="n">
        <v>8</v>
      </c>
      <c r="R866" s="9" t="n">
        <v>0.08</v>
      </c>
      <c r="S866" s="10" t="inlineStr">
        <is>
          <t>SÍ — integrante</t>
        </is>
      </c>
      <c r="T866" s="11" t="inlineStr">
        <is>
          <t>B · INTEGRANTE</t>
        </is>
      </c>
      <c r="U866" s="11" t="inlineStr">
        <is>
          <t>DEL BANCO (se hereda)</t>
        </is>
      </c>
      <c r="V866" s="11" t="inlineStr">
        <is>
          <t>9154 · OTRAS ACTIVIDADES NO CLASIFICADAS</t>
        </is>
      </c>
      <c r="W866" s="12" t="n"/>
      <c r="X866" s="12" t="n"/>
    </row>
    <row r="867" ht="15" customHeight="1">
      <c r="C867" t="inlineStr">
        <is>
          <t>Actividad económica / giro mercantil</t>
        </is>
      </c>
      <c r="D867" t="inlineStr">
        <is>
          <t>F12</t>
        </is>
      </c>
      <c r="E867" t="inlineStr">
        <is>
          <t>INHERENTE</t>
        </is>
      </c>
      <c r="F867" t="inlineStr">
        <is>
          <t>PIDIREGAS ENERGIA ELECTRICA</t>
        </is>
      </c>
      <c r="G867" t="n">
        <v>5021019</v>
      </c>
      <c r="H867" t="n">
        <v>1</v>
      </c>
      <c r="I867" t="n">
        <v>1</v>
      </c>
      <c r="J867" t="n">
        <v>8</v>
      </c>
      <c r="K867" t="n">
        <v>8</v>
      </c>
      <c r="L867" t="n">
        <v>8</v>
      </c>
      <c r="M867" t="n">
        <v>8</v>
      </c>
      <c r="N867" t="n">
        <v>8</v>
      </c>
      <c r="O867" t="n">
        <v>40</v>
      </c>
      <c r="P867" t="n">
        <v>8</v>
      </c>
      <c r="R867" s="9" t="n">
        <v>0.08</v>
      </c>
      <c r="S867" s="10" t="inlineStr">
        <is>
          <t>SÍ — integrante</t>
        </is>
      </c>
      <c r="T867" s="11" t="inlineStr">
        <is>
          <t>B · INTEGRANTE</t>
        </is>
      </c>
      <c r="U867" s="11" t="inlineStr">
        <is>
          <t>DEL BANCO (se hereda)</t>
        </is>
      </c>
      <c r="V867" s="11" t="inlineStr">
        <is>
          <t>9154 · OTRAS ACTIVIDADES NO CLASIFICADAS</t>
        </is>
      </c>
      <c r="W867" s="12" t="n"/>
      <c r="X867" s="12" t="n"/>
    </row>
    <row r="868" ht="15" customHeight="1">
      <c r="C868" t="inlineStr">
        <is>
          <t>Actividad económica / giro mercantil</t>
        </is>
      </c>
      <c r="D868" t="inlineStr">
        <is>
          <t>F12</t>
        </is>
      </c>
      <c r="E868" t="inlineStr">
        <is>
          <t>INHERENTE</t>
        </is>
      </c>
      <c r="F868" t="inlineStr">
        <is>
          <t>CAPTACIÓN, TRATAMIENTO, CONDUCCIÓN Y DISTRIBUCIÓN DE AGUA POTABLE EXCEPTO DE RIEGO</t>
        </is>
      </c>
      <c r="G868" t="n">
        <v>5100003</v>
      </c>
      <c r="H868" t="n">
        <v>1</v>
      </c>
      <c r="I868" t="n">
        <v>1</v>
      </c>
      <c r="J868" t="n">
        <v>8</v>
      </c>
      <c r="K868" t="n">
        <v>8</v>
      </c>
      <c r="L868" t="n">
        <v>8</v>
      </c>
      <c r="M868" t="n">
        <v>8</v>
      </c>
      <c r="N868" t="n">
        <v>8</v>
      </c>
      <c r="O868" t="n">
        <v>40</v>
      </c>
      <c r="P868" t="n">
        <v>8</v>
      </c>
      <c r="R868" s="9" t="n">
        <v>0.08</v>
      </c>
      <c r="S868" s="10" t="inlineStr">
        <is>
          <t>SÍ — integrante</t>
        </is>
      </c>
      <c r="T868" s="11" t="inlineStr">
        <is>
          <t>B · INTEGRANTE</t>
        </is>
      </c>
      <c r="U868" s="11" t="inlineStr">
        <is>
          <t>DEL BANCO (se hereda)</t>
        </is>
      </c>
      <c r="V868" s="11" t="inlineStr">
        <is>
          <t>9154 · OTRAS ACTIVIDADES NO CLASIFICADAS</t>
        </is>
      </c>
      <c r="W868" s="12" t="n"/>
      <c r="X868" s="12" t="n"/>
    </row>
    <row r="869" ht="15" customHeight="1">
      <c r="C869" t="inlineStr">
        <is>
          <t>Actividad económica / giro mercantil</t>
        </is>
      </c>
      <c r="D869" t="inlineStr">
        <is>
          <t>F12</t>
        </is>
      </c>
      <c r="E869" t="inlineStr">
        <is>
          <t>INHERENTE</t>
        </is>
      </c>
      <c r="F869" t="inlineStr">
        <is>
          <t>CAPTACION, TRATAMIENTO, CONDUCCION Y DISTRIBUCION DE AGUA POTABLE EXCEPTO DE RIEGO</t>
        </is>
      </c>
      <c r="G869" t="n">
        <v>5111018</v>
      </c>
      <c r="H869" t="n">
        <v>1</v>
      </c>
      <c r="I869" t="n">
        <v>1</v>
      </c>
      <c r="J869" t="n">
        <v>8</v>
      </c>
      <c r="K869" t="n">
        <v>8</v>
      </c>
      <c r="L869" t="n">
        <v>8</v>
      </c>
      <c r="M869" t="n">
        <v>8</v>
      </c>
      <c r="N869" t="n">
        <v>8</v>
      </c>
      <c r="O869" t="n">
        <v>40</v>
      </c>
      <c r="P869" t="n">
        <v>8</v>
      </c>
      <c r="R869" s="9" t="n">
        <v>0.08</v>
      </c>
      <c r="S869" s="10" t="inlineStr">
        <is>
          <t>SÍ — integrante</t>
        </is>
      </c>
      <c r="T869" s="11" t="inlineStr">
        <is>
          <t>B · INTEGRANTE</t>
        </is>
      </c>
      <c r="U869" s="11" t="inlineStr">
        <is>
          <t>DEL BANCO (se hereda)</t>
        </is>
      </c>
      <c r="V869" s="11" t="inlineStr">
        <is>
          <t>9154 · OTRAS ACTIVIDADES NO CLASIFICADAS</t>
        </is>
      </c>
      <c r="W869" s="12" t="n"/>
      <c r="X869" s="12" t="n"/>
    </row>
    <row r="870" ht="15" customHeight="1">
      <c r="C870" t="inlineStr">
        <is>
          <t>Actividad económica / giro mercantil</t>
        </is>
      </c>
      <c r="D870" t="inlineStr">
        <is>
          <t>F12</t>
        </is>
      </c>
      <c r="E870" t="inlineStr">
        <is>
          <t>INHERENTE</t>
        </is>
      </c>
      <c r="F870" t="inlineStr">
        <is>
          <t>COMPRAVENTA DE ALIMENTOS, BEBIDAS Y PRODUCTOS DE TABACO</t>
        </is>
      </c>
      <c r="G870" t="n">
        <v>6100002</v>
      </c>
      <c r="H870" t="n">
        <v>2</v>
      </c>
      <c r="I870" t="n">
        <v>2</v>
      </c>
      <c r="J870" t="n">
        <v>8</v>
      </c>
      <c r="K870" t="n">
        <v>16</v>
      </c>
      <c r="L870" t="n">
        <v>16</v>
      </c>
      <c r="M870" t="n">
        <v>16</v>
      </c>
      <c r="N870" t="n">
        <v>16</v>
      </c>
      <c r="O870" t="n">
        <v>40</v>
      </c>
      <c r="P870" t="n">
        <v>8</v>
      </c>
      <c r="R870" s="9" t="n">
        <v>0.08</v>
      </c>
      <c r="S870" s="10" t="inlineStr">
        <is>
          <t>SÍ — integrante</t>
        </is>
      </c>
      <c r="T870" s="11" t="inlineStr">
        <is>
          <t>B · INTEGRANTE</t>
        </is>
      </c>
      <c r="U870" s="11" t="inlineStr">
        <is>
          <t>DEL BANCO (se hereda)</t>
        </is>
      </c>
      <c r="V870" s="11" t="inlineStr">
        <is>
          <t>9152 · INDUSTRIA Y MANUFACTURA</t>
        </is>
      </c>
      <c r="W870" s="12" t="n"/>
      <c r="X870" s="12" t="n"/>
    </row>
    <row r="871" ht="15" customHeight="1">
      <c r="C871" t="inlineStr">
        <is>
          <t>Actividad económica / giro mercantil</t>
        </is>
      </c>
      <c r="D871" t="inlineStr">
        <is>
          <t>F12</t>
        </is>
      </c>
      <c r="E871" t="inlineStr">
        <is>
          <t>INHERENTE</t>
        </is>
      </c>
      <c r="F871" t="inlineStr">
        <is>
          <t>COMPRAVENTA DE SEMILLAS Y GRANOS</t>
        </is>
      </c>
      <c r="G871" t="n">
        <v>6111017</v>
      </c>
      <c r="H871" t="n">
        <v>2</v>
      </c>
      <c r="I871" t="n">
        <v>2</v>
      </c>
      <c r="J871" t="n">
        <v>8</v>
      </c>
      <c r="K871" t="n">
        <v>16</v>
      </c>
      <c r="L871" t="n">
        <v>16</v>
      </c>
      <c r="M871" t="n">
        <v>16</v>
      </c>
      <c r="N871" t="n">
        <v>16</v>
      </c>
      <c r="O871" t="n">
        <v>40</v>
      </c>
      <c r="P871" t="n">
        <v>8</v>
      </c>
      <c r="R871" s="9" t="n">
        <v>0.08</v>
      </c>
      <c r="S871" s="10" t="inlineStr">
        <is>
          <t>SÍ — integrante</t>
        </is>
      </c>
      <c r="T871" s="11" t="inlineStr">
        <is>
          <t>B · INTEGRANTE</t>
        </is>
      </c>
      <c r="U871" s="11" t="inlineStr">
        <is>
          <t>DEL BANCO (se hereda)</t>
        </is>
      </c>
      <c r="V871" s="11" t="inlineStr">
        <is>
          <t>9151 · SECTOR PRIMARIO (agropecuario, pesca, forestal, minería)</t>
        </is>
      </c>
      <c r="W871" s="12" t="n"/>
      <c r="X871" s="12" t="n"/>
    </row>
    <row r="872" ht="15" customHeight="1">
      <c r="C872" t="inlineStr">
        <is>
          <t>Actividad económica / giro mercantil</t>
        </is>
      </c>
      <c r="D872" t="inlineStr">
        <is>
          <t>F12</t>
        </is>
      </c>
      <c r="E872" t="inlineStr">
        <is>
          <t>INHERENTE</t>
        </is>
      </c>
      <c r="F872" t="inlineStr">
        <is>
          <t>COMPRAVENTA DE FRUTAS</t>
        </is>
      </c>
      <c r="G872" t="n">
        <v>6112015</v>
      </c>
      <c r="H872" t="n">
        <v>2</v>
      </c>
      <c r="I872" t="n">
        <v>2</v>
      </c>
      <c r="J872" t="n">
        <v>8</v>
      </c>
      <c r="K872" t="n">
        <v>16</v>
      </c>
      <c r="L872" t="n">
        <v>16</v>
      </c>
      <c r="M872" t="n">
        <v>16</v>
      </c>
      <c r="N872" t="n">
        <v>16</v>
      </c>
      <c r="O872" t="n">
        <v>40</v>
      </c>
      <c r="P872" t="n">
        <v>8</v>
      </c>
      <c r="R872" s="9" t="n">
        <v>0.08</v>
      </c>
      <c r="S872" s="10" t="inlineStr">
        <is>
          <t>SÍ — integrante</t>
        </is>
      </c>
      <c r="T872" s="11" t="inlineStr">
        <is>
          <t>B · INTEGRANTE</t>
        </is>
      </c>
      <c r="U872" s="11" t="inlineStr">
        <is>
          <t>DEL BANCO (se hereda)</t>
        </is>
      </c>
      <c r="V872" s="11" t="inlineStr">
        <is>
          <t>9151 · SECTOR PRIMARIO (agropecuario, pesca, forestal, minería)</t>
        </is>
      </c>
      <c r="W872" s="12" t="n"/>
      <c r="X872" s="12" t="n"/>
    </row>
    <row r="873" ht="15" customHeight="1">
      <c r="C873" t="inlineStr">
        <is>
          <t>Actividad económica / giro mercantil</t>
        </is>
      </c>
      <c r="D873" t="inlineStr">
        <is>
          <t>F12</t>
        </is>
      </c>
      <c r="E873" t="inlineStr">
        <is>
          <t>INHERENTE</t>
        </is>
      </c>
      <c r="F873" t="inlineStr">
        <is>
          <t>COMPRAVENTA DE LEGUMBRES Y HORTALIZAS</t>
        </is>
      </c>
      <c r="G873" t="n">
        <v>6112023</v>
      </c>
      <c r="H873" t="n">
        <v>2</v>
      </c>
      <c r="I873" t="n">
        <v>2</v>
      </c>
      <c r="J873" t="n">
        <v>8</v>
      </c>
      <c r="K873" t="n">
        <v>16</v>
      </c>
      <c r="L873" t="n">
        <v>16</v>
      </c>
      <c r="M873" t="n">
        <v>16</v>
      </c>
      <c r="N873" t="n">
        <v>16</v>
      </c>
      <c r="O873" t="n">
        <v>40</v>
      </c>
      <c r="P873" t="n">
        <v>8</v>
      </c>
      <c r="R873" s="9" t="n">
        <v>0.08</v>
      </c>
      <c r="S873" s="10" t="inlineStr">
        <is>
          <t>SÍ — integrante</t>
        </is>
      </c>
      <c r="T873" s="11" t="inlineStr">
        <is>
          <t>B · INTEGRANTE</t>
        </is>
      </c>
      <c r="U873" s="11" t="inlineStr">
        <is>
          <t>DEL BANCO (se hereda)</t>
        </is>
      </c>
      <c r="V873" s="11" t="inlineStr">
        <is>
          <t>9151 · SECTOR PRIMARIO (agropecuario, pesca, forestal, minería)</t>
        </is>
      </c>
      <c r="W873" s="12" t="n"/>
      <c r="X873" s="12" t="n"/>
    </row>
    <row r="874" ht="15" customHeight="1">
      <c r="C874" t="inlineStr">
        <is>
          <t>Actividad económica / giro mercantil</t>
        </is>
      </c>
      <c r="D874" t="inlineStr">
        <is>
          <t>F12</t>
        </is>
      </c>
      <c r="E874" t="inlineStr">
        <is>
          <t>INHERENTE</t>
        </is>
      </c>
      <c r="F874" t="inlineStr">
        <is>
          <t>COMPRAVENTA DE CHILE SECO Y ESPECIAS</t>
        </is>
      </c>
      <c r="G874" t="n">
        <v>6113013</v>
      </c>
      <c r="H874" t="n">
        <v>2</v>
      </c>
      <c r="I874" t="n">
        <v>2</v>
      </c>
      <c r="J874" t="n">
        <v>8</v>
      </c>
      <c r="K874" t="n">
        <v>16</v>
      </c>
      <c r="L874" t="n">
        <v>16</v>
      </c>
      <c r="M874" t="n">
        <v>16</v>
      </c>
      <c r="N874" t="n">
        <v>16</v>
      </c>
      <c r="O874" t="n">
        <v>40</v>
      </c>
      <c r="P874" t="n">
        <v>8</v>
      </c>
      <c r="R874" s="9" t="n">
        <v>0.08</v>
      </c>
      <c r="S874" s="10" t="inlineStr">
        <is>
          <t>SÍ — integrante</t>
        </is>
      </c>
      <c r="T874" s="11" t="inlineStr">
        <is>
          <t>B · INTEGRANTE</t>
        </is>
      </c>
      <c r="U874" s="11" t="inlineStr">
        <is>
          <t>DEL BANCO (se hereda)</t>
        </is>
      </c>
      <c r="V874" s="11" t="inlineStr">
        <is>
          <t>9113 · COMERCIO GENERAL</t>
        </is>
      </c>
      <c r="W874" s="12" t="n"/>
      <c r="X874" s="12" t="n"/>
    </row>
    <row r="875" ht="15" customHeight="1">
      <c r="C875" t="inlineStr">
        <is>
          <t>Actividad económica / giro mercantil</t>
        </is>
      </c>
      <c r="D875" t="inlineStr">
        <is>
          <t>F12</t>
        </is>
      </c>
      <c r="E875" t="inlineStr">
        <is>
          <t>INHERENTE</t>
        </is>
      </c>
      <c r="F875" t="inlineStr">
        <is>
          <t>COMPRAVENTA DE FORRAJES EN ESTADO NATURAL</t>
        </is>
      </c>
      <c r="G875" t="n">
        <v>6114011</v>
      </c>
      <c r="H875" t="n">
        <v>2</v>
      </c>
      <c r="I875" t="n">
        <v>2</v>
      </c>
      <c r="J875" t="n">
        <v>8</v>
      </c>
      <c r="K875" t="n">
        <v>16</v>
      </c>
      <c r="L875" t="n">
        <v>16</v>
      </c>
      <c r="M875" t="n">
        <v>16</v>
      </c>
      <c r="N875" t="n">
        <v>16</v>
      </c>
      <c r="O875" t="n">
        <v>40</v>
      </c>
      <c r="P875" t="n">
        <v>8</v>
      </c>
      <c r="R875" s="9" t="n">
        <v>0.08</v>
      </c>
      <c r="S875" s="10" t="inlineStr">
        <is>
          <t>SÍ — integrante</t>
        </is>
      </c>
      <c r="T875" s="11" t="inlineStr">
        <is>
          <t>B · INTEGRANTE</t>
        </is>
      </c>
      <c r="U875" s="11" t="inlineStr">
        <is>
          <t>DEL BANCO (se hereda)</t>
        </is>
      </c>
      <c r="V875" s="11" t="inlineStr">
        <is>
          <t>9151 · SECTOR PRIMARIO (agropecuario, pesca, forestal, minería)</t>
        </is>
      </c>
      <c r="W875" s="12" t="n"/>
      <c r="X875" s="12" t="n"/>
    </row>
    <row r="876" ht="15" customHeight="1">
      <c r="C876" t="inlineStr">
        <is>
          <t>Actividad económica / giro mercantil</t>
        </is>
      </c>
      <c r="D876" t="inlineStr">
        <is>
          <t>F12</t>
        </is>
      </c>
      <c r="E876" t="inlineStr">
        <is>
          <t>INHERENTE</t>
        </is>
      </c>
      <c r="F876" t="inlineStr">
        <is>
          <t>COMPRAVENTA DE OTROS PRODUCTOS ALIMENTICIOS AGRICOLAS EN ESTADO NATURAL</t>
        </is>
      </c>
      <c r="G876" t="n">
        <v>6119011</v>
      </c>
      <c r="H876" t="n">
        <v>2</v>
      </c>
      <c r="I876" t="n">
        <v>2</v>
      </c>
      <c r="J876" t="n">
        <v>8</v>
      </c>
      <c r="K876" t="n">
        <v>16</v>
      </c>
      <c r="L876" t="n">
        <v>16</v>
      </c>
      <c r="M876" t="n">
        <v>16</v>
      </c>
      <c r="N876" t="n">
        <v>16</v>
      </c>
      <c r="O876" t="n">
        <v>40</v>
      </c>
      <c r="P876" t="n">
        <v>8</v>
      </c>
      <c r="R876" s="9" t="n">
        <v>0.08</v>
      </c>
      <c r="S876" s="10" t="inlineStr">
        <is>
          <t>SÍ — integrante</t>
        </is>
      </c>
      <c r="T876" s="11" t="inlineStr">
        <is>
          <t>B · INTEGRANTE</t>
        </is>
      </c>
      <c r="U876" s="11" t="inlineStr">
        <is>
          <t>DEL BANCO (se hereda)</t>
        </is>
      </c>
      <c r="V876" s="11" t="inlineStr">
        <is>
          <t>9152 · INDUSTRIA Y MANUFACTURA</t>
        </is>
      </c>
      <c r="W876" s="12" t="n"/>
      <c r="X876" s="12" t="n"/>
    </row>
    <row r="877" ht="15" customHeight="1">
      <c r="C877" t="inlineStr">
        <is>
          <t>Actividad económica / giro mercantil</t>
        </is>
      </c>
      <c r="D877" t="inlineStr">
        <is>
          <t>F12</t>
        </is>
      </c>
      <c r="E877" t="inlineStr">
        <is>
          <t>INHERENTE</t>
        </is>
      </c>
      <c r="F877" t="inlineStr">
        <is>
          <t>COMPRAVENTA DE AVES EN PIE</t>
        </is>
      </c>
      <c r="G877" t="n">
        <v>6121016</v>
      </c>
      <c r="H877" t="n">
        <v>2</v>
      </c>
      <c r="I877" t="n">
        <v>2</v>
      </c>
      <c r="J877" t="n">
        <v>8</v>
      </c>
      <c r="K877" t="n">
        <v>16</v>
      </c>
      <c r="L877" t="n">
        <v>16</v>
      </c>
      <c r="M877" t="n">
        <v>16</v>
      </c>
      <c r="N877" t="n">
        <v>16</v>
      </c>
      <c r="O877" t="n">
        <v>40</v>
      </c>
      <c r="P877" t="n">
        <v>8</v>
      </c>
      <c r="R877" s="9" t="n">
        <v>0.08</v>
      </c>
      <c r="S877" s="10" t="inlineStr">
        <is>
          <t>SÍ — integrante</t>
        </is>
      </c>
      <c r="T877" s="11" t="inlineStr">
        <is>
          <t>B · INTEGRANTE</t>
        </is>
      </c>
      <c r="U877" s="11" t="inlineStr">
        <is>
          <t>DEL BANCO (se hereda)</t>
        </is>
      </c>
      <c r="V877" s="11" t="inlineStr">
        <is>
          <t>9113 · COMERCIO GENERAL</t>
        </is>
      </c>
      <c r="W877" s="12" t="n"/>
      <c r="X877" s="12" t="n"/>
    </row>
    <row r="878" ht="15" customHeight="1">
      <c r="C878" t="inlineStr">
        <is>
          <t>Actividad económica / giro mercantil</t>
        </is>
      </c>
      <c r="D878" t="inlineStr">
        <is>
          <t>F12</t>
        </is>
      </c>
      <c r="E878" t="inlineStr">
        <is>
          <t>INHERENTE</t>
        </is>
      </c>
      <c r="F878" t="inlineStr">
        <is>
          <t>COMPRAVENTA DE GANADO MAYOR EN PIE</t>
        </is>
      </c>
      <c r="G878" t="n">
        <v>6121024</v>
      </c>
      <c r="H878" t="n">
        <v>2</v>
      </c>
      <c r="I878" t="n">
        <v>2</v>
      </c>
      <c r="J878" t="n">
        <v>8</v>
      </c>
      <c r="K878" t="n">
        <v>16</v>
      </c>
      <c r="L878" t="n">
        <v>16</v>
      </c>
      <c r="M878" t="n">
        <v>16</v>
      </c>
      <c r="N878" t="n">
        <v>16</v>
      </c>
      <c r="O878" t="n">
        <v>40</v>
      </c>
      <c r="P878" t="n">
        <v>8</v>
      </c>
      <c r="R878" s="9" t="n">
        <v>0.08</v>
      </c>
      <c r="S878" s="10" t="inlineStr">
        <is>
          <t>SÍ — integrante</t>
        </is>
      </c>
      <c r="T878" s="11" t="inlineStr">
        <is>
          <t>B · INTEGRANTE</t>
        </is>
      </c>
      <c r="U878" s="11" t="inlineStr">
        <is>
          <t>DEL BANCO (se hereda)</t>
        </is>
      </c>
      <c r="V878" s="11" t="inlineStr">
        <is>
          <t>9113 · COMERCIO GENERAL</t>
        </is>
      </c>
      <c r="W878" s="12" t="n"/>
      <c r="X878" s="12" t="n"/>
    </row>
    <row r="879" ht="15" customHeight="1">
      <c r="C879" t="inlineStr">
        <is>
          <t>Actividad económica / giro mercantil</t>
        </is>
      </c>
      <c r="D879" t="inlineStr">
        <is>
          <t>F12</t>
        </is>
      </c>
      <c r="E879" t="inlineStr">
        <is>
          <t>INHERENTE</t>
        </is>
      </c>
      <c r="F879" t="inlineStr">
        <is>
          <t>COMPRAVENTA DE GANADO MENOR EN PIE</t>
        </is>
      </c>
      <c r="G879" t="n">
        <v>6121032</v>
      </c>
      <c r="H879" t="n">
        <v>2</v>
      </c>
      <c r="I879" t="n">
        <v>2</v>
      </c>
      <c r="J879" t="n">
        <v>8</v>
      </c>
      <c r="K879" t="n">
        <v>16</v>
      </c>
      <c r="L879" t="n">
        <v>16</v>
      </c>
      <c r="M879" t="n">
        <v>16</v>
      </c>
      <c r="N879" t="n">
        <v>16</v>
      </c>
      <c r="O879" t="n">
        <v>40</v>
      </c>
      <c r="P879" t="n">
        <v>8</v>
      </c>
      <c r="R879" s="9" t="n">
        <v>0.08</v>
      </c>
      <c r="S879" s="10" t="inlineStr">
        <is>
          <t>SÍ — integrante</t>
        </is>
      </c>
      <c r="T879" s="11" t="inlineStr">
        <is>
          <t>B · INTEGRANTE</t>
        </is>
      </c>
      <c r="U879" s="11" t="inlineStr">
        <is>
          <t>DEL BANCO (se hereda)</t>
        </is>
      </c>
      <c r="V879" s="11" t="inlineStr">
        <is>
          <t>9113 · COMERCIO GENERAL</t>
        </is>
      </c>
      <c r="W879" s="12" t="n"/>
      <c r="X879" s="12" t="n"/>
    </row>
    <row r="880" ht="15" customHeight="1">
      <c r="C880" t="inlineStr">
        <is>
          <t>Actividad económica / giro mercantil</t>
        </is>
      </c>
      <c r="D880" t="inlineStr">
        <is>
          <t>F12</t>
        </is>
      </c>
      <c r="E880" t="inlineStr">
        <is>
          <t>INHERENTE</t>
        </is>
      </c>
      <c r="F880" t="inlineStr">
        <is>
          <t>COMPRAVENTA DE CARNE DE RES Y OTRAS ESPECIES DE GANADO</t>
        </is>
      </c>
      <c r="G880" t="n">
        <v>6122014</v>
      </c>
      <c r="H880" t="n">
        <v>2</v>
      </c>
      <c r="I880" t="n">
        <v>2</v>
      </c>
      <c r="J880" t="n">
        <v>8</v>
      </c>
      <c r="K880" t="n">
        <v>16</v>
      </c>
      <c r="L880" t="n">
        <v>16</v>
      </c>
      <c r="M880" t="n">
        <v>16</v>
      </c>
      <c r="N880" t="n">
        <v>16</v>
      </c>
      <c r="O880" t="n">
        <v>40</v>
      </c>
      <c r="P880" t="n">
        <v>8</v>
      </c>
      <c r="R880" s="9" t="n">
        <v>0.08</v>
      </c>
      <c r="S880" s="10" t="inlineStr">
        <is>
          <t>SÍ — integrante</t>
        </is>
      </c>
      <c r="T880" s="11" t="inlineStr">
        <is>
          <t>B · INTEGRANTE</t>
        </is>
      </c>
      <c r="U880" s="11" t="inlineStr">
        <is>
          <t>DEL BANCO (se hereda)</t>
        </is>
      </c>
      <c r="V880" s="11" t="inlineStr">
        <is>
          <t>9113 · COMERCIO GENERAL</t>
        </is>
      </c>
      <c r="W880" s="12" t="n"/>
      <c r="X880" s="12" t="n"/>
    </row>
    <row r="881" ht="15" customHeight="1">
      <c r="C881" t="inlineStr">
        <is>
          <t>Actividad económica / giro mercantil</t>
        </is>
      </c>
      <c r="D881" t="inlineStr">
        <is>
          <t>F12</t>
        </is>
      </c>
      <c r="E881" t="inlineStr">
        <is>
          <t>INHERENTE</t>
        </is>
      </c>
      <c r="F881" t="inlineStr">
        <is>
          <t>COMPRAVENTA DE VISCERAS DE GANADO CRUDAS Y SEMICRUDAS</t>
        </is>
      </c>
      <c r="G881" t="n">
        <v>6123012</v>
      </c>
      <c r="H881" t="n">
        <v>2</v>
      </c>
      <c r="I881" t="n">
        <v>2</v>
      </c>
      <c r="J881" t="n">
        <v>8</v>
      </c>
      <c r="K881" t="n">
        <v>16</v>
      </c>
      <c r="L881" t="n">
        <v>16</v>
      </c>
      <c r="M881" t="n">
        <v>16</v>
      </c>
      <c r="N881" t="n">
        <v>16</v>
      </c>
      <c r="O881" t="n">
        <v>40</v>
      </c>
      <c r="P881" t="n">
        <v>8</v>
      </c>
      <c r="R881" s="9" t="n">
        <v>0.08</v>
      </c>
      <c r="S881" s="10" t="inlineStr">
        <is>
          <t>SÍ — integrante</t>
        </is>
      </c>
      <c r="T881" s="11" t="inlineStr">
        <is>
          <t>B · INTEGRANTE</t>
        </is>
      </c>
      <c r="U881" s="11" t="inlineStr">
        <is>
          <t>DEL BANCO (se hereda)</t>
        </is>
      </c>
      <c r="V881" s="11" t="inlineStr">
        <is>
          <t>9113 · COMERCIO GENERAL</t>
        </is>
      </c>
      <c r="W881" s="12" t="n"/>
      <c r="X881" s="12" t="n"/>
    </row>
    <row r="882" ht="15" customHeight="1">
      <c r="C882" t="inlineStr">
        <is>
          <t>Actividad económica / giro mercantil</t>
        </is>
      </c>
      <c r="D882" t="inlineStr">
        <is>
          <t>F12</t>
        </is>
      </c>
      <c r="E882" t="inlineStr">
        <is>
          <t>INHERENTE</t>
        </is>
      </c>
      <c r="F882" t="inlineStr">
        <is>
          <t>COMPRAVENTA DE CARNE DE AVES</t>
        </is>
      </c>
      <c r="G882" t="n">
        <v>6124010</v>
      </c>
      <c r="H882" t="n">
        <v>2</v>
      </c>
      <c r="I882" t="n">
        <v>2</v>
      </c>
      <c r="J882" t="n">
        <v>8</v>
      </c>
      <c r="K882" t="n">
        <v>16</v>
      </c>
      <c r="L882" t="n">
        <v>16</v>
      </c>
      <c r="M882" t="n">
        <v>16</v>
      </c>
      <c r="N882" t="n">
        <v>16</v>
      </c>
      <c r="O882" t="n">
        <v>40</v>
      </c>
      <c r="P882" t="n">
        <v>8</v>
      </c>
      <c r="R882" s="9" t="n">
        <v>0.08</v>
      </c>
      <c r="S882" s="10" t="inlineStr">
        <is>
          <t>SÍ — integrante</t>
        </is>
      </c>
      <c r="T882" s="11" t="inlineStr">
        <is>
          <t>B · INTEGRANTE</t>
        </is>
      </c>
      <c r="U882" s="11" t="inlineStr">
        <is>
          <t>DEL BANCO (se hereda)</t>
        </is>
      </c>
      <c r="V882" s="11" t="inlineStr">
        <is>
          <t>9113 · COMERCIO GENERAL</t>
        </is>
      </c>
      <c r="W882" s="12" t="n"/>
      <c r="X882" s="12" t="n"/>
    </row>
    <row r="883" ht="15" customHeight="1">
      <c r="C883" t="inlineStr">
        <is>
          <t>Actividad económica / giro mercantil</t>
        </is>
      </c>
      <c r="D883" t="inlineStr">
        <is>
          <t>F12</t>
        </is>
      </c>
      <c r="E883" t="inlineStr">
        <is>
          <t>INHERENTE</t>
        </is>
      </c>
      <c r="F883" t="inlineStr">
        <is>
          <t>COMPRAVENTA DE HUEVO</t>
        </is>
      </c>
      <c r="G883" t="n">
        <v>6125018</v>
      </c>
      <c r="H883" t="n">
        <v>2</v>
      </c>
      <c r="I883" t="n">
        <v>2</v>
      </c>
      <c r="J883" t="n">
        <v>8</v>
      </c>
      <c r="K883" t="n">
        <v>16</v>
      </c>
      <c r="L883" t="n">
        <v>16</v>
      </c>
      <c r="M883" t="n">
        <v>16</v>
      </c>
      <c r="N883" t="n">
        <v>16</v>
      </c>
      <c r="O883" t="n">
        <v>40</v>
      </c>
      <c r="P883" t="n">
        <v>8</v>
      </c>
      <c r="R883" s="9" t="n">
        <v>0.08</v>
      </c>
      <c r="S883" s="10" t="inlineStr">
        <is>
          <t>SÍ — integrante</t>
        </is>
      </c>
      <c r="T883" s="11" t="inlineStr">
        <is>
          <t>B · INTEGRANTE</t>
        </is>
      </c>
      <c r="U883" s="11" t="inlineStr">
        <is>
          <t>DEL BANCO (se hereda)</t>
        </is>
      </c>
      <c r="V883" s="11" t="inlineStr">
        <is>
          <t>9113 · COMERCIO GENERAL</t>
        </is>
      </c>
      <c r="W883" s="12" t="n"/>
      <c r="X883" s="12" t="n"/>
    </row>
    <row r="884" ht="15" customHeight="1">
      <c r="C884" t="inlineStr">
        <is>
          <t>Actividad económica / giro mercantil</t>
        </is>
      </c>
      <c r="D884" t="inlineStr">
        <is>
          <t>F12</t>
        </is>
      </c>
      <c r="E884" t="inlineStr">
        <is>
          <t>INHERENTE</t>
        </is>
      </c>
      <c r="F884" t="inlineStr">
        <is>
          <t>COMPRAVENTA DE MANTECA</t>
        </is>
      </c>
      <c r="G884" t="n">
        <v>6126016</v>
      </c>
      <c r="H884" t="n">
        <v>2</v>
      </c>
      <c r="I884" t="n">
        <v>2</v>
      </c>
      <c r="J884" t="n">
        <v>8</v>
      </c>
      <c r="K884" t="n">
        <v>16</v>
      </c>
      <c r="L884" t="n">
        <v>16</v>
      </c>
      <c r="M884" t="n">
        <v>16</v>
      </c>
      <c r="N884" t="n">
        <v>16</v>
      </c>
      <c r="O884" t="n">
        <v>40</v>
      </c>
      <c r="P884" t="n">
        <v>8</v>
      </c>
      <c r="R884" s="9" t="n">
        <v>0.08</v>
      </c>
      <c r="S884" s="10" t="inlineStr">
        <is>
          <t>SÍ — integrante</t>
        </is>
      </c>
      <c r="T884" s="11" t="inlineStr">
        <is>
          <t>B · INTEGRANTE</t>
        </is>
      </c>
      <c r="U884" s="11" t="inlineStr">
        <is>
          <t>DEL BANCO (se hereda)</t>
        </is>
      </c>
      <c r="V884" s="11" t="inlineStr">
        <is>
          <t>9113 · COMERCIO GENERAL</t>
        </is>
      </c>
      <c r="W884" s="12" t="n"/>
      <c r="X884" s="12" t="n"/>
    </row>
    <row r="885" ht="15" customHeight="1">
      <c r="C885" t="inlineStr">
        <is>
          <t>Actividad económica / giro mercantil</t>
        </is>
      </c>
      <c r="D885" t="inlineStr">
        <is>
          <t>F12</t>
        </is>
      </c>
      <c r="E885" t="inlineStr">
        <is>
          <t>INHERENTE</t>
        </is>
      </c>
      <c r="F885" t="inlineStr">
        <is>
          <t>COMPRAVENTA DE MATERIAS PRIMAS ANIMALES</t>
        </is>
      </c>
      <c r="G885" t="n">
        <v>6126024</v>
      </c>
      <c r="H885" t="n">
        <v>2</v>
      </c>
      <c r="I885" t="n">
        <v>2</v>
      </c>
      <c r="J885" t="n">
        <v>8</v>
      </c>
      <c r="K885" t="n">
        <v>16</v>
      </c>
      <c r="L885" t="n">
        <v>16</v>
      </c>
      <c r="M885" t="n">
        <v>16</v>
      </c>
      <c r="N885" t="n">
        <v>16</v>
      </c>
      <c r="O885" t="n">
        <v>40</v>
      </c>
      <c r="P885" t="n">
        <v>8</v>
      </c>
      <c r="R885" s="9" t="n">
        <v>0.08</v>
      </c>
      <c r="S885" s="10" t="inlineStr">
        <is>
          <t>SÍ — integrante</t>
        </is>
      </c>
      <c r="T885" s="11" t="inlineStr">
        <is>
          <t>B · INTEGRANTE</t>
        </is>
      </c>
      <c r="U885" s="11" t="inlineStr">
        <is>
          <t>DEL BANCO (se hereda)</t>
        </is>
      </c>
      <c r="V885" s="11" t="inlineStr">
        <is>
          <t>9113 · COMERCIO GENERAL</t>
        </is>
      </c>
      <c r="W885" s="12" t="n"/>
      <c r="X885" s="12" t="n"/>
    </row>
    <row r="886" ht="15" customHeight="1">
      <c r="C886" t="inlineStr">
        <is>
          <t>Actividad económica / giro mercantil</t>
        </is>
      </c>
      <c r="D886" t="inlineStr">
        <is>
          <t>F12</t>
        </is>
      </c>
      <c r="E886" t="inlineStr">
        <is>
          <t>INHERENTE</t>
        </is>
      </c>
      <c r="F886" t="inlineStr">
        <is>
          <t>COMPRAVENTA DE PESCADOS Y MARISCOS</t>
        </is>
      </c>
      <c r="G886" t="n">
        <v>6126032</v>
      </c>
      <c r="H886" t="n">
        <v>2</v>
      </c>
      <c r="I886" t="n">
        <v>2</v>
      </c>
      <c r="J886" t="n">
        <v>8</v>
      </c>
      <c r="K886" t="n">
        <v>16</v>
      </c>
      <c r="L886" t="n">
        <v>16</v>
      </c>
      <c r="M886" t="n">
        <v>16</v>
      </c>
      <c r="N886" t="n">
        <v>16</v>
      </c>
      <c r="O886" t="n">
        <v>40</v>
      </c>
      <c r="P886" t="n">
        <v>8</v>
      </c>
      <c r="R886" s="9" t="n">
        <v>0.08</v>
      </c>
      <c r="S886" s="10" t="inlineStr">
        <is>
          <t>SÍ — integrante</t>
        </is>
      </c>
      <c r="T886" s="11" t="inlineStr">
        <is>
          <t>B · INTEGRANTE</t>
        </is>
      </c>
      <c r="U886" s="11" t="inlineStr">
        <is>
          <t>DEL BANCO (se hereda)</t>
        </is>
      </c>
      <c r="V886" s="11" t="inlineStr">
        <is>
          <t>9151 · SECTOR PRIMARIO (agropecuario, pesca, forestal, minería)</t>
        </is>
      </c>
      <c r="W886" s="12" t="n"/>
      <c r="X886" s="12" t="n"/>
    </row>
    <row r="887" ht="15" customHeight="1">
      <c r="C887" t="inlineStr">
        <is>
          <t>Actividad económica / giro mercantil</t>
        </is>
      </c>
      <c r="D887" t="inlineStr">
        <is>
          <t>F12</t>
        </is>
      </c>
      <c r="E887" t="inlineStr">
        <is>
          <t>INHERENTE</t>
        </is>
      </c>
      <c r="F887" t="inlineStr">
        <is>
          <t>SALCHICHONERIA</t>
        </is>
      </c>
      <c r="G887" t="n">
        <v>6131015</v>
      </c>
      <c r="H887" t="n">
        <v>1</v>
      </c>
      <c r="I887" t="n">
        <v>1</v>
      </c>
      <c r="J887" t="n">
        <v>8</v>
      </c>
      <c r="K887" t="n">
        <v>8</v>
      </c>
      <c r="L887" t="n">
        <v>8</v>
      </c>
      <c r="M887" t="n">
        <v>8</v>
      </c>
      <c r="N887" t="n">
        <v>8</v>
      </c>
      <c r="O887" t="n">
        <v>40</v>
      </c>
      <c r="P887" t="n">
        <v>8</v>
      </c>
      <c r="R887" s="9" t="n">
        <v>0.08</v>
      </c>
      <c r="S887" s="10" t="inlineStr">
        <is>
          <t>SÍ — integrante</t>
        </is>
      </c>
      <c r="T887" s="11" t="inlineStr">
        <is>
          <t>B · INTEGRANTE</t>
        </is>
      </c>
      <c r="U887" s="11" t="inlineStr">
        <is>
          <t>DEL BANCO (se hereda)</t>
        </is>
      </c>
      <c r="V887" s="11" t="inlineStr">
        <is>
          <t>9152 · INDUSTRIA Y MANUFACTURA</t>
        </is>
      </c>
      <c r="W887" s="12" t="n"/>
      <c r="X887" s="12" t="n"/>
    </row>
    <row r="888" ht="15" customHeight="1">
      <c r="C888" t="inlineStr">
        <is>
          <t>Actividad económica / giro mercantil</t>
        </is>
      </c>
      <c r="D888" t="inlineStr">
        <is>
          <t>F12</t>
        </is>
      </c>
      <c r="E888" t="inlineStr">
        <is>
          <t>INHERENTE</t>
        </is>
      </c>
      <c r="F888" t="inlineStr">
        <is>
          <t>TIENDA DE ABARROTES Y MISCELANEA</t>
        </is>
      </c>
      <c r="G888" t="n">
        <v>6131023</v>
      </c>
      <c r="H888" t="n">
        <v>1</v>
      </c>
      <c r="I888" t="n">
        <v>1</v>
      </c>
      <c r="J888" t="n">
        <v>8</v>
      </c>
      <c r="K888" t="n">
        <v>8</v>
      </c>
      <c r="L888" t="n">
        <v>8</v>
      </c>
      <c r="M888" t="n">
        <v>8</v>
      </c>
      <c r="N888" t="n">
        <v>8</v>
      </c>
      <c r="O888" t="n">
        <v>40</v>
      </c>
      <c r="P888" t="n">
        <v>8</v>
      </c>
      <c r="R888" s="9" t="n">
        <v>0.08</v>
      </c>
      <c r="S888" s="10" t="inlineStr">
        <is>
          <t>SÍ — integrante</t>
        </is>
      </c>
      <c r="T888" s="11" t="inlineStr">
        <is>
          <t>B · INTEGRANTE</t>
        </is>
      </c>
      <c r="U888" s="11" t="inlineStr">
        <is>
          <t>DEL BANCO (se hereda)</t>
        </is>
      </c>
      <c r="V888" s="11" t="inlineStr">
        <is>
          <t>9120 · EFECTIVO INTENSIVO</t>
        </is>
      </c>
      <c r="W888" s="12" t="n"/>
      <c r="X888" s="12" t="n"/>
    </row>
    <row r="889" ht="15" customHeight="1">
      <c r="C889" t="inlineStr">
        <is>
          <t>Actividad económica / giro mercantil</t>
        </is>
      </c>
      <c r="D889" t="inlineStr">
        <is>
          <t>F12</t>
        </is>
      </c>
      <c r="E889" t="inlineStr">
        <is>
          <t>INHERENTE</t>
        </is>
      </c>
      <c r="F889" t="inlineStr">
        <is>
          <t>COMPRAVENTA DE DULCES</t>
        </is>
      </c>
      <c r="G889" t="n">
        <v>6132013</v>
      </c>
      <c r="H889" t="n">
        <v>2</v>
      </c>
      <c r="I889" t="n">
        <v>2</v>
      </c>
      <c r="J889" t="n">
        <v>8</v>
      </c>
      <c r="K889" t="n">
        <v>16</v>
      </c>
      <c r="L889" t="n">
        <v>16</v>
      </c>
      <c r="M889" t="n">
        <v>16</v>
      </c>
      <c r="N889" t="n">
        <v>16</v>
      </c>
      <c r="O889" t="n">
        <v>40</v>
      </c>
      <c r="P889" t="n">
        <v>8</v>
      </c>
      <c r="R889" s="9" t="n">
        <v>0.08</v>
      </c>
      <c r="S889" s="10" t="inlineStr">
        <is>
          <t>SÍ — integrante</t>
        </is>
      </c>
      <c r="T889" s="11" t="inlineStr">
        <is>
          <t>B · INTEGRANTE</t>
        </is>
      </c>
      <c r="U889" s="11" t="inlineStr">
        <is>
          <t>DEL BANCO (se hereda)</t>
        </is>
      </c>
      <c r="V889" s="11" t="inlineStr">
        <is>
          <t>9113 · COMERCIO GENERAL</t>
        </is>
      </c>
      <c r="W889" s="12" t="n"/>
      <c r="X889" s="12" t="n"/>
    </row>
    <row r="890" ht="15" customHeight="1">
      <c r="C890" t="inlineStr">
        <is>
          <t>Actividad económica / giro mercantil</t>
        </is>
      </c>
      <c r="D890" t="inlineStr">
        <is>
          <t>F12</t>
        </is>
      </c>
      <c r="E890" t="inlineStr">
        <is>
          <t>INHERENTE</t>
        </is>
      </c>
      <c r="F890" t="inlineStr">
        <is>
          <t>COMPRAVENTA DE ESPECIAS Y ARTICULOS ALIMENTICIOS DESHIDRATADOS</t>
        </is>
      </c>
      <c r="G890" t="n">
        <v>6132021</v>
      </c>
      <c r="H890" t="n">
        <v>2</v>
      </c>
      <c r="I890" t="n">
        <v>2</v>
      </c>
      <c r="J890" t="n">
        <v>8</v>
      </c>
      <c r="K890" t="n">
        <v>16</v>
      </c>
      <c r="L890" t="n">
        <v>16</v>
      </c>
      <c r="M890" t="n">
        <v>16</v>
      </c>
      <c r="N890" t="n">
        <v>16</v>
      </c>
      <c r="O890" t="n">
        <v>40</v>
      </c>
      <c r="P890" t="n">
        <v>8</v>
      </c>
      <c r="R890" s="9" t="n">
        <v>0.08</v>
      </c>
      <c r="S890" s="10" t="inlineStr">
        <is>
          <t>SÍ — integrante</t>
        </is>
      </c>
      <c r="T890" s="11" t="inlineStr">
        <is>
          <t>B · INTEGRANTE</t>
        </is>
      </c>
      <c r="U890" s="11" t="inlineStr">
        <is>
          <t>DEL BANCO (se hereda)</t>
        </is>
      </c>
      <c r="V890" s="11" t="inlineStr">
        <is>
          <t>9113 · COMERCIO GENERAL</t>
        </is>
      </c>
      <c r="W890" s="12" t="n"/>
      <c r="X890" s="12" t="n"/>
    </row>
    <row r="891" ht="15" customHeight="1">
      <c r="C891" t="inlineStr">
        <is>
          <t>Actividad económica / giro mercantil</t>
        </is>
      </c>
      <c r="D891" t="inlineStr">
        <is>
          <t>F12</t>
        </is>
      </c>
      <c r="E891" t="inlineStr">
        <is>
          <t>INHERENTE</t>
        </is>
      </c>
      <c r="F891" t="inlineStr">
        <is>
          <t>COMPRAVENTA DE LECHE</t>
        </is>
      </c>
      <c r="G891" t="n">
        <v>6132039</v>
      </c>
      <c r="H891" t="n">
        <v>2</v>
      </c>
      <c r="I891" t="n">
        <v>2</v>
      </c>
      <c r="J891" t="n">
        <v>8</v>
      </c>
      <c r="K891" t="n">
        <v>16</v>
      </c>
      <c r="L891" t="n">
        <v>16</v>
      </c>
      <c r="M891" t="n">
        <v>16</v>
      </c>
      <c r="N891" t="n">
        <v>16</v>
      </c>
      <c r="O891" t="n">
        <v>40</v>
      </c>
      <c r="P891" t="n">
        <v>8</v>
      </c>
      <c r="R891" s="9" t="n">
        <v>0.08</v>
      </c>
      <c r="S891" s="10" t="inlineStr">
        <is>
          <t>SÍ — integrante</t>
        </is>
      </c>
      <c r="T891" s="11" t="inlineStr">
        <is>
          <t>B · INTEGRANTE</t>
        </is>
      </c>
      <c r="U891" s="11" t="inlineStr">
        <is>
          <t>DEL BANCO (se hereda)</t>
        </is>
      </c>
      <c r="V891" s="11" t="inlineStr">
        <is>
          <t>9113 · COMERCIO GENERAL</t>
        </is>
      </c>
      <c r="W891" s="12" t="n"/>
      <c r="X891" s="12" t="n"/>
    </row>
    <row r="892" ht="15" customHeight="1">
      <c r="C892" t="inlineStr">
        <is>
          <t>Actividad económica / giro mercantil</t>
        </is>
      </c>
      <c r="D892" t="inlineStr">
        <is>
          <t>F12</t>
        </is>
      </c>
      <c r="E892" t="inlineStr">
        <is>
          <t>INHERENTE</t>
        </is>
      </c>
      <c r="F892" t="inlineStr">
        <is>
          <t>COMPRAVENTA DE OTROS PRODUCTOS LACTEOS</t>
        </is>
      </c>
      <c r="G892" t="n">
        <v>6132047</v>
      </c>
      <c r="H892" t="n">
        <v>2</v>
      </c>
      <c r="I892" t="n">
        <v>2</v>
      </c>
      <c r="J892" t="n">
        <v>8</v>
      </c>
      <c r="K892" t="n">
        <v>16</v>
      </c>
      <c r="L892" t="n">
        <v>16</v>
      </c>
      <c r="M892" t="n">
        <v>16</v>
      </c>
      <c r="N892" t="n">
        <v>16</v>
      </c>
      <c r="O892" t="n">
        <v>40</v>
      </c>
      <c r="P892" t="n">
        <v>8</v>
      </c>
      <c r="R892" s="9" t="n">
        <v>0.08</v>
      </c>
      <c r="S892" s="10" t="inlineStr">
        <is>
          <t>SÍ — integrante</t>
        </is>
      </c>
      <c r="T892" s="11" t="inlineStr">
        <is>
          <t>B · INTEGRANTE</t>
        </is>
      </c>
      <c r="U892" s="11" t="inlineStr">
        <is>
          <t>DEL BANCO (se hereda)</t>
        </is>
      </c>
      <c r="V892" s="11" t="inlineStr">
        <is>
          <t>9152 · INDUSTRIA Y MANUFACTURA</t>
        </is>
      </c>
      <c r="W892" s="12" t="n"/>
      <c r="X892" s="12" t="n"/>
    </row>
    <row r="893" ht="15" customHeight="1">
      <c r="C893" t="inlineStr">
        <is>
          <t>Actividad económica / giro mercantil</t>
        </is>
      </c>
      <c r="D893" t="inlineStr">
        <is>
          <t>F12</t>
        </is>
      </c>
      <c r="E893" t="inlineStr">
        <is>
          <t>INHERENTE</t>
        </is>
      </c>
      <c r="F893" t="inlineStr">
        <is>
          <t>COMPRAVENTA DE PAN Y PASTELES</t>
        </is>
      </c>
      <c r="G893" t="n">
        <v>6132055</v>
      </c>
      <c r="H893" t="n">
        <v>2</v>
      </c>
      <c r="I893" t="n">
        <v>2</v>
      </c>
      <c r="J893" t="n">
        <v>8</v>
      </c>
      <c r="K893" t="n">
        <v>16</v>
      </c>
      <c r="L893" t="n">
        <v>16</v>
      </c>
      <c r="M893" t="n">
        <v>16</v>
      </c>
      <c r="N893" t="n">
        <v>16</v>
      </c>
      <c r="O893" t="n">
        <v>40</v>
      </c>
      <c r="P893" t="n">
        <v>8</v>
      </c>
      <c r="R893" s="9" t="n">
        <v>0.08</v>
      </c>
      <c r="S893" s="10" t="inlineStr">
        <is>
          <t>SÍ — integrante</t>
        </is>
      </c>
      <c r="T893" s="11" t="inlineStr">
        <is>
          <t>B · INTEGRANTE</t>
        </is>
      </c>
      <c r="U893" s="11" t="inlineStr">
        <is>
          <t>DEL BANCO (se hereda)</t>
        </is>
      </c>
      <c r="V893" s="11" t="inlineStr">
        <is>
          <t>9113 · COMERCIO GENERAL</t>
        </is>
      </c>
      <c r="W893" s="12" t="n"/>
      <c r="X893" s="12" t="n"/>
    </row>
    <row r="894" ht="15" customHeight="1">
      <c r="C894" t="inlineStr">
        <is>
          <t>Actividad económica / giro mercantil</t>
        </is>
      </c>
      <c r="D894" t="inlineStr">
        <is>
          <t>F12</t>
        </is>
      </c>
      <c r="E894" t="inlineStr">
        <is>
          <t>INHERENTE</t>
        </is>
      </c>
      <c r="F894" t="inlineStr">
        <is>
          <t>COMPRAVENTA DE SAL</t>
        </is>
      </c>
      <c r="G894" t="n">
        <v>6132063</v>
      </c>
      <c r="H894" t="n">
        <v>2</v>
      </c>
      <c r="I894" t="n">
        <v>2</v>
      </c>
      <c r="J894" t="n">
        <v>8</v>
      </c>
      <c r="K894" t="n">
        <v>16</v>
      </c>
      <c r="L894" t="n">
        <v>16</v>
      </c>
      <c r="M894" t="n">
        <v>16</v>
      </c>
      <c r="N894" t="n">
        <v>16</v>
      </c>
      <c r="O894" t="n">
        <v>40</v>
      </c>
      <c r="P894" t="n">
        <v>8</v>
      </c>
      <c r="R894" s="9" t="n">
        <v>0.08</v>
      </c>
      <c r="S894" s="10" t="inlineStr">
        <is>
          <t>SÍ — integrante</t>
        </is>
      </c>
      <c r="T894" s="11" t="inlineStr">
        <is>
          <t>B · INTEGRANTE</t>
        </is>
      </c>
      <c r="U894" s="11" t="inlineStr">
        <is>
          <t>DEL BANCO (se hereda)</t>
        </is>
      </c>
      <c r="V894" s="11" t="inlineStr">
        <is>
          <t>9152 · INDUSTRIA Y MANUFACTURA</t>
        </is>
      </c>
      <c r="W894" s="12" t="n"/>
      <c r="X894" s="12" t="n"/>
    </row>
    <row r="895" ht="15" customHeight="1">
      <c r="C895" t="inlineStr">
        <is>
          <t>Actividad económica / giro mercantil</t>
        </is>
      </c>
      <c r="D895" t="inlineStr">
        <is>
          <t>F12</t>
        </is>
      </c>
      <c r="E895" t="inlineStr">
        <is>
          <t>INHERENTE</t>
        </is>
      </c>
      <c r="F895" t="inlineStr">
        <is>
          <t>VENTA Y DISTRIBUCION DE DESPENSAS FAMILIARES</t>
        </is>
      </c>
      <c r="G895" t="n">
        <v>6132071</v>
      </c>
      <c r="H895" t="n">
        <v>1</v>
      </c>
      <c r="I895" t="n">
        <v>1</v>
      </c>
      <c r="J895" t="n">
        <v>8</v>
      </c>
      <c r="K895" t="n">
        <v>8</v>
      </c>
      <c r="L895" t="n">
        <v>8</v>
      </c>
      <c r="M895" t="n">
        <v>8</v>
      </c>
      <c r="N895" t="n">
        <v>8</v>
      </c>
      <c r="O895" t="n">
        <v>40</v>
      </c>
      <c r="P895" t="n">
        <v>8</v>
      </c>
      <c r="R895" s="9" t="n">
        <v>0.08</v>
      </c>
      <c r="S895" s="10" t="inlineStr">
        <is>
          <t>SÍ — integrante</t>
        </is>
      </c>
      <c r="T895" s="11" t="inlineStr">
        <is>
          <t>B · INTEGRANTE</t>
        </is>
      </c>
      <c r="U895" s="11" t="inlineStr">
        <is>
          <t>DEL BANCO (se hereda)</t>
        </is>
      </c>
      <c r="V895" s="11" t="inlineStr">
        <is>
          <t>9113 · COMERCIO GENERAL</t>
        </is>
      </c>
      <c r="W895" s="12" t="n"/>
      <c r="X895" s="12" t="n"/>
    </row>
    <row r="896" ht="15" customHeight="1">
      <c r="C896" t="inlineStr">
        <is>
          <t>Actividad económica / giro mercantil</t>
        </is>
      </c>
      <c r="D896" t="inlineStr">
        <is>
          <t>F12</t>
        </is>
      </c>
      <c r="E896" t="inlineStr">
        <is>
          <t>INHERENTE</t>
        </is>
      </c>
      <c r="F896" t="inlineStr">
        <is>
          <t>COMPRAVENTA DE AZUCAR</t>
        </is>
      </c>
      <c r="G896" t="n">
        <v>6132089</v>
      </c>
      <c r="H896" t="n">
        <v>2</v>
      </c>
      <c r="I896" t="n">
        <v>2</v>
      </c>
      <c r="J896" t="n">
        <v>8</v>
      </c>
      <c r="K896" t="n">
        <v>16</v>
      </c>
      <c r="L896" t="n">
        <v>16</v>
      </c>
      <c r="M896" t="n">
        <v>16</v>
      </c>
      <c r="N896" t="n">
        <v>16</v>
      </c>
      <c r="O896" t="n">
        <v>40</v>
      </c>
      <c r="P896" t="n">
        <v>8</v>
      </c>
      <c r="R896" s="9" t="n">
        <v>0.08</v>
      </c>
      <c r="S896" s="10" t="inlineStr">
        <is>
          <t>SÍ — integrante</t>
        </is>
      </c>
      <c r="T896" s="11" t="inlineStr">
        <is>
          <t>B · INTEGRANTE</t>
        </is>
      </c>
      <c r="U896" s="11" t="inlineStr">
        <is>
          <t>DEL BANCO (se hereda)</t>
        </is>
      </c>
      <c r="V896" s="11" t="inlineStr">
        <is>
          <t>9113 · COMERCIO GENERAL</t>
        </is>
      </c>
      <c r="W896" s="12" t="n"/>
      <c r="X896" s="12" t="n"/>
    </row>
    <row r="897" ht="15" customHeight="1">
      <c r="C897" t="inlineStr">
        <is>
          <t>Actividad económica / giro mercantil</t>
        </is>
      </c>
      <c r="D897" t="inlineStr">
        <is>
          <t>F12</t>
        </is>
      </c>
      <c r="E897" t="inlineStr">
        <is>
          <t>INHERENTE</t>
        </is>
      </c>
      <c r="F897" t="inlineStr">
        <is>
          <t>COMPRAVENTA DE ALIMENTO PARA GANADO</t>
        </is>
      </c>
      <c r="G897" t="n">
        <v>6133011</v>
      </c>
      <c r="H897" t="n">
        <v>2</v>
      </c>
      <c r="I897" t="n">
        <v>2</v>
      </c>
      <c r="J897" t="n">
        <v>8</v>
      </c>
      <c r="K897" t="n">
        <v>16</v>
      </c>
      <c r="L897" t="n">
        <v>16</v>
      </c>
      <c r="M897" t="n">
        <v>16</v>
      </c>
      <c r="N897" t="n">
        <v>16</v>
      </c>
      <c r="O897" t="n">
        <v>40</v>
      </c>
      <c r="P897" t="n">
        <v>8</v>
      </c>
      <c r="R897" s="9" t="n">
        <v>0.08</v>
      </c>
      <c r="S897" s="10" t="inlineStr">
        <is>
          <t>SÍ — integrante</t>
        </is>
      </c>
      <c r="T897" s="11" t="inlineStr">
        <is>
          <t>B · INTEGRANTE</t>
        </is>
      </c>
      <c r="U897" s="11" t="inlineStr">
        <is>
          <t>DEL BANCO (se hereda)</t>
        </is>
      </c>
      <c r="V897" s="11" t="inlineStr">
        <is>
          <t>9113 · COMERCIO GENERAL</t>
        </is>
      </c>
      <c r="W897" s="12" t="n"/>
      <c r="X897" s="12" t="n"/>
    </row>
    <row r="898" ht="15" customHeight="1">
      <c r="C898" t="inlineStr">
        <is>
          <t>Actividad económica / giro mercantil</t>
        </is>
      </c>
      <c r="D898" t="inlineStr">
        <is>
          <t>F12</t>
        </is>
      </c>
      <c r="E898" t="inlineStr">
        <is>
          <t>INHERENTE</t>
        </is>
      </c>
      <c r="F898" t="inlineStr">
        <is>
          <t>COMPRAVENTA DE ALIMENTOS PARA AVES Y OTROS ANIMALES</t>
        </is>
      </c>
      <c r="G898" t="n">
        <v>6133029</v>
      </c>
      <c r="H898" t="n">
        <v>2</v>
      </c>
      <c r="I898" t="n">
        <v>2</v>
      </c>
      <c r="J898" t="n">
        <v>8</v>
      </c>
      <c r="K898" t="n">
        <v>16</v>
      </c>
      <c r="L898" t="n">
        <v>16</v>
      </c>
      <c r="M898" t="n">
        <v>16</v>
      </c>
      <c r="N898" t="n">
        <v>16</v>
      </c>
      <c r="O898" t="n">
        <v>40</v>
      </c>
      <c r="P898" t="n">
        <v>8</v>
      </c>
      <c r="R898" s="9" t="n">
        <v>0.08</v>
      </c>
      <c r="S898" s="10" t="inlineStr">
        <is>
          <t>SÍ — integrante</t>
        </is>
      </c>
      <c r="T898" s="11" t="inlineStr">
        <is>
          <t>B · INTEGRANTE</t>
        </is>
      </c>
      <c r="U898" s="11" t="inlineStr">
        <is>
          <t>DEL BANCO (se hereda)</t>
        </is>
      </c>
      <c r="V898" s="11" t="inlineStr">
        <is>
          <t>9113 · COMERCIO GENERAL</t>
        </is>
      </c>
      <c r="W898" s="12" t="n"/>
      <c r="X898" s="12" t="n"/>
    </row>
    <row r="899" ht="15" customHeight="1">
      <c r="C899" t="inlineStr">
        <is>
          <t>Actividad económica / giro mercantil</t>
        </is>
      </c>
      <c r="D899" t="inlineStr">
        <is>
          <t>F12</t>
        </is>
      </c>
      <c r="E899" t="inlineStr">
        <is>
          <t>INHERENTE</t>
        </is>
      </c>
      <c r="F899" t="inlineStr">
        <is>
          <t>COMPRAVENTA DE REFRESCOS AGUAS GASEOSAS Y AGUAS PURIFICADAS</t>
        </is>
      </c>
      <c r="G899" t="n">
        <v>6134019</v>
      </c>
      <c r="H899" t="n">
        <v>2</v>
      </c>
      <c r="I899" t="n">
        <v>2</v>
      </c>
      <c r="J899" t="n">
        <v>8</v>
      </c>
      <c r="K899" t="n">
        <v>16</v>
      </c>
      <c r="L899" t="n">
        <v>16</v>
      </c>
      <c r="M899" t="n">
        <v>16</v>
      </c>
      <c r="N899" t="n">
        <v>16</v>
      </c>
      <c r="O899" t="n">
        <v>40</v>
      </c>
      <c r="P899" t="n">
        <v>8</v>
      </c>
      <c r="R899" s="9" t="n">
        <v>0.08</v>
      </c>
      <c r="S899" s="10" t="inlineStr">
        <is>
          <t>SÍ — integrante</t>
        </is>
      </c>
      <c r="T899" s="11" t="inlineStr">
        <is>
          <t>B · INTEGRANTE</t>
        </is>
      </c>
      <c r="U899" s="11" t="inlineStr">
        <is>
          <t>DEL BANCO (se hereda)</t>
        </is>
      </c>
      <c r="V899" s="11" t="inlineStr">
        <is>
          <t>9152 · INDUSTRIA Y MANUFACTURA</t>
        </is>
      </c>
      <c r="W899" s="12" t="n"/>
      <c r="X899" s="12" t="n"/>
    </row>
    <row r="900" ht="15" customHeight="1">
      <c r="C900" t="inlineStr">
        <is>
          <t>Actividad económica / giro mercantil</t>
        </is>
      </c>
      <c r="D900" t="inlineStr">
        <is>
          <t>F12</t>
        </is>
      </c>
      <c r="E900" t="inlineStr">
        <is>
          <t>INHERENTE</t>
        </is>
      </c>
      <c r="F900" t="inlineStr">
        <is>
          <t>COMPRAVENTA DE CERVEZA</t>
        </is>
      </c>
      <c r="G900" t="n">
        <v>6135017</v>
      </c>
      <c r="H900" t="n">
        <v>2</v>
      </c>
      <c r="I900" t="n">
        <v>2</v>
      </c>
      <c r="J900" t="n">
        <v>8</v>
      </c>
      <c r="K900" t="n">
        <v>16</v>
      </c>
      <c r="L900" t="n">
        <v>16</v>
      </c>
      <c r="M900" t="n">
        <v>16</v>
      </c>
      <c r="N900" t="n">
        <v>16</v>
      </c>
      <c r="O900" t="n">
        <v>40</v>
      </c>
      <c r="P900" t="n">
        <v>8</v>
      </c>
      <c r="R900" s="9" t="n">
        <v>0.08</v>
      </c>
      <c r="S900" s="10" t="inlineStr">
        <is>
          <t>SÍ — integrante</t>
        </is>
      </c>
      <c r="T900" s="11" t="inlineStr">
        <is>
          <t>B · INTEGRANTE</t>
        </is>
      </c>
      <c r="U900" s="11" t="inlineStr">
        <is>
          <t>DEL BANCO (se hereda)</t>
        </is>
      </c>
      <c r="V900" s="11" t="inlineStr">
        <is>
          <t>9152 · INDUSTRIA Y MANUFACTURA</t>
        </is>
      </c>
      <c r="W900" s="12" t="n"/>
      <c r="X900" s="12" t="n"/>
    </row>
    <row r="901" ht="15" customHeight="1">
      <c r="C901" t="inlineStr">
        <is>
          <t>Actividad económica / giro mercantil</t>
        </is>
      </c>
      <c r="D901" t="inlineStr">
        <is>
          <t>F12</t>
        </is>
      </c>
      <c r="E901" t="inlineStr">
        <is>
          <t>INHERENTE</t>
        </is>
      </c>
      <c r="F901" t="inlineStr">
        <is>
          <t>COMPRAVENTA DE PULQUE</t>
        </is>
      </c>
      <c r="G901" t="n">
        <v>6136015</v>
      </c>
      <c r="H901" t="n">
        <v>2</v>
      </c>
      <c r="I901" t="n">
        <v>2</v>
      </c>
      <c r="J901" t="n">
        <v>8</v>
      </c>
      <c r="K901" t="n">
        <v>16</v>
      </c>
      <c r="L901" t="n">
        <v>16</v>
      </c>
      <c r="M901" t="n">
        <v>16</v>
      </c>
      <c r="N901" t="n">
        <v>16</v>
      </c>
      <c r="O901" t="n">
        <v>40</v>
      </c>
      <c r="P901" t="n">
        <v>8</v>
      </c>
      <c r="R901" s="9" t="n">
        <v>0.08</v>
      </c>
      <c r="S901" s="10" t="inlineStr">
        <is>
          <t>SÍ — integrante</t>
        </is>
      </c>
      <c r="T901" s="11" t="inlineStr">
        <is>
          <t>B · INTEGRANTE</t>
        </is>
      </c>
      <c r="U901" s="11" t="inlineStr">
        <is>
          <t>DEL BANCO (se hereda)</t>
        </is>
      </c>
      <c r="V901" s="11" t="inlineStr">
        <is>
          <t>9113 · COMERCIO GENERAL</t>
        </is>
      </c>
      <c r="W901" s="12" t="n"/>
      <c r="X901" s="12" t="n"/>
    </row>
    <row r="902" ht="15" customHeight="1">
      <c r="C902" t="inlineStr">
        <is>
          <t>Actividad económica / giro mercantil</t>
        </is>
      </c>
      <c r="D902" t="inlineStr">
        <is>
          <t>F12</t>
        </is>
      </c>
      <c r="E902" t="inlineStr">
        <is>
          <t>INHERENTE</t>
        </is>
      </c>
      <c r="F902" t="inlineStr">
        <is>
          <t>COMPRAVENTA DE VINOS Y LICORES</t>
        </is>
      </c>
      <c r="G902" t="n">
        <v>6136023</v>
      </c>
      <c r="H902" t="n">
        <v>2</v>
      </c>
      <c r="I902" t="n">
        <v>2</v>
      </c>
      <c r="J902" t="n">
        <v>8</v>
      </c>
      <c r="K902" t="n">
        <v>16</v>
      </c>
      <c r="L902" t="n">
        <v>16</v>
      </c>
      <c r="M902" t="n">
        <v>16</v>
      </c>
      <c r="N902" t="n">
        <v>16</v>
      </c>
      <c r="O902" t="n">
        <v>40</v>
      </c>
      <c r="P902" t="n">
        <v>8</v>
      </c>
      <c r="R902" s="9" t="n">
        <v>0.08</v>
      </c>
      <c r="S902" s="10" t="inlineStr">
        <is>
          <t>SÍ — integrante</t>
        </is>
      </c>
      <c r="T902" s="11" t="inlineStr">
        <is>
          <t>B · INTEGRANTE</t>
        </is>
      </c>
      <c r="U902" s="11" t="inlineStr">
        <is>
          <t>DEL BANCO (se hereda)</t>
        </is>
      </c>
      <c r="V902" s="11" t="inlineStr">
        <is>
          <t>9113 · COMERCIO GENERAL</t>
        </is>
      </c>
      <c r="W902" s="12" t="n"/>
      <c r="X902" s="12" t="n"/>
    </row>
    <row r="903" ht="15" customHeight="1">
      <c r="C903" t="inlineStr">
        <is>
          <t>Actividad económica / giro mercantil</t>
        </is>
      </c>
      <c r="D903" t="inlineStr">
        <is>
          <t>F12</t>
        </is>
      </c>
      <c r="E903" t="inlineStr">
        <is>
          <t>INHERENTE</t>
        </is>
      </c>
      <c r="F903" t="inlineStr">
        <is>
          <t>COMPRAVENTA DE TABACO</t>
        </is>
      </c>
      <c r="G903" t="n">
        <v>6139019</v>
      </c>
      <c r="H903" t="n">
        <v>2</v>
      </c>
      <c r="I903" t="n">
        <v>2</v>
      </c>
      <c r="J903" t="n">
        <v>8</v>
      </c>
      <c r="K903" t="n">
        <v>16</v>
      </c>
      <c r="L903" t="n">
        <v>16</v>
      </c>
      <c r="M903" t="n">
        <v>16</v>
      </c>
      <c r="N903" t="n">
        <v>16</v>
      </c>
      <c r="O903" t="n">
        <v>40</v>
      </c>
      <c r="P903" t="n">
        <v>8</v>
      </c>
      <c r="R903" s="9" t="n">
        <v>0.08</v>
      </c>
      <c r="S903" s="10" t="inlineStr">
        <is>
          <t>SÍ — integrante</t>
        </is>
      </c>
      <c r="T903" s="11" t="inlineStr">
        <is>
          <t>B · INTEGRANTE</t>
        </is>
      </c>
      <c r="U903" s="11" t="inlineStr">
        <is>
          <t>DEL BANCO (se hereda)</t>
        </is>
      </c>
      <c r="V903" s="11" t="inlineStr">
        <is>
          <t>9152 · INDUSTRIA Y MANUFACTURA</t>
        </is>
      </c>
      <c r="W903" s="12" t="n"/>
      <c r="X903" s="12" t="n"/>
    </row>
    <row r="904" ht="15" customHeight="1">
      <c r="C904" t="inlineStr">
        <is>
          <t>Actividad económica / giro mercantil</t>
        </is>
      </c>
      <c r="D904" t="inlineStr">
        <is>
          <t>F12</t>
        </is>
      </c>
      <c r="E904" t="inlineStr">
        <is>
          <t>INHERENTE</t>
        </is>
      </c>
      <c r="F904" t="inlineStr">
        <is>
          <t>COMPRAVENTA DE TABACOS PUROS Y CIGARROS</t>
        </is>
      </c>
      <c r="G904" t="n">
        <v>6139027</v>
      </c>
      <c r="H904" t="n">
        <v>2</v>
      </c>
      <c r="I904" t="n">
        <v>2</v>
      </c>
      <c r="J904" t="n">
        <v>8</v>
      </c>
      <c r="K904" t="n">
        <v>16</v>
      </c>
      <c r="L904" t="n">
        <v>16</v>
      </c>
      <c r="M904" t="n">
        <v>16</v>
      </c>
      <c r="N904" t="n">
        <v>16</v>
      </c>
      <c r="O904" t="n">
        <v>40</v>
      </c>
      <c r="P904" t="n">
        <v>8</v>
      </c>
      <c r="R904" s="9" t="n">
        <v>0.08</v>
      </c>
      <c r="S904" s="10" t="inlineStr">
        <is>
          <t>SÍ — integrante</t>
        </is>
      </c>
      <c r="T904" s="11" t="inlineStr">
        <is>
          <t>B · INTEGRANTE</t>
        </is>
      </c>
      <c r="U904" s="11" t="inlineStr">
        <is>
          <t>DEL BANCO (se hereda)</t>
        </is>
      </c>
      <c r="V904" s="11" t="inlineStr">
        <is>
          <t>9152 · INDUSTRIA Y MANUFACTURA</t>
        </is>
      </c>
      <c r="W904" s="12" t="n"/>
      <c r="X904" s="12" t="n"/>
    </row>
    <row r="905" ht="15" customHeight="1">
      <c r="C905" t="inlineStr">
        <is>
          <t>Actividad económica / giro mercantil</t>
        </is>
      </c>
      <c r="D905" t="inlineStr">
        <is>
          <t>F12</t>
        </is>
      </c>
      <c r="E905" t="inlineStr">
        <is>
          <t>INHERENTE</t>
        </is>
      </c>
      <c r="F905" t="inlineStr">
        <is>
          <t>COMPRAVENTA DE PRENDAS DE VESTIR Y OTROS ARTÍCULOS DE USO PERSONAL</t>
        </is>
      </c>
      <c r="G905" t="n">
        <v>6200000</v>
      </c>
      <c r="H905" t="n">
        <v>2</v>
      </c>
      <c r="I905" t="n">
        <v>2</v>
      </c>
      <c r="J905" t="n">
        <v>8</v>
      </c>
      <c r="K905" t="n">
        <v>16</v>
      </c>
      <c r="L905" t="n">
        <v>16</v>
      </c>
      <c r="M905" t="n">
        <v>16</v>
      </c>
      <c r="N905" t="n">
        <v>16</v>
      </c>
      <c r="O905" t="n">
        <v>40</v>
      </c>
      <c r="P905" t="n">
        <v>8</v>
      </c>
      <c r="R905" s="9" t="n">
        <v>0.08</v>
      </c>
      <c r="S905" s="10" t="inlineStr">
        <is>
          <t>SÍ — integrante</t>
        </is>
      </c>
      <c r="T905" s="11" t="inlineStr">
        <is>
          <t>B · INTEGRANTE</t>
        </is>
      </c>
      <c r="U905" s="11" t="inlineStr">
        <is>
          <t>DEL BANCO (se hereda)</t>
        </is>
      </c>
      <c r="V905" s="11" t="inlineStr">
        <is>
          <t>9113 · COMERCIO GENERAL</t>
        </is>
      </c>
      <c r="W905" s="12" t="n"/>
      <c r="X905" s="12" t="n"/>
    </row>
    <row r="906" ht="15" customHeight="1">
      <c r="C906" t="inlineStr">
        <is>
          <t>Actividad económica / giro mercantil</t>
        </is>
      </c>
      <c r="D906" t="inlineStr">
        <is>
          <t>F12</t>
        </is>
      </c>
      <c r="E906" t="inlineStr">
        <is>
          <t>INHERENTE</t>
        </is>
      </c>
      <c r="F906" t="inlineStr">
        <is>
          <t>COMPRAVENTA DE ARTICULOS DE LENCERIA</t>
        </is>
      </c>
      <c r="G906" t="n">
        <v>6211015</v>
      </c>
      <c r="H906" t="n">
        <v>2</v>
      </c>
      <c r="I906" t="n">
        <v>2</v>
      </c>
      <c r="J906" t="n">
        <v>8</v>
      </c>
      <c r="K906" t="n">
        <v>16</v>
      </c>
      <c r="L906" t="n">
        <v>16</v>
      </c>
      <c r="M906" t="n">
        <v>16</v>
      </c>
      <c r="N906" t="n">
        <v>16</v>
      </c>
      <c r="O906" t="n">
        <v>40</v>
      </c>
      <c r="P906" t="n">
        <v>8</v>
      </c>
      <c r="R906" s="9" t="n">
        <v>0.08</v>
      </c>
      <c r="S906" s="10" t="inlineStr">
        <is>
          <t>SÍ — integrante</t>
        </is>
      </c>
      <c r="T906" s="11" t="inlineStr">
        <is>
          <t>B · INTEGRANTE</t>
        </is>
      </c>
      <c r="U906" s="11" t="inlineStr">
        <is>
          <t>DEL BANCO (se hereda)</t>
        </is>
      </c>
      <c r="V906" s="11" t="inlineStr">
        <is>
          <t>9113 · COMERCIO GENERAL</t>
        </is>
      </c>
      <c r="W906" s="12" t="n"/>
      <c r="X906" s="12" t="n"/>
    </row>
    <row r="907" ht="15" customHeight="1">
      <c r="C907" t="inlineStr">
        <is>
          <t>Actividad económica / giro mercantil</t>
        </is>
      </c>
      <c r="D907" t="inlineStr">
        <is>
          <t>F12</t>
        </is>
      </c>
      <c r="E907" t="inlineStr">
        <is>
          <t>INHERENTE</t>
        </is>
      </c>
      <c r="F907" t="inlineStr">
        <is>
          <t>COMPRAVENTA DE ROPA</t>
        </is>
      </c>
      <c r="G907" t="n">
        <v>6211023</v>
      </c>
      <c r="H907" t="n">
        <v>2</v>
      </c>
      <c r="I907" t="n">
        <v>2</v>
      </c>
      <c r="J907" t="n">
        <v>8</v>
      </c>
      <c r="K907" t="n">
        <v>16</v>
      </c>
      <c r="L907" t="n">
        <v>16</v>
      </c>
      <c r="M907" t="n">
        <v>16</v>
      </c>
      <c r="N907" t="n">
        <v>16</v>
      </c>
      <c r="O907" t="n">
        <v>40</v>
      </c>
      <c r="P907" t="n">
        <v>8</v>
      </c>
      <c r="R907" s="9" t="n">
        <v>0.08</v>
      </c>
      <c r="S907" s="10" t="inlineStr">
        <is>
          <t>SÍ — integrante</t>
        </is>
      </c>
      <c r="T907" s="11" t="inlineStr">
        <is>
          <t>B · INTEGRANTE</t>
        </is>
      </c>
      <c r="U907" s="11" t="inlineStr">
        <is>
          <t>DEL BANCO (se hereda)</t>
        </is>
      </c>
      <c r="V907" s="11" t="inlineStr">
        <is>
          <t>9113 · COMERCIO GENERAL</t>
        </is>
      </c>
      <c r="W907" s="12" t="n"/>
      <c r="X907" s="12" t="n"/>
    </row>
    <row r="908" ht="15" customHeight="1">
      <c r="C908" t="inlineStr">
        <is>
          <t>Actividad económica / giro mercantil</t>
        </is>
      </c>
      <c r="D908" t="inlineStr">
        <is>
          <t>F12</t>
        </is>
      </c>
      <c r="E908" t="inlineStr">
        <is>
          <t>INHERENTE</t>
        </is>
      </c>
      <c r="F908" t="inlineStr">
        <is>
          <t>COMPRAVENTA DE CALZADO</t>
        </is>
      </c>
      <c r="G908" t="n">
        <v>6212013</v>
      </c>
      <c r="H908" t="n">
        <v>2</v>
      </c>
      <c r="I908" t="n">
        <v>2</v>
      </c>
      <c r="J908" t="n">
        <v>8</v>
      </c>
      <c r="K908" t="n">
        <v>16</v>
      </c>
      <c r="L908" t="n">
        <v>16</v>
      </c>
      <c r="M908" t="n">
        <v>16</v>
      </c>
      <c r="N908" t="n">
        <v>16</v>
      </c>
      <c r="O908" t="n">
        <v>40</v>
      </c>
      <c r="P908" t="n">
        <v>8</v>
      </c>
      <c r="R908" s="9" t="n">
        <v>0.08</v>
      </c>
      <c r="S908" s="10" t="inlineStr">
        <is>
          <t>SÍ — integrante</t>
        </is>
      </c>
      <c r="T908" s="11" t="inlineStr">
        <is>
          <t>B · INTEGRANTE</t>
        </is>
      </c>
      <c r="U908" s="11" t="inlineStr">
        <is>
          <t>DEL BANCO (se hereda)</t>
        </is>
      </c>
      <c r="V908" s="11" t="inlineStr">
        <is>
          <t>9113 · COMERCIO GENERAL</t>
        </is>
      </c>
      <c r="W908" s="12" t="n"/>
      <c r="X908" s="12" t="n"/>
    </row>
    <row r="909" ht="15" customHeight="1">
      <c r="C909" t="inlineStr">
        <is>
          <t>Actividad económica / giro mercantil</t>
        </is>
      </c>
      <c r="D909" t="inlineStr">
        <is>
          <t>F12</t>
        </is>
      </c>
      <c r="E909" t="inlineStr">
        <is>
          <t>INHERENTE</t>
        </is>
      </c>
      <c r="F909" t="inlineStr">
        <is>
          <t>COMPRAVENTA DE SOMBREROS</t>
        </is>
      </c>
      <c r="G909" t="n">
        <v>6213011</v>
      </c>
      <c r="H909" t="n">
        <v>2</v>
      </c>
      <c r="I909" t="n">
        <v>2</v>
      </c>
      <c r="J909" t="n">
        <v>8</v>
      </c>
      <c r="K909" t="n">
        <v>16</v>
      </c>
      <c r="L909" t="n">
        <v>16</v>
      </c>
      <c r="M909" t="n">
        <v>16</v>
      </c>
      <c r="N909" t="n">
        <v>16</v>
      </c>
      <c r="O909" t="n">
        <v>40</v>
      </c>
      <c r="P909" t="n">
        <v>8</v>
      </c>
      <c r="R909" s="9" t="n">
        <v>0.08</v>
      </c>
      <c r="S909" s="10" t="inlineStr">
        <is>
          <t>SÍ — integrante</t>
        </is>
      </c>
      <c r="T909" s="11" t="inlineStr">
        <is>
          <t>B · INTEGRANTE</t>
        </is>
      </c>
      <c r="U909" s="11" t="inlineStr">
        <is>
          <t>DEL BANCO (se hereda)</t>
        </is>
      </c>
      <c r="V909" s="11" t="inlineStr">
        <is>
          <t>9113 · COMERCIO GENERAL</t>
        </is>
      </c>
      <c r="W909" s="12" t="n"/>
      <c r="X909" s="12" t="n"/>
    </row>
    <row r="910" ht="15" customHeight="1">
      <c r="C910" t="inlineStr">
        <is>
          <t>Actividad económica / giro mercantil</t>
        </is>
      </c>
      <c r="D910" t="inlineStr">
        <is>
          <t>F12</t>
        </is>
      </c>
      <c r="E910" t="inlineStr">
        <is>
          <t>INHERENTE</t>
        </is>
      </c>
      <c r="F910" t="inlineStr">
        <is>
          <t>COMPRAVENTA DE PIELES FINAS CON PELO</t>
        </is>
      </c>
      <c r="G910" t="n">
        <v>6214019</v>
      </c>
      <c r="H910" t="n">
        <v>2</v>
      </c>
      <c r="I910" t="n">
        <v>2</v>
      </c>
      <c r="J910" t="n">
        <v>8</v>
      </c>
      <c r="K910" t="n">
        <v>16</v>
      </c>
      <c r="L910" t="n">
        <v>16</v>
      </c>
      <c r="M910" t="n">
        <v>16</v>
      </c>
      <c r="N910" t="n">
        <v>16</v>
      </c>
      <c r="O910" t="n">
        <v>40</v>
      </c>
      <c r="P910" t="n">
        <v>8</v>
      </c>
      <c r="R910" s="9" t="n">
        <v>0.08</v>
      </c>
      <c r="S910" s="10" t="inlineStr">
        <is>
          <t>SÍ — integrante</t>
        </is>
      </c>
      <c r="T910" s="11" t="inlineStr">
        <is>
          <t>B · INTEGRANTE</t>
        </is>
      </c>
      <c r="U910" s="11" t="inlineStr">
        <is>
          <t>DEL BANCO (se hereda)</t>
        </is>
      </c>
      <c r="V910" s="11" t="inlineStr">
        <is>
          <t>9113 · COMERCIO GENERAL</t>
        </is>
      </c>
      <c r="W910" s="12" t="n"/>
      <c r="X910" s="12" t="n"/>
    </row>
    <row r="911" ht="15" customHeight="1">
      <c r="C911" t="inlineStr">
        <is>
          <t>Actividad económica / giro mercantil</t>
        </is>
      </c>
      <c r="D911" t="inlineStr">
        <is>
          <t>F12</t>
        </is>
      </c>
      <c r="E911" t="inlineStr">
        <is>
          <t>INHERENTE</t>
        </is>
      </c>
      <c r="F911" t="inlineStr">
        <is>
          <t>COMPRAVENTA DE ARTICULOS DE MERCERIA Y CEDERIA</t>
        </is>
      </c>
      <c r="G911" t="n">
        <v>6215017</v>
      </c>
      <c r="H911" t="n">
        <v>2</v>
      </c>
      <c r="I911" t="n">
        <v>2</v>
      </c>
      <c r="J911" t="n">
        <v>8</v>
      </c>
      <c r="K911" t="n">
        <v>16</v>
      </c>
      <c r="L911" t="n">
        <v>16</v>
      </c>
      <c r="M911" t="n">
        <v>16</v>
      </c>
      <c r="N911" t="n">
        <v>16</v>
      </c>
      <c r="O911" t="n">
        <v>40</v>
      </c>
      <c r="P911" t="n">
        <v>8</v>
      </c>
      <c r="R911" s="9" t="n">
        <v>0.08</v>
      </c>
      <c r="S911" s="10" t="inlineStr">
        <is>
          <t>SÍ — integrante</t>
        </is>
      </c>
      <c r="T911" s="11" t="inlineStr">
        <is>
          <t>B · INTEGRANTE</t>
        </is>
      </c>
      <c r="U911" s="11" t="inlineStr">
        <is>
          <t>DEL BANCO (se hereda)</t>
        </is>
      </c>
      <c r="V911" s="11" t="inlineStr">
        <is>
          <t>9113 · COMERCIO GENERAL</t>
        </is>
      </c>
      <c r="W911" s="12" t="n"/>
      <c r="X911" s="12" t="n"/>
    </row>
    <row r="912" ht="15" customHeight="1">
      <c r="C912" t="inlineStr">
        <is>
          <t>Actividad económica / giro mercantil</t>
        </is>
      </c>
      <c r="D912" t="inlineStr">
        <is>
          <t>F12</t>
        </is>
      </c>
      <c r="E912" t="inlineStr">
        <is>
          <t>INHERENTE</t>
        </is>
      </c>
      <c r="F912" t="inlineStr">
        <is>
          <t>COMPRAVENTA DE ARTICULOS DE BONETERIA</t>
        </is>
      </c>
      <c r="G912" t="n">
        <v>6215025</v>
      </c>
      <c r="H912" t="n">
        <v>2</v>
      </c>
      <c r="I912" t="n">
        <v>2</v>
      </c>
      <c r="J912" t="n">
        <v>8</v>
      </c>
      <c r="K912" t="n">
        <v>16</v>
      </c>
      <c r="L912" t="n">
        <v>16</v>
      </c>
      <c r="M912" t="n">
        <v>16</v>
      </c>
      <c r="N912" t="n">
        <v>16</v>
      </c>
      <c r="O912" t="n">
        <v>40</v>
      </c>
      <c r="P912" t="n">
        <v>8</v>
      </c>
      <c r="R912" s="9" t="n">
        <v>0.08</v>
      </c>
      <c r="S912" s="10" t="inlineStr">
        <is>
          <t>SÍ — integrante</t>
        </is>
      </c>
      <c r="T912" s="11" t="inlineStr">
        <is>
          <t>B · INTEGRANTE</t>
        </is>
      </c>
      <c r="U912" s="11" t="inlineStr">
        <is>
          <t>DEL BANCO (se hereda)</t>
        </is>
      </c>
      <c r="V912" s="11" t="inlineStr">
        <is>
          <t>9113 · COMERCIO GENERAL</t>
        </is>
      </c>
      <c r="W912" s="12" t="n"/>
      <c r="X912" s="12" t="n"/>
    </row>
    <row r="913" ht="15" customHeight="1">
      <c r="C913" t="inlineStr">
        <is>
          <t>Actividad económica / giro mercantil</t>
        </is>
      </c>
      <c r="D913" t="inlineStr">
        <is>
          <t>F12</t>
        </is>
      </c>
      <c r="E913" t="inlineStr">
        <is>
          <t>INHERENTE</t>
        </is>
      </c>
      <c r="F913" t="inlineStr">
        <is>
          <t>COMPRAVENTA DE CASIMIRES</t>
        </is>
      </c>
      <c r="G913" t="n">
        <v>6216015</v>
      </c>
      <c r="H913" t="n">
        <v>2</v>
      </c>
      <c r="I913" t="n">
        <v>2</v>
      </c>
      <c r="J913" t="n">
        <v>8</v>
      </c>
      <c r="K913" t="n">
        <v>16</v>
      </c>
      <c r="L913" t="n">
        <v>16</v>
      </c>
      <c r="M913" t="n">
        <v>16</v>
      </c>
      <c r="N913" t="n">
        <v>16</v>
      </c>
      <c r="O913" t="n">
        <v>40</v>
      </c>
      <c r="P913" t="n">
        <v>8</v>
      </c>
      <c r="R913" s="9" t="n">
        <v>0.08</v>
      </c>
      <c r="S913" s="10" t="inlineStr">
        <is>
          <t>SÍ — integrante</t>
        </is>
      </c>
      <c r="T913" s="11" t="inlineStr">
        <is>
          <t>B · INTEGRANTE</t>
        </is>
      </c>
      <c r="U913" s="11" t="inlineStr">
        <is>
          <t>DEL BANCO (se hereda)</t>
        </is>
      </c>
      <c r="V913" s="11" t="inlineStr">
        <is>
          <t>9113 · COMERCIO GENERAL</t>
        </is>
      </c>
      <c r="W913" s="12" t="n"/>
      <c r="X913" s="12" t="n"/>
    </row>
    <row r="914" ht="15" customHeight="1">
      <c r="C914" t="inlineStr">
        <is>
          <t>Actividad económica / giro mercantil</t>
        </is>
      </c>
      <c r="D914" t="inlineStr">
        <is>
          <t>F12</t>
        </is>
      </c>
      <c r="E914" t="inlineStr">
        <is>
          <t>INHERENTE</t>
        </is>
      </c>
      <c r="F914" t="inlineStr">
        <is>
          <t>COMPRAVENTA DE OTROS PRODUCTOS TEXTILES</t>
        </is>
      </c>
      <c r="G914" t="n">
        <v>6216023</v>
      </c>
      <c r="H914" t="n">
        <v>2</v>
      </c>
      <c r="I914" t="n">
        <v>2</v>
      </c>
      <c r="J914" t="n">
        <v>8</v>
      </c>
      <c r="K914" t="n">
        <v>16</v>
      </c>
      <c r="L914" t="n">
        <v>16</v>
      </c>
      <c r="M914" t="n">
        <v>16</v>
      </c>
      <c r="N914" t="n">
        <v>16</v>
      </c>
      <c r="O914" t="n">
        <v>40</v>
      </c>
      <c r="P914" t="n">
        <v>8</v>
      </c>
      <c r="R914" s="9" t="n">
        <v>0.08</v>
      </c>
      <c r="S914" s="10" t="inlineStr">
        <is>
          <t>SÍ — integrante</t>
        </is>
      </c>
      <c r="T914" s="11" t="inlineStr">
        <is>
          <t>B · INTEGRANTE</t>
        </is>
      </c>
      <c r="U914" s="11" t="inlineStr">
        <is>
          <t>DEL BANCO (se hereda)</t>
        </is>
      </c>
      <c r="V914" s="11" t="inlineStr">
        <is>
          <t>9152 · INDUSTRIA Y MANUFACTURA</t>
        </is>
      </c>
      <c r="W914" s="12" t="n"/>
      <c r="X914" s="12" t="n"/>
    </row>
    <row r="915" ht="15" customHeight="1">
      <c r="C915" t="inlineStr">
        <is>
          <t>Actividad económica / giro mercantil</t>
        </is>
      </c>
      <c r="D915" t="inlineStr">
        <is>
          <t>F12</t>
        </is>
      </c>
      <c r="E915" t="inlineStr">
        <is>
          <t>INHERENTE</t>
        </is>
      </c>
      <c r="F915" t="inlineStr">
        <is>
          <t>COMPRAVENTA DE TELAS</t>
        </is>
      </c>
      <c r="G915" t="n">
        <v>6216031</v>
      </c>
      <c r="H915" t="n">
        <v>2</v>
      </c>
      <c r="I915" t="n">
        <v>2</v>
      </c>
      <c r="J915" t="n">
        <v>8</v>
      </c>
      <c r="K915" t="n">
        <v>16</v>
      </c>
      <c r="L915" t="n">
        <v>16</v>
      </c>
      <c r="M915" t="n">
        <v>16</v>
      </c>
      <c r="N915" t="n">
        <v>16</v>
      </c>
      <c r="O915" t="n">
        <v>40</v>
      </c>
      <c r="P915" t="n">
        <v>8</v>
      </c>
      <c r="R915" s="9" t="n">
        <v>0.08</v>
      </c>
      <c r="S915" s="10" t="inlineStr">
        <is>
          <t>SÍ — integrante</t>
        </is>
      </c>
      <c r="T915" s="11" t="inlineStr">
        <is>
          <t>B · INTEGRANTE</t>
        </is>
      </c>
      <c r="U915" s="11" t="inlineStr">
        <is>
          <t>DEL BANCO (se hereda)</t>
        </is>
      </c>
      <c r="V915" s="11" t="inlineStr">
        <is>
          <t>9113 · COMERCIO GENERAL</t>
        </is>
      </c>
      <c r="W915" s="12" t="n"/>
      <c r="X915" s="12" t="n"/>
    </row>
    <row r="916" ht="15" customHeight="1">
      <c r="C916" t="inlineStr">
        <is>
          <t>Actividad económica / giro mercantil</t>
        </is>
      </c>
      <c r="D916" t="inlineStr">
        <is>
          <t>F12</t>
        </is>
      </c>
      <c r="E916" t="inlineStr">
        <is>
          <t>INHERENTE</t>
        </is>
      </c>
      <c r="F916" t="inlineStr">
        <is>
          <t>COMPRAVENTA DE ARTICULOS PARA DEPORTE</t>
        </is>
      </c>
      <c r="G916" t="n">
        <v>6221014</v>
      </c>
      <c r="H916" t="n">
        <v>3</v>
      </c>
      <c r="I916" t="n">
        <v>3</v>
      </c>
      <c r="J916" t="n">
        <v>8</v>
      </c>
      <c r="K916" t="n">
        <v>24</v>
      </c>
      <c r="L916" t="n">
        <v>24</v>
      </c>
      <c r="M916" t="n">
        <v>24</v>
      </c>
      <c r="N916" t="n">
        <v>24</v>
      </c>
      <c r="O916" t="n">
        <v>40</v>
      </c>
      <c r="P916" t="n">
        <v>8</v>
      </c>
      <c r="R916" s="9" t="n">
        <v>0.08</v>
      </c>
      <c r="S916" s="10" t="inlineStr">
        <is>
          <t>SÍ — integrante</t>
        </is>
      </c>
      <c r="T916" s="11" t="inlineStr">
        <is>
          <t>B · INTEGRANTE</t>
        </is>
      </c>
      <c r="U916" s="11" t="inlineStr">
        <is>
          <t>DEL BANCO (se hereda)</t>
        </is>
      </c>
      <c r="V916" s="11" t="inlineStr">
        <is>
          <t>9113 · COMERCIO GENERAL</t>
        </is>
      </c>
      <c r="W916" s="12" t="n"/>
      <c r="X916" s="12" t="n"/>
    </row>
    <row r="917" ht="15" customHeight="1">
      <c r="C917" t="inlineStr">
        <is>
          <t>Actividad económica / giro mercantil</t>
        </is>
      </c>
      <c r="D917" t="inlineStr">
        <is>
          <t>F12</t>
        </is>
      </c>
      <c r="E917" t="inlineStr">
        <is>
          <t>INHERENTE</t>
        </is>
      </c>
      <c r="F917" t="inlineStr">
        <is>
          <t>COMPRAVENTA DE ARTICULOS DE OPTICA</t>
        </is>
      </c>
      <c r="G917" t="n">
        <v>6222012</v>
      </c>
      <c r="H917" t="n">
        <v>2</v>
      </c>
      <c r="I917" t="n">
        <v>2</v>
      </c>
      <c r="J917" t="n">
        <v>8</v>
      </c>
      <c r="K917" t="n">
        <v>16</v>
      </c>
      <c r="L917" t="n">
        <v>16</v>
      </c>
      <c r="M917" t="n">
        <v>16</v>
      </c>
      <c r="N917" t="n">
        <v>16</v>
      </c>
      <c r="O917" t="n">
        <v>40</v>
      </c>
      <c r="P917" t="n">
        <v>8</v>
      </c>
      <c r="R917" s="9" t="n">
        <v>0.08</v>
      </c>
      <c r="S917" s="10" t="inlineStr">
        <is>
          <t>SÍ — integrante</t>
        </is>
      </c>
      <c r="T917" s="11" t="inlineStr">
        <is>
          <t>B · INTEGRANTE</t>
        </is>
      </c>
      <c r="U917" s="11" t="inlineStr">
        <is>
          <t>DEL BANCO (se hereda)</t>
        </is>
      </c>
      <c r="V917" s="11" t="inlineStr">
        <is>
          <t>9113 · COMERCIO GENERAL</t>
        </is>
      </c>
      <c r="W917" s="12" t="n"/>
      <c r="X917" s="12" t="n"/>
    </row>
    <row r="918" ht="15" customHeight="1">
      <c r="C918" t="inlineStr">
        <is>
          <t>Actividad económica / giro mercantil</t>
        </is>
      </c>
      <c r="D918" t="inlineStr">
        <is>
          <t>F12</t>
        </is>
      </c>
      <c r="E918" t="inlineStr">
        <is>
          <t>INHERENTE</t>
        </is>
      </c>
      <c r="F918" t="inlineStr">
        <is>
          <t>COMPRAVENTA DE JUGUETES</t>
        </is>
      </c>
      <c r="G918" t="n">
        <v>6223010</v>
      </c>
      <c r="H918" t="n">
        <v>2</v>
      </c>
      <c r="I918" t="n">
        <v>2</v>
      </c>
      <c r="J918" t="n">
        <v>8</v>
      </c>
      <c r="K918" t="n">
        <v>16</v>
      </c>
      <c r="L918" t="n">
        <v>16</v>
      </c>
      <c r="M918" t="n">
        <v>16</v>
      </c>
      <c r="N918" t="n">
        <v>16</v>
      </c>
      <c r="O918" t="n">
        <v>40</v>
      </c>
      <c r="P918" t="n">
        <v>8</v>
      </c>
      <c r="R918" s="9" t="n">
        <v>0.08</v>
      </c>
      <c r="S918" s="10" t="inlineStr">
        <is>
          <t>SÍ — integrante</t>
        </is>
      </c>
      <c r="T918" s="11" t="inlineStr">
        <is>
          <t>B · INTEGRANTE</t>
        </is>
      </c>
      <c r="U918" s="11" t="inlineStr">
        <is>
          <t>DEL BANCO (se hereda)</t>
        </is>
      </c>
      <c r="V918" s="11" t="inlineStr">
        <is>
          <t>9113 · COMERCIO GENERAL</t>
        </is>
      </c>
      <c r="W918" s="12" t="n"/>
      <c r="X918" s="12" t="n"/>
    </row>
    <row r="919" ht="15" customHeight="1">
      <c r="C919" t="inlineStr">
        <is>
          <t>Actividad económica / giro mercantil</t>
        </is>
      </c>
      <c r="D919" t="inlineStr">
        <is>
          <t>F12</t>
        </is>
      </c>
      <c r="E919" t="inlineStr">
        <is>
          <t>INHERENTE</t>
        </is>
      </c>
      <c r="F919" t="inlineStr">
        <is>
          <t>COMPRAVENTA DE INSTRUMENTOS Y ARTICULOS MUSICALES</t>
        </is>
      </c>
      <c r="G919" t="n">
        <v>6224018</v>
      </c>
      <c r="H919" t="n">
        <v>2</v>
      </c>
      <c r="I919" t="n">
        <v>2</v>
      </c>
      <c r="J919" t="n">
        <v>8</v>
      </c>
      <c r="K919" t="n">
        <v>16</v>
      </c>
      <c r="L919" t="n">
        <v>16</v>
      </c>
      <c r="M919" t="n">
        <v>16</v>
      </c>
      <c r="N919" t="n">
        <v>16</v>
      </c>
      <c r="O919" t="n">
        <v>40</v>
      </c>
      <c r="P919" t="n">
        <v>8</v>
      </c>
      <c r="R919" s="9" t="n">
        <v>0.08</v>
      </c>
      <c r="S919" s="10" t="inlineStr">
        <is>
          <t>SÍ — integrante</t>
        </is>
      </c>
      <c r="T919" s="11" t="inlineStr">
        <is>
          <t>B · INTEGRANTE</t>
        </is>
      </c>
      <c r="U919" s="11" t="inlineStr">
        <is>
          <t>DEL BANCO (se hereda)</t>
        </is>
      </c>
      <c r="V919" s="11" t="inlineStr">
        <is>
          <t>9113 · COMERCIO GENERAL</t>
        </is>
      </c>
      <c r="W919" s="12" t="n"/>
      <c r="X919" s="12" t="n"/>
    </row>
    <row r="920" ht="15" customHeight="1">
      <c r="C920" t="inlineStr">
        <is>
          <t>Actividad económica / giro mercantil</t>
        </is>
      </c>
      <c r="D920" t="inlineStr">
        <is>
          <t>F12</t>
        </is>
      </c>
      <c r="E920" t="inlineStr">
        <is>
          <t>INHERENTE</t>
        </is>
      </c>
      <c r="F920" t="inlineStr">
        <is>
          <t>COMPRAVENTA DE ARTICULOS DE PLATA</t>
        </is>
      </c>
      <c r="G920" t="n">
        <v>6225016</v>
      </c>
      <c r="H920" t="n">
        <v>5</v>
      </c>
      <c r="I920" t="n">
        <v>5</v>
      </c>
      <c r="J920" t="n">
        <v>8</v>
      </c>
      <c r="K920" t="n">
        <v>40</v>
      </c>
      <c r="L920" t="n">
        <v>40</v>
      </c>
      <c r="M920" t="n">
        <v>40</v>
      </c>
      <c r="N920" t="n">
        <v>40</v>
      </c>
      <c r="O920" t="n">
        <v>40</v>
      </c>
      <c r="P920" t="n">
        <v>8</v>
      </c>
      <c r="Q920" t="inlineStr">
        <is>
          <t>DETERMINANTE</t>
        </is>
      </c>
      <c r="R920" s="9" t="n">
        <v>0.08</v>
      </c>
      <c r="S920" s="10" t="inlineStr">
        <is>
          <t>SÍ — integrante</t>
        </is>
      </c>
      <c r="T920" s="11" t="inlineStr">
        <is>
          <t>B · INTEGRANTE</t>
        </is>
      </c>
      <c r="U920" s="11" t="inlineStr">
        <is>
          <t>DEL BANCO (se hereda)</t>
        </is>
      </c>
      <c r="V920" s="11" t="inlineStr">
        <is>
          <t>9113 · COMERCIO GENERAL</t>
        </is>
      </c>
      <c r="W920" s="12" t="n"/>
      <c r="X920" s="12" t="n"/>
    </row>
    <row r="921" ht="15" customHeight="1">
      <c r="C921" t="inlineStr">
        <is>
          <t>Actividad económica / giro mercantil</t>
        </is>
      </c>
      <c r="D921" t="inlineStr">
        <is>
          <t>F12</t>
        </is>
      </c>
      <c r="E921" t="inlineStr">
        <is>
          <t>INHERENTE</t>
        </is>
      </c>
      <c r="F921" t="inlineStr">
        <is>
          <t>COMPRAVENTA DE OTRAS JOYAS</t>
        </is>
      </c>
      <c r="G921" t="n">
        <v>6225024</v>
      </c>
      <c r="H921" t="n">
        <v>5</v>
      </c>
      <c r="I921" t="n">
        <v>5</v>
      </c>
      <c r="J921" t="n">
        <v>8</v>
      </c>
      <c r="K921" t="n">
        <v>40</v>
      </c>
      <c r="L921" t="n">
        <v>40</v>
      </c>
      <c r="M921" t="n">
        <v>40</v>
      </c>
      <c r="N921" t="n">
        <v>40</v>
      </c>
      <c r="O921" t="n">
        <v>40</v>
      </c>
      <c r="P921" t="n">
        <v>8</v>
      </c>
      <c r="Q921" t="inlineStr">
        <is>
          <t>DETERMINANTE</t>
        </is>
      </c>
      <c r="R921" s="9" t="n">
        <v>0.08</v>
      </c>
      <c r="S921" s="10" t="inlineStr">
        <is>
          <t>SÍ — integrante</t>
        </is>
      </c>
      <c r="T921" s="11" t="inlineStr">
        <is>
          <t>B · INTEGRANTE</t>
        </is>
      </c>
      <c r="U921" s="11" t="inlineStr">
        <is>
          <t>DEL BANCO (se hereda)</t>
        </is>
      </c>
      <c r="V921" s="11" t="inlineStr">
        <is>
          <t>9120 · EFECTIVO INTENSIVO</t>
        </is>
      </c>
      <c r="W921" s="12" t="n"/>
      <c r="X921" s="12" t="n"/>
    </row>
    <row r="922" ht="15" customHeight="1">
      <c r="C922" t="inlineStr">
        <is>
          <t>Actividad económica / giro mercantil</t>
        </is>
      </c>
      <c r="D922" t="inlineStr">
        <is>
          <t>F12</t>
        </is>
      </c>
      <c r="E922" t="inlineStr">
        <is>
          <t>INHERENTE</t>
        </is>
      </c>
      <c r="F922" t="inlineStr">
        <is>
          <t>COMPRAVENTA DE RELOJES</t>
        </is>
      </c>
      <c r="G922" t="n">
        <v>6225032</v>
      </c>
      <c r="H922" t="n">
        <v>5</v>
      </c>
      <c r="I922" t="n">
        <v>5</v>
      </c>
      <c r="J922" t="n">
        <v>8</v>
      </c>
      <c r="K922" t="n">
        <v>40</v>
      </c>
      <c r="L922" t="n">
        <v>40</v>
      </c>
      <c r="M922" t="n">
        <v>40</v>
      </c>
      <c r="N922" t="n">
        <v>40</v>
      </c>
      <c r="O922" t="n">
        <v>40</v>
      </c>
      <c r="P922" t="n">
        <v>8</v>
      </c>
      <c r="R922" s="9" t="n">
        <v>0.08</v>
      </c>
      <c r="S922" s="10" t="inlineStr">
        <is>
          <t>SÍ — integrante</t>
        </is>
      </c>
      <c r="T922" s="11" t="inlineStr">
        <is>
          <t>B · INTEGRANTE</t>
        </is>
      </c>
      <c r="U922" s="11" t="inlineStr">
        <is>
          <t>DEL BANCO (se hereda)</t>
        </is>
      </c>
      <c r="V922" s="11" t="inlineStr">
        <is>
          <t>9113 · COMERCIO GENERAL</t>
        </is>
      </c>
      <c r="W922" s="12" t="n"/>
      <c r="X922" s="12" t="n"/>
    </row>
    <row r="923" ht="15" customHeight="1">
      <c r="C923" t="inlineStr">
        <is>
          <t>Actividad económica / giro mercantil</t>
        </is>
      </c>
      <c r="D923" t="inlineStr">
        <is>
          <t>F12</t>
        </is>
      </c>
      <c r="E923" t="inlineStr">
        <is>
          <t>INHERENTE</t>
        </is>
      </c>
      <c r="F923" t="inlineStr">
        <is>
          <t>COMPRAVENTA DE ARTICULOS DE TALABARTERIA</t>
        </is>
      </c>
      <c r="G923" t="n">
        <v>6226014</v>
      </c>
      <c r="H923" t="n">
        <v>2</v>
      </c>
      <c r="I923" t="n">
        <v>2</v>
      </c>
      <c r="J923" t="n">
        <v>8</v>
      </c>
      <c r="K923" t="n">
        <v>16</v>
      </c>
      <c r="L923" t="n">
        <v>16</v>
      </c>
      <c r="M923" t="n">
        <v>16</v>
      </c>
      <c r="N923" t="n">
        <v>16</v>
      </c>
      <c r="O923" t="n">
        <v>40</v>
      </c>
      <c r="P923" t="n">
        <v>8</v>
      </c>
      <c r="R923" s="9" t="n">
        <v>0.08</v>
      </c>
      <c r="S923" s="10" t="inlineStr">
        <is>
          <t>SÍ — integrante</t>
        </is>
      </c>
      <c r="T923" s="11" t="inlineStr">
        <is>
          <t>B · INTEGRANTE</t>
        </is>
      </c>
      <c r="U923" s="11" t="inlineStr">
        <is>
          <t>DEL BANCO (se hereda)</t>
        </is>
      </c>
      <c r="V923" s="11" t="inlineStr">
        <is>
          <t>9113 · COMERCIO GENERAL</t>
        </is>
      </c>
      <c r="W923" s="12" t="n"/>
      <c r="X923" s="12" t="n"/>
    </row>
    <row r="924" ht="15" customHeight="1">
      <c r="C924" t="inlineStr">
        <is>
          <t>Actividad económica / giro mercantil</t>
        </is>
      </c>
      <c r="D924" t="inlineStr">
        <is>
          <t>F12</t>
        </is>
      </c>
      <c r="E924" t="inlineStr">
        <is>
          <t>INHERENTE</t>
        </is>
      </c>
      <c r="F924" t="inlineStr">
        <is>
          <t>COMPRAVENTA DE OTROS ARTICULOS DE PIEL</t>
        </is>
      </c>
      <c r="G924" t="n">
        <v>6226022</v>
      </c>
      <c r="H924" t="n">
        <v>2</v>
      </c>
      <c r="I924" t="n">
        <v>2</v>
      </c>
      <c r="J924" t="n">
        <v>8</v>
      </c>
      <c r="K924" t="n">
        <v>16</v>
      </c>
      <c r="L924" t="n">
        <v>16</v>
      </c>
      <c r="M924" t="n">
        <v>16</v>
      </c>
      <c r="N924" t="n">
        <v>16</v>
      </c>
      <c r="O924" t="n">
        <v>40</v>
      </c>
      <c r="P924" t="n">
        <v>8</v>
      </c>
      <c r="R924" s="9" t="n">
        <v>0.08</v>
      </c>
      <c r="S924" s="10" t="inlineStr">
        <is>
          <t>SÍ — integrante</t>
        </is>
      </c>
      <c r="T924" s="11" t="inlineStr">
        <is>
          <t>B · INTEGRANTE</t>
        </is>
      </c>
      <c r="U924" s="11" t="inlineStr">
        <is>
          <t>DEL BANCO (se hereda)</t>
        </is>
      </c>
      <c r="V924" s="11" t="inlineStr">
        <is>
          <t>9113 · COMERCIO GENERAL</t>
        </is>
      </c>
      <c r="W924" s="12" t="n"/>
      <c r="X924" s="12" t="n"/>
    </row>
    <row r="925" ht="15" customHeight="1">
      <c r="C925" t="inlineStr">
        <is>
          <t>Actividad económica / giro mercantil</t>
        </is>
      </c>
      <c r="D925" t="inlineStr">
        <is>
          <t>F12</t>
        </is>
      </c>
      <c r="E925" t="inlineStr">
        <is>
          <t>INHERENTE</t>
        </is>
      </c>
      <c r="F925" t="inlineStr">
        <is>
          <t>COMPRAVENTA DE SILLAS DE MONTAR</t>
        </is>
      </c>
      <c r="G925" t="n">
        <v>6226030</v>
      </c>
      <c r="H925" t="n">
        <v>2</v>
      </c>
      <c r="I925" t="n">
        <v>2</v>
      </c>
      <c r="J925" t="n">
        <v>8</v>
      </c>
      <c r="K925" t="n">
        <v>16</v>
      </c>
      <c r="L925" t="n">
        <v>16</v>
      </c>
      <c r="M925" t="n">
        <v>16</v>
      </c>
      <c r="N925" t="n">
        <v>16</v>
      </c>
      <c r="O925" t="n">
        <v>40</v>
      </c>
      <c r="P925" t="n">
        <v>8</v>
      </c>
      <c r="R925" s="9" t="n">
        <v>0.08</v>
      </c>
      <c r="S925" s="10" t="inlineStr">
        <is>
          <t>SÍ — integrante</t>
        </is>
      </c>
      <c r="T925" s="11" t="inlineStr">
        <is>
          <t>B · INTEGRANTE</t>
        </is>
      </c>
      <c r="U925" s="11" t="inlineStr">
        <is>
          <t>DEL BANCO (se hereda)</t>
        </is>
      </c>
      <c r="V925" s="11" t="inlineStr">
        <is>
          <t>9113 · COMERCIO GENERAL</t>
        </is>
      </c>
      <c r="W925" s="12" t="n"/>
      <c r="X925" s="12" t="n"/>
    </row>
    <row r="926" ht="15" customHeight="1">
      <c r="C926" t="inlineStr">
        <is>
          <t>Actividad económica / giro mercantil</t>
        </is>
      </c>
      <c r="D926" t="inlineStr">
        <is>
          <t>F12</t>
        </is>
      </c>
      <c r="E926" t="inlineStr">
        <is>
          <t>INHERENTE</t>
        </is>
      </c>
      <c r="F926" t="inlineStr">
        <is>
          <t>COMPRAVENTA DE LIBROS</t>
        </is>
      </c>
      <c r="G926" t="n">
        <v>6227012</v>
      </c>
      <c r="H926" t="n">
        <v>2</v>
      </c>
      <c r="I926" t="n">
        <v>2</v>
      </c>
      <c r="J926" t="n">
        <v>8</v>
      </c>
      <c r="K926" t="n">
        <v>16</v>
      </c>
      <c r="L926" t="n">
        <v>16</v>
      </c>
      <c r="M926" t="n">
        <v>16</v>
      </c>
      <c r="N926" t="n">
        <v>16</v>
      </c>
      <c r="O926" t="n">
        <v>40</v>
      </c>
      <c r="P926" t="n">
        <v>8</v>
      </c>
      <c r="R926" s="9" t="n">
        <v>0.08</v>
      </c>
      <c r="S926" s="10" t="inlineStr">
        <is>
          <t>SÍ — integrante</t>
        </is>
      </c>
      <c r="T926" s="11" t="inlineStr">
        <is>
          <t>B · INTEGRANTE</t>
        </is>
      </c>
      <c r="U926" s="11" t="inlineStr">
        <is>
          <t>DEL BANCO (se hereda)</t>
        </is>
      </c>
      <c r="V926" s="11" t="inlineStr">
        <is>
          <t>9113 · COMERCIO GENERAL</t>
        </is>
      </c>
      <c r="W926" s="12" t="n"/>
      <c r="X926" s="12" t="n"/>
    </row>
    <row r="927" ht="15" customHeight="1">
      <c r="C927" t="inlineStr">
        <is>
          <t>Actividad económica / giro mercantil</t>
        </is>
      </c>
      <c r="D927" t="inlineStr">
        <is>
          <t>F12</t>
        </is>
      </c>
      <c r="E927" t="inlineStr">
        <is>
          <t>INHERENTE</t>
        </is>
      </c>
      <c r="F927" t="inlineStr">
        <is>
          <t>DISTRIBUCION Y COMPRAVENTA DE PERIODICOS Y REVISTAS</t>
        </is>
      </c>
      <c r="G927" t="n">
        <v>6228010</v>
      </c>
      <c r="H927" t="n">
        <v>1</v>
      </c>
      <c r="I927" t="n">
        <v>1</v>
      </c>
      <c r="J927" t="n">
        <v>8</v>
      </c>
      <c r="K927" t="n">
        <v>8</v>
      </c>
      <c r="L927" t="n">
        <v>8</v>
      </c>
      <c r="M927" t="n">
        <v>8</v>
      </c>
      <c r="N927" t="n">
        <v>8</v>
      </c>
      <c r="O927" t="n">
        <v>40</v>
      </c>
      <c r="P927" t="n">
        <v>8</v>
      </c>
      <c r="R927" s="9" t="n">
        <v>0.08</v>
      </c>
      <c r="S927" s="10" t="inlineStr">
        <is>
          <t>SÍ — integrante</t>
        </is>
      </c>
      <c r="T927" s="11" t="inlineStr">
        <is>
          <t>B · INTEGRANTE</t>
        </is>
      </c>
      <c r="U927" s="11" t="inlineStr">
        <is>
          <t>DEL BANCO (se hereda)</t>
        </is>
      </c>
      <c r="V927" s="11" t="inlineStr">
        <is>
          <t>9113 · COMERCIO GENERAL</t>
        </is>
      </c>
      <c r="W927" s="12" t="n"/>
      <c r="X927" s="12" t="n"/>
    </row>
    <row r="928" ht="15" customHeight="1">
      <c r="C928" t="inlineStr">
        <is>
          <t>Actividad económica / giro mercantil</t>
        </is>
      </c>
      <c r="D928" t="inlineStr">
        <is>
          <t>F12</t>
        </is>
      </c>
      <c r="E928" t="inlineStr">
        <is>
          <t>INHERENTE</t>
        </is>
      </c>
      <c r="F928" t="inlineStr">
        <is>
          <t>COMPRAVENTA DE ARTICULOS FOTOGRAFICOS Y CINEMATOGRAFICOS</t>
        </is>
      </c>
      <c r="G928" t="n">
        <v>6229018</v>
      </c>
      <c r="H928" t="n">
        <v>2</v>
      </c>
      <c r="I928" t="n">
        <v>2</v>
      </c>
      <c r="J928" t="n">
        <v>8</v>
      </c>
      <c r="K928" t="n">
        <v>16</v>
      </c>
      <c r="L928" t="n">
        <v>16</v>
      </c>
      <c r="M928" t="n">
        <v>16</v>
      </c>
      <c r="N928" t="n">
        <v>16</v>
      </c>
      <c r="O928" t="n">
        <v>40</v>
      </c>
      <c r="P928" t="n">
        <v>8</v>
      </c>
      <c r="R928" s="9" t="n">
        <v>0.08</v>
      </c>
      <c r="S928" s="10" t="inlineStr">
        <is>
          <t>SÍ — integrante</t>
        </is>
      </c>
      <c r="T928" s="11" t="inlineStr">
        <is>
          <t>B · INTEGRANTE</t>
        </is>
      </c>
      <c r="U928" s="11" t="inlineStr">
        <is>
          <t>DEL BANCO (se hereda)</t>
        </is>
      </c>
      <c r="V928" s="11" t="inlineStr">
        <is>
          <t>9113 · COMERCIO GENERAL</t>
        </is>
      </c>
      <c r="W928" s="12" t="n"/>
      <c r="X928" s="12" t="n"/>
    </row>
    <row r="929" ht="15" customHeight="1">
      <c r="C929" t="inlineStr">
        <is>
          <t>Actividad económica / giro mercantil</t>
        </is>
      </c>
      <c r="D929" t="inlineStr">
        <is>
          <t>F12</t>
        </is>
      </c>
      <c r="E929" t="inlineStr">
        <is>
          <t>INHERENTE</t>
        </is>
      </c>
      <c r="F929" t="inlineStr">
        <is>
          <t>COMPRAVENTA DE MEDICINAS</t>
        </is>
      </c>
      <c r="G929" t="n">
        <v>6231013</v>
      </c>
      <c r="H929" t="n">
        <v>2</v>
      </c>
      <c r="I929" t="n">
        <v>2</v>
      </c>
      <c r="J929" t="n">
        <v>8</v>
      </c>
      <c r="K929" t="n">
        <v>16</v>
      </c>
      <c r="L929" t="n">
        <v>16</v>
      </c>
      <c r="M929" t="n">
        <v>16</v>
      </c>
      <c r="N929" t="n">
        <v>16</v>
      </c>
      <c r="O929" t="n">
        <v>40</v>
      </c>
      <c r="P929" t="n">
        <v>8</v>
      </c>
      <c r="R929" s="9" t="n">
        <v>0.08</v>
      </c>
      <c r="S929" s="10" t="inlineStr">
        <is>
          <t>SÍ — integrante</t>
        </is>
      </c>
      <c r="T929" s="11" t="inlineStr">
        <is>
          <t>B · INTEGRANTE</t>
        </is>
      </c>
      <c r="U929" s="11" t="inlineStr">
        <is>
          <t>DEL BANCO (se hereda)</t>
        </is>
      </c>
      <c r="V929" s="11" t="inlineStr">
        <is>
          <t>9113 · COMERCIO GENERAL</t>
        </is>
      </c>
      <c r="W929" s="12" t="n"/>
      <c r="X929" s="12" t="n"/>
    </row>
    <row r="930" ht="15" customHeight="1">
      <c r="C930" t="inlineStr">
        <is>
          <t>Actividad económica / giro mercantil</t>
        </is>
      </c>
      <c r="D930" t="inlineStr">
        <is>
          <t>F12</t>
        </is>
      </c>
      <c r="E930" t="inlineStr">
        <is>
          <t>INHERENTE</t>
        </is>
      </c>
      <c r="F930" t="inlineStr">
        <is>
          <t>COMPRAVENTA DE PERFUMES</t>
        </is>
      </c>
      <c r="G930" t="n">
        <v>6231021</v>
      </c>
      <c r="H930" t="n">
        <v>2</v>
      </c>
      <c r="I930" t="n">
        <v>2</v>
      </c>
      <c r="J930" t="n">
        <v>8</v>
      </c>
      <c r="K930" t="n">
        <v>16</v>
      </c>
      <c r="L930" t="n">
        <v>16</v>
      </c>
      <c r="M930" t="n">
        <v>16</v>
      </c>
      <c r="N930" t="n">
        <v>16</v>
      </c>
      <c r="O930" t="n">
        <v>40</v>
      </c>
      <c r="P930" t="n">
        <v>8</v>
      </c>
      <c r="R930" s="9" t="n">
        <v>0.08</v>
      </c>
      <c r="S930" s="10" t="inlineStr">
        <is>
          <t>SÍ — integrante</t>
        </is>
      </c>
      <c r="T930" s="11" t="inlineStr">
        <is>
          <t>B · INTEGRANTE</t>
        </is>
      </c>
      <c r="U930" s="11" t="inlineStr">
        <is>
          <t>DEL BANCO (se hereda)</t>
        </is>
      </c>
      <c r="V930" s="11" t="inlineStr">
        <is>
          <t>9113 · COMERCIO GENERAL</t>
        </is>
      </c>
      <c r="W930" s="12" t="n"/>
      <c r="X930" s="12" t="n"/>
    </row>
    <row r="931" ht="15" customHeight="1">
      <c r="C931" t="inlineStr">
        <is>
          <t>Actividad económica / giro mercantil</t>
        </is>
      </c>
      <c r="D931" t="inlineStr">
        <is>
          <t>F12</t>
        </is>
      </c>
      <c r="E931" t="inlineStr">
        <is>
          <t>INHERENTE</t>
        </is>
      </c>
      <c r="F931" t="inlineStr">
        <is>
          <t>DISTRIBUCION DE OTROS PRODUCTOS QUIMICOS FARMACEUTICOS</t>
        </is>
      </c>
      <c r="G931" t="n">
        <v>6232011</v>
      </c>
      <c r="H931" t="n">
        <v>5</v>
      </c>
      <c r="I931" t="n">
        <v>5</v>
      </c>
      <c r="J931" t="n">
        <v>8</v>
      </c>
      <c r="K931" t="n">
        <v>40</v>
      </c>
      <c r="L931" t="n">
        <v>40</v>
      </c>
      <c r="M931" t="n">
        <v>40</v>
      </c>
      <c r="N931" t="n">
        <v>40</v>
      </c>
      <c r="O931" t="n">
        <v>40</v>
      </c>
      <c r="P931" t="n">
        <v>8</v>
      </c>
      <c r="R931" s="9" t="n">
        <v>0.08</v>
      </c>
      <c r="S931" s="10" t="inlineStr">
        <is>
          <t>SÍ — integrante</t>
        </is>
      </c>
      <c r="T931" s="11" t="inlineStr">
        <is>
          <t>B · INTEGRANTE</t>
        </is>
      </c>
      <c r="U931" s="11" t="inlineStr">
        <is>
          <t>DEL BANCO (se hereda)</t>
        </is>
      </c>
      <c r="V931" s="11" t="inlineStr">
        <is>
          <t>9152 · INDUSTRIA Y MANUFACTURA</t>
        </is>
      </c>
      <c r="W931" s="12" t="n"/>
      <c r="X931" s="12" t="n"/>
    </row>
    <row r="932" ht="15" customHeight="1">
      <c r="C932" t="inlineStr">
        <is>
          <t>Actividad económica / giro mercantil</t>
        </is>
      </c>
      <c r="D932" t="inlineStr">
        <is>
          <t>F12</t>
        </is>
      </c>
      <c r="E932" t="inlineStr">
        <is>
          <t>INHERENTE</t>
        </is>
      </c>
      <c r="F932" t="inlineStr">
        <is>
          <t>COMPRAVENTA DE PAPELERIA Y ARTICULOS DE ESCRITORIO</t>
        </is>
      </c>
      <c r="G932" t="n">
        <v>6233019</v>
      </c>
      <c r="H932" t="n">
        <v>2</v>
      </c>
      <c r="I932" t="n">
        <v>2</v>
      </c>
      <c r="J932" t="n">
        <v>8</v>
      </c>
      <c r="K932" t="n">
        <v>16</v>
      </c>
      <c r="L932" t="n">
        <v>16</v>
      </c>
      <c r="M932" t="n">
        <v>16</v>
      </c>
      <c r="N932" t="n">
        <v>16</v>
      </c>
      <c r="O932" t="n">
        <v>40</v>
      </c>
      <c r="P932" t="n">
        <v>8</v>
      </c>
      <c r="R932" s="9" t="n">
        <v>0.08</v>
      </c>
      <c r="S932" s="10" t="inlineStr">
        <is>
          <t>SÍ — integrante</t>
        </is>
      </c>
      <c r="T932" s="11" t="inlineStr">
        <is>
          <t>B · INTEGRANTE</t>
        </is>
      </c>
      <c r="U932" s="11" t="inlineStr">
        <is>
          <t>DEL BANCO (se hereda)</t>
        </is>
      </c>
      <c r="V932" s="11" t="inlineStr">
        <is>
          <t>9113 · COMERCIO GENERAL</t>
        </is>
      </c>
      <c r="W932" s="12" t="n"/>
      <c r="X932" s="12" t="n"/>
    </row>
    <row r="933" ht="15" customHeight="1">
      <c r="C933" t="inlineStr">
        <is>
          <t>Actividad económica / giro mercantil</t>
        </is>
      </c>
      <c r="D933" t="inlineStr">
        <is>
          <t>F12</t>
        </is>
      </c>
      <c r="E933" t="inlineStr">
        <is>
          <t>INHERENTE</t>
        </is>
      </c>
      <c r="F933" t="inlineStr">
        <is>
          <t>COMPRAVENTA DE PARAGUAS SOMBRILLAS ROPA USADA Y OTROS ARTICULOS DE USO PERSONAL</t>
        </is>
      </c>
      <c r="G933" t="n">
        <v>6239017</v>
      </c>
      <c r="H933" t="n">
        <v>2</v>
      </c>
      <c r="I933" t="n">
        <v>2</v>
      </c>
      <c r="J933" t="n">
        <v>8</v>
      </c>
      <c r="K933" t="n">
        <v>16</v>
      </c>
      <c r="L933" t="n">
        <v>16</v>
      </c>
      <c r="M933" t="n">
        <v>16</v>
      </c>
      <c r="N933" t="n">
        <v>16</v>
      </c>
      <c r="O933" t="n">
        <v>40</v>
      </c>
      <c r="P933" t="n">
        <v>8</v>
      </c>
      <c r="R933" s="9" t="n">
        <v>0.08</v>
      </c>
      <c r="S933" s="10" t="inlineStr">
        <is>
          <t>SÍ — integrante</t>
        </is>
      </c>
      <c r="T933" s="11" t="inlineStr">
        <is>
          <t>B · INTEGRANTE</t>
        </is>
      </c>
      <c r="U933" s="11" t="inlineStr">
        <is>
          <t>DEL BANCO (se hereda)</t>
        </is>
      </c>
      <c r="V933" s="11" t="inlineStr">
        <is>
          <t>9113 · COMERCIO GENERAL</t>
        </is>
      </c>
      <c r="W933" s="12" t="n"/>
      <c r="X933" s="12" t="n"/>
    </row>
    <row r="934" ht="15" customHeight="1">
      <c r="C934" t="inlineStr">
        <is>
          <t>Actividad económica / giro mercantil</t>
        </is>
      </c>
      <c r="D934" t="inlineStr">
        <is>
          <t>F12</t>
        </is>
      </c>
      <c r="E934" t="inlineStr">
        <is>
          <t>INHERENTE</t>
        </is>
      </c>
      <c r="F934" t="inlineStr">
        <is>
          <t>COMPRAVENTA DE ARTÍCULOS PARA EL HOGAR (ELECTRODOMESTICOS, REFACCIONES, LOZA Y PORCELANA, ANTIGUEDADES)</t>
        </is>
      </c>
      <c r="G934" t="n">
        <v>6300008</v>
      </c>
      <c r="H934" t="n">
        <v>2</v>
      </c>
      <c r="I934" t="n">
        <v>2</v>
      </c>
      <c r="J934" t="n">
        <v>8</v>
      </c>
      <c r="K934" t="n">
        <v>16</v>
      </c>
      <c r="L934" t="n">
        <v>16</v>
      </c>
      <c r="M934" t="n">
        <v>16</v>
      </c>
      <c r="N934" t="n">
        <v>16</v>
      </c>
      <c r="O934" t="n">
        <v>40</v>
      </c>
      <c r="P934" t="n">
        <v>8</v>
      </c>
      <c r="R934" s="9" t="n">
        <v>0.08</v>
      </c>
      <c r="S934" s="10" t="inlineStr">
        <is>
          <t>SÍ — integrante</t>
        </is>
      </c>
      <c r="T934" s="11" t="inlineStr">
        <is>
          <t>B · INTEGRANTE</t>
        </is>
      </c>
      <c r="U934" s="11" t="inlineStr">
        <is>
          <t>DEL BANCO (se hereda)</t>
        </is>
      </c>
      <c r="V934" s="11" t="inlineStr">
        <is>
          <t>9120 · EFECTIVO INTENSIVO</t>
        </is>
      </c>
      <c r="W934" s="12" t="n"/>
      <c r="X934" s="12" t="n"/>
    </row>
    <row r="935" ht="15" customHeight="1">
      <c r="C935" t="inlineStr">
        <is>
          <t>Actividad económica / giro mercantil</t>
        </is>
      </c>
      <c r="D935" t="inlineStr">
        <is>
          <t>F12</t>
        </is>
      </c>
      <c r="E935" t="inlineStr">
        <is>
          <t>INHERENTE</t>
        </is>
      </c>
      <c r="F935" t="inlineStr">
        <is>
          <t>COMPRAVENTA DE REFRIGERADORES LAVADORAS Y ESTUFAS</t>
        </is>
      </c>
      <c r="G935" t="n">
        <v>6311013</v>
      </c>
      <c r="H935" t="n">
        <v>2</v>
      </c>
      <c r="I935" t="n">
        <v>2</v>
      </c>
      <c r="J935" t="n">
        <v>8</v>
      </c>
      <c r="K935" t="n">
        <v>16</v>
      </c>
      <c r="L935" t="n">
        <v>16</v>
      </c>
      <c r="M935" t="n">
        <v>16</v>
      </c>
      <c r="N935" t="n">
        <v>16</v>
      </c>
      <c r="O935" t="n">
        <v>40</v>
      </c>
      <c r="P935" t="n">
        <v>8</v>
      </c>
      <c r="R935" s="9" t="n">
        <v>0.08</v>
      </c>
      <c r="S935" s="10" t="inlineStr">
        <is>
          <t>SÍ — integrante</t>
        </is>
      </c>
      <c r="T935" s="11" t="inlineStr">
        <is>
          <t>B · INTEGRANTE</t>
        </is>
      </c>
      <c r="U935" s="11" t="inlineStr">
        <is>
          <t>DEL BANCO (se hereda)</t>
        </is>
      </c>
      <c r="V935" s="11" t="inlineStr">
        <is>
          <t>9113 · COMERCIO GENERAL</t>
        </is>
      </c>
      <c r="W935" s="12" t="n"/>
      <c r="X935" s="12" t="n"/>
    </row>
    <row r="936" ht="15" customHeight="1">
      <c r="C936" t="inlineStr">
        <is>
          <t>Actividad económica / giro mercantil</t>
        </is>
      </c>
      <c r="D936" t="inlineStr">
        <is>
          <t>F12</t>
        </is>
      </c>
      <c r="E936" t="inlineStr">
        <is>
          <t>INHERENTE</t>
        </is>
      </c>
      <c r="F936" t="inlineStr">
        <is>
          <t>COMPRAVENTA DE TELEVISORES CONSOLAS RADIOS MODULARES Y TOCACINTAS</t>
        </is>
      </c>
      <c r="G936" t="n">
        <v>6311021</v>
      </c>
      <c r="H936" t="n">
        <v>2</v>
      </c>
      <c r="I936" t="n">
        <v>2</v>
      </c>
      <c r="J936" t="n">
        <v>8</v>
      </c>
      <c r="K936" t="n">
        <v>16</v>
      </c>
      <c r="L936" t="n">
        <v>16</v>
      </c>
      <c r="M936" t="n">
        <v>16</v>
      </c>
      <c r="N936" t="n">
        <v>16</v>
      </c>
      <c r="O936" t="n">
        <v>40</v>
      </c>
      <c r="P936" t="n">
        <v>8</v>
      </c>
      <c r="R936" s="9" t="n">
        <v>0.08</v>
      </c>
      <c r="S936" s="10" t="inlineStr">
        <is>
          <t>SÍ — integrante</t>
        </is>
      </c>
      <c r="T936" s="11" t="inlineStr">
        <is>
          <t>B · INTEGRANTE</t>
        </is>
      </c>
      <c r="U936" s="11" t="inlineStr">
        <is>
          <t>DEL BANCO (se hereda)</t>
        </is>
      </c>
      <c r="V936" s="11" t="inlineStr">
        <is>
          <t>9113 · COMERCIO GENERAL</t>
        </is>
      </c>
      <c r="W936" s="12" t="n"/>
      <c r="X936" s="12" t="n"/>
    </row>
    <row r="937" ht="15" customHeight="1">
      <c r="C937" t="inlineStr">
        <is>
          <t>Actividad económica / giro mercantil</t>
        </is>
      </c>
      <c r="D937" t="inlineStr">
        <is>
          <t>F12</t>
        </is>
      </c>
      <c r="E937" t="inlineStr">
        <is>
          <t>INHERENTE</t>
        </is>
      </c>
      <c r="F937" t="inlineStr">
        <is>
          <t>COMPRAVENTA DE OTROS APARATOS ELECTRICOS Y ELECTRONICOS DE USO DOMESTICO</t>
        </is>
      </c>
      <c r="G937" t="n">
        <v>6311039</v>
      </c>
      <c r="H937" t="n">
        <v>2</v>
      </c>
      <c r="I937" t="n">
        <v>2</v>
      </c>
      <c r="J937" t="n">
        <v>8</v>
      </c>
      <c r="K937" t="n">
        <v>16</v>
      </c>
      <c r="L937" t="n">
        <v>16</v>
      </c>
      <c r="M937" t="n">
        <v>16</v>
      </c>
      <c r="N937" t="n">
        <v>16</v>
      </c>
      <c r="O937" t="n">
        <v>40</v>
      </c>
      <c r="P937" t="n">
        <v>8</v>
      </c>
      <c r="R937" s="9" t="n">
        <v>0.08</v>
      </c>
      <c r="S937" s="10" t="inlineStr">
        <is>
          <t>SÍ — integrante</t>
        </is>
      </c>
      <c r="T937" s="11" t="inlineStr">
        <is>
          <t>B · INTEGRANTE</t>
        </is>
      </c>
      <c r="U937" s="11" t="inlineStr">
        <is>
          <t>DEL BANCO (se hereda)</t>
        </is>
      </c>
      <c r="V937" s="11" t="inlineStr">
        <is>
          <t>9113 · COMERCIO GENERAL</t>
        </is>
      </c>
      <c r="W937" s="12" t="n"/>
      <c r="X937" s="12" t="n"/>
    </row>
    <row r="938" ht="15" customHeight="1">
      <c r="C938" t="inlineStr">
        <is>
          <t>Actividad económica / giro mercantil</t>
        </is>
      </c>
      <c r="D938" t="inlineStr">
        <is>
          <t>F12</t>
        </is>
      </c>
      <c r="E938" t="inlineStr">
        <is>
          <t>INHERENTE</t>
        </is>
      </c>
      <c r="F938" t="inlineStr">
        <is>
          <t>COMPRAVENTA DE MUEBLES</t>
        </is>
      </c>
      <c r="G938" t="n">
        <v>6312011</v>
      </c>
      <c r="H938" t="n">
        <v>2</v>
      </c>
      <c r="I938" t="n">
        <v>2</v>
      </c>
      <c r="J938" t="n">
        <v>8</v>
      </c>
      <c r="K938" t="n">
        <v>16</v>
      </c>
      <c r="L938" t="n">
        <v>16</v>
      </c>
      <c r="M938" t="n">
        <v>16</v>
      </c>
      <c r="N938" t="n">
        <v>16</v>
      </c>
      <c r="O938" t="n">
        <v>40</v>
      </c>
      <c r="P938" t="n">
        <v>8</v>
      </c>
      <c r="R938" s="9" t="n">
        <v>0.08</v>
      </c>
      <c r="S938" s="10" t="inlineStr">
        <is>
          <t>SÍ — integrante</t>
        </is>
      </c>
      <c r="T938" s="11" t="inlineStr">
        <is>
          <t>B · INTEGRANTE</t>
        </is>
      </c>
      <c r="U938" s="11" t="inlineStr">
        <is>
          <t>DEL BANCO (se hereda)</t>
        </is>
      </c>
      <c r="V938" s="11" t="inlineStr">
        <is>
          <t>9113 · COMERCIO GENERAL</t>
        </is>
      </c>
      <c r="W938" s="12" t="n"/>
      <c r="X938" s="12" t="n"/>
    </row>
    <row r="939" ht="15" customHeight="1">
      <c r="C939" t="inlineStr">
        <is>
          <t>Actividad económica / giro mercantil</t>
        </is>
      </c>
      <c r="D939" t="inlineStr">
        <is>
          <t>F12</t>
        </is>
      </c>
      <c r="E939" t="inlineStr">
        <is>
          <t>INHERENTE</t>
        </is>
      </c>
      <c r="F939" t="inlineStr">
        <is>
          <t>COMPRAVENTA DE MAQUINAS DE COSER Y TEJEDORAS</t>
        </is>
      </c>
      <c r="G939" t="n">
        <v>6313019</v>
      </c>
      <c r="H939" t="n">
        <v>2</v>
      </c>
      <c r="I939" t="n">
        <v>2</v>
      </c>
      <c r="J939" t="n">
        <v>8</v>
      </c>
      <c r="K939" t="n">
        <v>16</v>
      </c>
      <c r="L939" t="n">
        <v>16</v>
      </c>
      <c r="M939" t="n">
        <v>16</v>
      </c>
      <c r="N939" t="n">
        <v>16</v>
      </c>
      <c r="O939" t="n">
        <v>40</v>
      </c>
      <c r="P939" t="n">
        <v>8</v>
      </c>
      <c r="R939" s="9" t="n">
        <v>0.08</v>
      </c>
      <c r="S939" s="10" t="inlineStr">
        <is>
          <t>SÍ — integrante</t>
        </is>
      </c>
      <c r="T939" s="11" t="inlineStr">
        <is>
          <t>B · INTEGRANTE</t>
        </is>
      </c>
      <c r="U939" s="11" t="inlineStr">
        <is>
          <t>DEL BANCO (se hereda)</t>
        </is>
      </c>
      <c r="V939" s="11" t="inlineStr">
        <is>
          <t>9113 · COMERCIO GENERAL</t>
        </is>
      </c>
      <c r="W939" s="12" t="n"/>
      <c r="X939" s="12" t="n"/>
    </row>
    <row r="940" ht="15" customHeight="1">
      <c r="C940" t="inlineStr">
        <is>
          <t>Actividad económica / giro mercantil</t>
        </is>
      </c>
      <c r="D940" t="inlineStr">
        <is>
          <t>F12</t>
        </is>
      </c>
      <c r="E940" t="inlineStr">
        <is>
          <t>INHERENTE</t>
        </is>
      </c>
      <c r="F940" t="inlineStr">
        <is>
          <t>COMPRAVENTA DE REFACCIONES Y ACCESORIOS DE MAQUINAS APARATOS E INSTRUMENTOS PARA EL HOGAR EXCEPTO, LOS DE MAQUINAS DE COSER Y TEJER</t>
        </is>
      </c>
      <c r="G940" t="n">
        <v>6314017</v>
      </c>
      <c r="H940" t="n">
        <v>2</v>
      </c>
      <c r="I940" t="n">
        <v>2</v>
      </c>
      <c r="J940" t="n">
        <v>8</v>
      </c>
      <c r="K940" t="n">
        <v>16</v>
      </c>
      <c r="L940" t="n">
        <v>16</v>
      </c>
      <c r="M940" t="n">
        <v>16</v>
      </c>
      <c r="N940" t="n">
        <v>16</v>
      </c>
      <c r="O940" t="n">
        <v>40</v>
      </c>
      <c r="P940" t="n">
        <v>8</v>
      </c>
      <c r="R940" s="9" t="n">
        <v>0.08</v>
      </c>
      <c r="S940" s="10" t="inlineStr">
        <is>
          <t>SÍ — integrante</t>
        </is>
      </c>
      <c r="T940" s="11" t="inlineStr">
        <is>
          <t>B · INTEGRANTE</t>
        </is>
      </c>
      <c r="U940" s="11" t="inlineStr">
        <is>
          <t>DEL BANCO (se hereda)</t>
        </is>
      </c>
      <c r="V940" s="11" t="inlineStr">
        <is>
          <t>9111 · SIN ACTIVIDAD DE RIESGO / ASALARIADO</t>
        </is>
      </c>
      <c r="W940" s="12" t="n"/>
      <c r="X940" s="12" t="n"/>
    </row>
    <row r="941" ht="15" customHeight="1">
      <c r="C941" t="inlineStr">
        <is>
          <t>Actividad económica / giro mercantil</t>
        </is>
      </c>
      <c r="D941" t="inlineStr">
        <is>
          <t>F12</t>
        </is>
      </c>
      <c r="E941" t="inlineStr">
        <is>
          <t>INHERENTE</t>
        </is>
      </c>
      <c r="F941" t="inlineStr">
        <is>
          <t>COMPRAVENTA DE ARTICULOS DE CRISTAL LOZA Y PORCELANA</t>
        </is>
      </c>
      <c r="G941" t="n">
        <v>6321012</v>
      </c>
      <c r="H941" t="n">
        <v>2</v>
      </c>
      <c r="I941" t="n">
        <v>2</v>
      </c>
      <c r="J941" t="n">
        <v>8</v>
      </c>
      <c r="K941" t="n">
        <v>16</v>
      </c>
      <c r="L941" t="n">
        <v>16</v>
      </c>
      <c r="M941" t="n">
        <v>16</v>
      </c>
      <c r="N941" t="n">
        <v>16</v>
      </c>
      <c r="O941" t="n">
        <v>40</v>
      </c>
      <c r="P941" t="n">
        <v>8</v>
      </c>
      <c r="R941" s="9" t="n">
        <v>0.08</v>
      </c>
      <c r="S941" s="10" t="inlineStr">
        <is>
          <t>SÍ — integrante</t>
        </is>
      </c>
      <c r="T941" s="11" t="inlineStr">
        <is>
          <t>B · INTEGRANTE</t>
        </is>
      </c>
      <c r="U941" s="11" t="inlineStr">
        <is>
          <t>DEL BANCO (se hereda)</t>
        </is>
      </c>
      <c r="V941" s="11" t="inlineStr">
        <is>
          <t>9113 · COMERCIO GENERAL</t>
        </is>
      </c>
      <c r="W941" s="12" t="n"/>
      <c r="X941" s="12" t="n"/>
    </row>
    <row r="942" ht="15" customHeight="1">
      <c r="C942" t="inlineStr">
        <is>
          <t>Actividad económica / giro mercantil</t>
        </is>
      </c>
      <c r="D942" t="inlineStr">
        <is>
          <t>F12</t>
        </is>
      </c>
      <c r="E942" t="inlineStr">
        <is>
          <t>INHERENTE</t>
        </is>
      </c>
      <c r="F942" t="inlineStr">
        <is>
          <t>COMPRAVENTA DE ARTICULOS PARA DECORACION</t>
        </is>
      </c>
      <c r="G942" t="n">
        <v>6322010</v>
      </c>
      <c r="H942" t="n">
        <v>2</v>
      </c>
      <c r="I942" t="n">
        <v>2</v>
      </c>
      <c r="J942" t="n">
        <v>8</v>
      </c>
      <c r="K942" t="n">
        <v>16</v>
      </c>
      <c r="L942" t="n">
        <v>16</v>
      </c>
      <c r="M942" t="n">
        <v>16</v>
      </c>
      <c r="N942" t="n">
        <v>16</v>
      </c>
      <c r="O942" t="n">
        <v>40</v>
      </c>
      <c r="P942" t="n">
        <v>8</v>
      </c>
      <c r="R942" s="9" t="n">
        <v>0.08</v>
      </c>
      <c r="S942" s="10" t="inlineStr">
        <is>
          <t>SÍ — integrante</t>
        </is>
      </c>
      <c r="T942" s="11" t="inlineStr">
        <is>
          <t>B · INTEGRANTE</t>
        </is>
      </c>
      <c r="U942" s="11" t="inlineStr">
        <is>
          <t>DEL BANCO (se hereda)</t>
        </is>
      </c>
      <c r="V942" s="11" t="inlineStr">
        <is>
          <t>9113 · COMERCIO GENERAL</t>
        </is>
      </c>
      <c r="W942" s="12" t="n"/>
      <c r="X942" s="12" t="n"/>
    </row>
    <row r="943" ht="15" customHeight="1">
      <c r="C943" t="inlineStr">
        <is>
          <t>Actividad económica / giro mercantil</t>
        </is>
      </c>
      <c r="D943" t="inlineStr">
        <is>
          <t>F12</t>
        </is>
      </c>
      <c r="E943" t="inlineStr">
        <is>
          <t>INHERENTE</t>
        </is>
      </c>
      <c r="F943" t="inlineStr">
        <is>
          <t>COMPRAVENTA DE TAPETES Y ALFOMBRAS</t>
        </is>
      </c>
      <c r="G943" t="n">
        <v>6322028</v>
      </c>
      <c r="H943" t="n">
        <v>2</v>
      </c>
      <c r="I943" t="n">
        <v>2</v>
      </c>
      <c r="J943" t="n">
        <v>8</v>
      </c>
      <c r="K943" t="n">
        <v>16</v>
      </c>
      <c r="L943" t="n">
        <v>16</v>
      </c>
      <c r="M943" t="n">
        <v>16</v>
      </c>
      <c r="N943" t="n">
        <v>16</v>
      </c>
      <c r="O943" t="n">
        <v>40</v>
      </c>
      <c r="P943" t="n">
        <v>8</v>
      </c>
      <c r="R943" s="9" t="n">
        <v>0.08</v>
      </c>
      <c r="S943" s="10" t="inlineStr">
        <is>
          <t>SÍ — integrante</t>
        </is>
      </c>
      <c r="T943" s="11" t="inlineStr">
        <is>
          <t>B · INTEGRANTE</t>
        </is>
      </c>
      <c r="U943" s="11" t="inlineStr">
        <is>
          <t>DEL BANCO (se hereda)</t>
        </is>
      </c>
      <c r="V943" s="11" t="inlineStr">
        <is>
          <t>9113 · COMERCIO GENERAL</t>
        </is>
      </c>
      <c r="W943" s="12" t="n"/>
      <c r="X943" s="12" t="n"/>
    </row>
    <row r="944" ht="15" customHeight="1">
      <c r="C944" t="inlineStr">
        <is>
          <t>Actividad económica / giro mercantil</t>
        </is>
      </c>
      <c r="D944" t="inlineStr">
        <is>
          <t>F12</t>
        </is>
      </c>
      <c r="E944" t="inlineStr">
        <is>
          <t>INHERENTE</t>
        </is>
      </c>
      <c r="F944" t="inlineStr">
        <is>
          <t>COMPRAVENTA DE DISCOS Y CASSETTES</t>
        </is>
      </c>
      <c r="G944" t="n">
        <v>6323018</v>
      </c>
      <c r="H944" t="n">
        <v>2</v>
      </c>
      <c r="I944" t="n">
        <v>2</v>
      </c>
      <c r="J944" t="n">
        <v>8</v>
      </c>
      <c r="K944" t="n">
        <v>16</v>
      </c>
      <c r="L944" t="n">
        <v>16</v>
      </c>
      <c r="M944" t="n">
        <v>16</v>
      </c>
      <c r="N944" t="n">
        <v>16</v>
      </c>
      <c r="O944" t="n">
        <v>40</v>
      </c>
      <c r="P944" t="n">
        <v>8</v>
      </c>
      <c r="R944" s="9" t="n">
        <v>0.08</v>
      </c>
      <c r="S944" s="10" t="inlineStr">
        <is>
          <t>SÍ — integrante</t>
        </is>
      </c>
      <c r="T944" s="11" t="inlineStr">
        <is>
          <t>B · INTEGRANTE</t>
        </is>
      </c>
      <c r="U944" s="11" t="inlineStr">
        <is>
          <t>DEL BANCO (se hereda)</t>
        </is>
      </c>
      <c r="V944" s="11" t="inlineStr">
        <is>
          <t>9113 · COMERCIO GENERAL</t>
        </is>
      </c>
      <c r="W944" s="12" t="n"/>
      <c r="X944" s="12" t="n"/>
    </row>
    <row r="945" ht="15" customHeight="1">
      <c r="C945" t="inlineStr">
        <is>
          <t>Actividad económica / giro mercantil</t>
        </is>
      </c>
      <c r="D945" t="inlineStr">
        <is>
          <t>F12</t>
        </is>
      </c>
      <c r="E945" t="inlineStr">
        <is>
          <t>INHERENTE</t>
        </is>
      </c>
      <c r="F945" t="inlineStr">
        <is>
          <t>COMPRAVENTA DE ARTICULOS RELIGIOSOS</t>
        </is>
      </c>
      <c r="G945" t="n">
        <v>6324016</v>
      </c>
      <c r="H945" t="n">
        <v>2</v>
      </c>
      <c r="I945" t="n">
        <v>2</v>
      </c>
      <c r="J945" t="n">
        <v>8</v>
      </c>
      <c r="K945" t="n">
        <v>16</v>
      </c>
      <c r="L945" t="n">
        <v>16</v>
      </c>
      <c r="M945" t="n">
        <v>16</v>
      </c>
      <c r="N945" t="n">
        <v>16</v>
      </c>
      <c r="O945" t="n">
        <v>40</v>
      </c>
      <c r="P945" t="n">
        <v>8</v>
      </c>
      <c r="R945" s="9" t="n">
        <v>0.08</v>
      </c>
      <c r="S945" s="10" t="inlineStr">
        <is>
          <t>SÍ — integrante</t>
        </is>
      </c>
      <c r="T945" s="11" t="inlineStr">
        <is>
          <t>B · INTEGRANTE</t>
        </is>
      </c>
      <c r="U945" s="11" t="inlineStr">
        <is>
          <t>DEL BANCO (se hereda)</t>
        </is>
      </c>
      <c r="V945" s="11" t="inlineStr">
        <is>
          <t>9113 · COMERCIO GENERAL</t>
        </is>
      </c>
      <c r="W945" s="12" t="n"/>
      <c r="X945" s="12" t="n"/>
    </row>
    <row r="946" ht="15" customHeight="1">
      <c r="C946" t="inlineStr">
        <is>
          <t>Actividad económica / giro mercantil</t>
        </is>
      </c>
      <c r="D946" t="inlineStr">
        <is>
          <t>F12</t>
        </is>
      </c>
      <c r="E946" t="inlineStr">
        <is>
          <t>INHERENTE</t>
        </is>
      </c>
      <c r="F946" t="inlineStr">
        <is>
          <t>COMPRAVENTA DE ANTIGÜEDADES</t>
        </is>
      </c>
      <c r="G946" t="n">
        <v>6325014</v>
      </c>
      <c r="H946" t="n">
        <v>5</v>
      </c>
      <c r="I946" t="n">
        <v>5</v>
      </c>
      <c r="J946" t="n">
        <v>8</v>
      </c>
      <c r="K946" t="n">
        <v>40</v>
      </c>
      <c r="L946" t="n">
        <v>40</v>
      </c>
      <c r="M946" t="n">
        <v>40</v>
      </c>
      <c r="N946" t="n">
        <v>40</v>
      </c>
      <c r="O946" t="n">
        <v>40</v>
      </c>
      <c r="P946" t="n">
        <v>8</v>
      </c>
      <c r="Q946" t="inlineStr">
        <is>
          <t>DETERMINANTE</t>
        </is>
      </c>
      <c r="R946" s="9" t="n">
        <v>0.08</v>
      </c>
      <c r="S946" s="10" t="inlineStr">
        <is>
          <t>SÍ — integrante</t>
        </is>
      </c>
      <c r="T946" s="11" t="inlineStr">
        <is>
          <t>B · INTEGRANTE</t>
        </is>
      </c>
      <c r="U946" s="11" t="inlineStr">
        <is>
          <t>DEL BANCO (se hereda)</t>
        </is>
      </c>
      <c r="V946" s="11" t="inlineStr">
        <is>
          <t>9120 · EFECTIVO INTENSIVO</t>
        </is>
      </c>
      <c r="W946" s="12" t="n"/>
      <c r="X946" s="12" t="n"/>
    </row>
    <row r="947" ht="15" customHeight="1">
      <c r="C947" t="inlineStr">
        <is>
          <t>Actividad económica / giro mercantil</t>
        </is>
      </c>
      <c r="D947" t="inlineStr">
        <is>
          <t>F12</t>
        </is>
      </c>
      <c r="E947" t="inlineStr">
        <is>
          <t>INHERENTE</t>
        </is>
      </c>
      <c r="F947" t="inlineStr">
        <is>
          <t>COMPRAVENTA DE ARTICULOS DE YUTE Y HENEQUEN</t>
        </is>
      </c>
      <c r="G947" t="n">
        <v>6325022</v>
      </c>
      <c r="H947" t="n">
        <v>2</v>
      </c>
      <c r="I947" t="n">
        <v>2</v>
      </c>
      <c r="J947" t="n">
        <v>8</v>
      </c>
      <c r="K947" t="n">
        <v>16</v>
      </c>
      <c r="L947" t="n">
        <v>16</v>
      </c>
      <c r="M947" t="n">
        <v>16</v>
      </c>
      <c r="N947" t="n">
        <v>16</v>
      </c>
      <c r="O947" t="n">
        <v>40</v>
      </c>
      <c r="P947" t="n">
        <v>8</v>
      </c>
      <c r="R947" s="9" t="n">
        <v>0.08</v>
      </c>
      <c r="S947" s="10" t="inlineStr">
        <is>
          <t>SÍ — integrante</t>
        </is>
      </c>
      <c r="T947" s="11" t="inlineStr">
        <is>
          <t>B · INTEGRANTE</t>
        </is>
      </c>
      <c r="U947" s="11" t="inlineStr">
        <is>
          <t>DEL BANCO (se hereda)</t>
        </is>
      </c>
      <c r="V947" s="11" t="inlineStr">
        <is>
          <t>9113 · COMERCIO GENERAL</t>
        </is>
      </c>
      <c r="W947" s="12" t="n"/>
      <c r="X947" s="12" t="n"/>
    </row>
    <row r="948" ht="15" customHeight="1">
      <c r="C948" t="inlineStr">
        <is>
          <t>Actividad económica / giro mercantil</t>
        </is>
      </c>
      <c r="D948" t="inlineStr">
        <is>
          <t>F12</t>
        </is>
      </c>
      <c r="E948" t="inlineStr">
        <is>
          <t>INHERENTE</t>
        </is>
      </c>
      <c r="F948" t="inlineStr">
        <is>
          <t>COMPRAVENTA DE ARTICULOS PARA REGALO</t>
        </is>
      </c>
      <c r="G948" t="n">
        <v>6325030</v>
      </c>
      <c r="H948" t="n">
        <v>2</v>
      </c>
      <c r="I948" t="n">
        <v>2</v>
      </c>
      <c r="J948" t="n">
        <v>8</v>
      </c>
      <c r="K948" t="n">
        <v>16</v>
      </c>
      <c r="L948" t="n">
        <v>16</v>
      </c>
      <c r="M948" t="n">
        <v>16</v>
      </c>
      <c r="N948" t="n">
        <v>16</v>
      </c>
      <c r="O948" t="n">
        <v>40</v>
      </c>
      <c r="P948" t="n">
        <v>8</v>
      </c>
      <c r="R948" s="9" t="n">
        <v>0.08</v>
      </c>
      <c r="S948" s="10" t="inlineStr">
        <is>
          <t>SÍ — integrante</t>
        </is>
      </c>
      <c r="T948" s="11" t="inlineStr">
        <is>
          <t>B · INTEGRANTE</t>
        </is>
      </c>
      <c r="U948" s="11" t="inlineStr">
        <is>
          <t>DEL BANCO (se hereda)</t>
        </is>
      </c>
      <c r="V948" s="11" t="inlineStr">
        <is>
          <t>9113 · COMERCIO GENERAL</t>
        </is>
      </c>
      <c r="W948" s="12" t="n"/>
      <c r="X948" s="12" t="n"/>
    </row>
    <row r="949" ht="15" customHeight="1">
      <c r="C949" t="inlineStr">
        <is>
          <t>Actividad económica / giro mercantil</t>
        </is>
      </c>
      <c r="D949" t="inlineStr">
        <is>
          <t>F12</t>
        </is>
      </c>
      <c r="E949" t="inlineStr">
        <is>
          <t>INHERENTE</t>
        </is>
      </c>
      <c r="F949" t="inlineStr">
        <is>
          <t>COMPRAVENTA DE ARTICULOS REGIONALES CURIOSIDADES Y ARTESANIAS</t>
        </is>
      </c>
      <c r="G949" t="n">
        <v>6325048</v>
      </c>
      <c r="H949" t="n">
        <v>2</v>
      </c>
      <c r="I949" t="n">
        <v>2</v>
      </c>
      <c r="J949" t="n">
        <v>8</v>
      </c>
      <c r="K949" t="n">
        <v>16</v>
      </c>
      <c r="L949" t="n">
        <v>16</v>
      </c>
      <c r="M949" t="n">
        <v>16</v>
      </c>
      <c r="N949" t="n">
        <v>16</v>
      </c>
      <c r="O949" t="n">
        <v>40</v>
      </c>
      <c r="P949" t="n">
        <v>8</v>
      </c>
      <c r="R949" s="9" t="n">
        <v>0.08</v>
      </c>
      <c r="S949" s="10" t="inlineStr">
        <is>
          <t>SÍ — integrante</t>
        </is>
      </c>
      <c r="T949" s="11" t="inlineStr">
        <is>
          <t>B · INTEGRANTE</t>
        </is>
      </c>
      <c r="U949" s="11" t="inlineStr">
        <is>
          <t>DEL BANCO (se hereda)</t>
        </is>
      </c>
      <c r="V949" s="11" t="inlineStr">
        <is>
          <t>9113 · COMERCIO GENERAL</t>
        </is>
      </c>
      <c r="W949" s="12" t="n"/>
      <c r="X949" s="12" t="n"/>
    </row>
    <row r="950" ht="15" customHeight="1">
      <c r="C950" t="inlineStr">
        <is>
          <t>Actividad económica / giro mercantil</t>
        </is>
      </c>
      <c r="D950" t="inlineStr">
        <is>
          <t>F12</t>
        </is>
      </c>
      <c r="E950" t="inlineStr">
        <is>
          <t>INHERENTE</t>
        </is>
      </c>
      <c r="F950" t="inlineStr">
        <is>
          <t>COMPRAVENTA DE FLORES Y ADORNOS FLORALES ARTIFICIALES</t>
        </is>
      </c>
      <c r="G950" t="n">
        <v>6326012</v>
      </c>
      <c r="H950" t="n">
        <v>2</v>
      </c>
      <c r="I950" t="n">
        <v>2</v>
      </c>
      <c r="J950" t="n">
        <v>8</v>
      </c>
      <c r="K950" t="n">
        <v>16</v>
      </c>
      <c r="L950" t="n">
        <v>16</v>
      </c>
      <c r="M950" t="n">
        <v>16</v>
      </c>
      <c r="N950" t="n">
        <v>16</v>
      </c>
      <c r="O950" t="n">
        <v>40</v>
      </c>
      <c r="P950" t="n">
        <v>8</v>
      </c>
      <c r="R950" s="9" t="n">
        <v>0.08</v>
      </c>
      <c r="S950" s="10" t="inlineStr">
        <is>
          <t>SÍ — integrante</t>
        </is>
      </c>
      <c r="T950" s="11" t="inlineStr">
        <is>
          <t>B · INTEGRANTE</t>
        </is>
      </c>
      <c r="U950" s="11" t="inlineStr">
        <is>
          <t>DEL BANCO (se hereda)</t>
        </is>
      </c>
      <c r="V950" s="11" t="inlineStr">
        <is>
          <t>9113 · COMERCIO GENERAL</t>
        </is>
      </c>
      <c r="W950" s="12" t="n"/>
      <c r="X950" s="12" t="n"/>
    </row>
    <row r="951" ht="15" customHeight="1">
      <c r="C951" t="inlineStr">
        <is>
          <t>Actividad económica / giro mercantil</t>
        </is>
      </c>
      <c r="D951" t="inlineStr">
        <is>
          <t>F12</t>
        </is>
      </c>
      <c r="E951" t="inlineStr">
        <is>
          <t>INHERENTE</t>
        </is>
      </c>
      <c r="F951" t="inlineStr">
        <is>
          <t>COMPRAVENTA DE FLORES Y ADORNOS FLORALES NATURALES</t>
        </is>
      </c>
      <c r="G951" t="n">
        <v>6326020</v>
      </c>
      <c r="H951" t="n">
        <v>2</v>
      </c>
      <c r="I951" t="n">
        <v>2</v>
      </c>
      <c r="J951" t="n">
        <v>8</v>
      </c>
      <c r="K951" t="n">
        <v>16</v>
      </c>
      <c r="L951" t="n">
        <v>16</v>
      </c>
      <c r="M951" t="n">
        <v>16</v>
      </c>
      <c r="N951" t="n">
        <v>16</v>
      </c>
      <c r="O951" t="n">
        <v>40</v>
      </c>
      <c r="P951" t="n">
        <v>8</v>
      </c>
      <c r="R951" s="9" t="n">
        <v>0.08</v>
      </c>
      <c r="S951" s="10" t="inlineStr">
        <is>
          <t>SÍ — integrante</t>
        </is>
      </c>
      <c r="T951" s="11" t="inlineStr">
        <is>
          <t>B · INTEGRANTE</t>
        </is>
      </c>
      <c r="U951" s="11" t="inlineStr">
        <is>
          <t>DEL BANCO (se hereda)</t>
        </is>
      </c>
      <c r="V951" s="11" t="inlineStr">
        <is>
          <t>9113 · COMERCIO GENERAL</t>
        </is>
      </c>
      <c r="W951" s="12" t="n"/>
      <c r="X951" s="12" t="n"/>
    </row>
    <row r="952" ht="15" customHeight="1">
      <c r="C952" t="inlineStr">
        <is>
          <t>Actividad económica / giro mercantil</t>
        </is>
      </c>
      <c r="D952" t="inlineStr">
        <is>
          <t>F12</t>
        </is>
      </c>
      <c r="E952" t="inlineStr">
        <is>
          <t>INHERENTE</t>
        </is>
      </c>
      <c r="F952" t="inlineStr">
        <is>
          <t>COMPRAVENTA DE OTROS ARTICULOS PARA EL HOGAR</t>
        </is>
      </c>
      <c r="G952" t="n">
        <v>6329016</v>
      </c>
      <c r="H952" t="n">
        <v>2</v>
      </c>
      <c r="I952" t="n">
        <v>2</v>
      </c>
      <c r="J952" t="n">
        <v>8</v>
      </c>
      <c r="K952" t="n">
        <v>16</v>
      </c>
      <c r="L952" t="n">
        <v>16</v>
      </c>
      <c r="M952" t="n">
        <v>16</v>
      </c>
      <c r="N952" t="n">
        <v>16</v>
      </c>
      <c r="O952" t="n">
        <v>40</v>
      </c>
      <c r="P952" t="n">
        <v>8</v>
      </c>
      <c r="R952" s="9" t="n">
        <v>0.08</v>
      </c>
      <c r="S952" s="10" t="inlineStr">
        <is>
          <t>SÍ — integrante</t>
        </is>
      </c>
      <c r="T952" s="11" t="inlineStr">
        <is>
          <t>B · INTEGRANTE</t>
        </is>
      </c>
      <c r="U952" s="11" t="inlineStr">
        <is>
          <t>DEL BANCO (se hereda)</t>
        </is>
      </c>
      <c r="V952" s="11" t="inlineStr">
        <is>
          <t>9111 · SIN ACTIVIDAD DE RIESGO / ASALARIADO</t>
        </is>
      </c>
      <c r="W952" s="12" t="n"/>
      <c r="X952" s="12" t="n"/>
    </row>
    <row r="953" ht="15" customHeight="1">
      <c r="C953" t="inlineStr">
        <is>
          <t>Actividad económica / giro mercantil</t>
        </is>
      </c>
      <c r="D953" t="inlineStr">
        <is>
          <t>F12</t>
        </is>
      </c>
      <c r="E953" t="inlineStr">
        <is>
          <t>INHERENTE</t>
        </is>
      </c>
      <c r="F953" t="inlineStr">
        <is>
          <t>COMPRAVENTA EN TIENDAS DE AUTOSERVICIO Y DE DEPARTAMENTOS ESPECIALIZADOS POR LÍNEA DE MERCANCÍAS</t>
        </is>
      </c>
      <c r="G953" t="n">
        <v>6400006</v>
      </c>
      <c r="H953" t="n">
        <v>2</v>
      </c>
      <c r="I953" t="n">
        <v>2</v>
      </c>
      <c r="J953" t="n">
        <v>8</v>
      </c>
      <c r="K953" t="n">
        <v>16</v>
      </c>
      <c r="L953" t="n">
        <v>16</v>
      </c>
      <c r="M953" t="n">
        <v>16</v>
      </c>
      <c r="N953" t="n">
        <v>16</v>
      </c>
      <c r="O953" t="n">
        <v>40</v>
      </c>
      <c r="P953" t="n">
        <v>8</v>
      </c>
      <c r="R953" s="9" t="n">
        <v>0.08</v>
      </c>
      <c r="S953" s="10" t="inlineStr">
        <is>
          <t>SÍ — integrante</t>
        </is>
      </c>
      <c r="T953" s="11" t="inlineStr">
        <is>
          <t>B · INTEGRANTE</t>
        </is>
      </c>
      <c r="U953" s="11" t="inlineStr">
        <is>
          <t>DEL BANCO (se hereda)</t>
        </is>
      </c>
      <c r="V953" s="11" t="inlineStr">
        <is>
          <t>9113 · COMERCIO GENERAL</t>
        </is>
      </c>
      <c r="W953" s="12" t="n"/>
      <c r="X953" s="12" t="n"/>
    </row>
    <row r="954" ht="15" customHeight="1">
      <c r="C954" t="inlineStr">
        <is>
          <t>Actividad económica / giro mercantil</t>
        </is>
      </c>
      <c r="D954" t="inlineStr">
        <is>
          <t>F12</t>
        </is>
      </c>
      <c r="E954" t="inlineStr">
        <is>
          <t>INHERENTE</t>
        </is>
      </c>
      <c r="F954" t="inlineStr">
        <is>
          <t>TIENDA DE AUTOSERVICIO</t>
        </is>
      </c>
      <c r="G954" t="n">
        <v>6411011</v>
      </c>
      <c r="H954" t="n">
        <v>1</v>
      </c>
      <c r="I954" t="n">
        <v>1</v>
      </c>
      <c r="J954" t="n">
        <v>8</v>
      </c>
      <c r="K954" t="n">
        <v>8</v>
      </c>
      <c r="L954" t="n">
        <v>8</v>
      </c>
      <c r="M954" t="n">
        <v>8</v>
      </c>
      <c r="N954" t="n">
        <v>8</v>
      </c>
      <c r="O954" t="n">
        <v>40</v>
      </c>
      <c r="P954" t="n">
        <v>8</v>
      </c>
      <c r="R954" s="9" t="n">
        <v>0.08</v>
      </c>
      <c r="S954" s="10" t="inlineStr">
        <is>
          <t>SÍ — integrante</t>
        </is>
      </c>
      <c r="T954" s="11" t="inlineStr">
        <is>
          <t>B · INTEGRANTE</t>
        </is>
      </c>
      <c r="U954" s="11" t="inlineStr">
        <is>
          <t>DEL BANCO (se hereda)</t>
        </is>
      </c>
      <c r="V954" s="11" t="inlineStr">
        <is>
          <t>9113 · COMERCIO GENERAL</t>
        </is>
      </c>
      <c r="W954" s="12" t="n"/>
      <c r="X954" s="12" t="n"/>
    </row>
    <row r="955" ht="15" customHeight="1">
      <c r="C955" t="inlineStr">
        <is>
          <t>Actividad económica / giro mercantil</t>
        </is>
      </c>
      <c r="D955" t="inlineStr">
        <is>
          <t>F12</t>
        </is>
      </c>
      <c r="E955" t="inlineStr">
        <is>
          <t>INHERENTE</t>
        </is>
      </c>
      <c r="F955" t="inlineStr">
        <is>
          <t>TIENDAS DE DEPARTAMENTOS ESPECIALIZADOS EXCEPTO DE COMESTIBLES</t>
        </is>
      </c>
      <c r="G955" t="n">
        <v>6412019</v>
      </c>
      <c r="H955" t="n">
        <v>1</v>
      </c>
      <c r="I955" t="n">
        <v>1</v>
      </c>
      <c r="J955" t="n">
        <v>8</v>
      </c>
      <c r="K955" t="n">
        <v>8</v>
      </c>
      <c r="L955" t="n">
        <v>8</v>
      </c>
      <c r="M955" t="n">
        <v>8</v>
      </c>
      <c r="N955" t="n">
        <v>8</v>
      </c>
      <c r="O955" t="n">
        <v>40</v>
      </c>
      <c r="P955" t="n">
        <v>8</v>
      </c>
      <c r="R955" s="9" t="n">
        <v>0.08</v>
      </c>
      <c r="S955" s="10" t="inlineStr">
        <is>
          <t>SÍ — integrante</t>
        </is>
      </c>
      <c r="T955" s="11" t="inlineStr">
        <is>
          <t>B · INTEGRANTE</t>
        </is>
      </c>
      <c r="U955" s="11" t="inlineStr">
        <is>
          <t>DEL BANCO (se hereda)</t>
        </is>
      </c>
      <c r="V955" s="11" t="inlineStr">
        <is>
          <t>9113 · COMERCIO GENERAL</t>
        </is>
      </c>
      <c r="W955" s="12" t="n"/>
      <c r="X955" s="12" t="n"/>
    </row>
    <row r="956" ht="15" customHeight="1">
      <c r="C956" t="inlineStr">
        <is>
          <t>Actividad económica / giro mercantil</t>
        </is>
      </c>
      <c r="D956" t="inlineStr">
        <is>
          <t>F12</t>
        </is>
      </c>
      <c r="E956" t="inlineStr">
        <is>
          <t>INHERENTE</t>
        </is>
      </c>
      <c r="F956" t="inlineStr">
        <is>
          <t>COMPRAVENTA DE OTROS APARATOS ELECTRICOS</t>
        </is>
      </c>
      <c r="G956" t="n">
        <v>6419015</v>
      </c>
      <c r="H956" t="n">
        <v>2</v>
      </c>
      <c r="I956" t="n">
        <v>2</v>
      </c>
      <c r="J956" t="n">
        <v>8</v>
      </c>
      <c r="K956" t="n">
        <v>16</v>
      </c>
      <c r="L956" t="n">
        <v>16</v>
      </c>
      <c r="M956" t="n">
        <v>16</v>
      </c>
      <c r="N956" t="n">
        <v>16</v>
      </c>
      <c r="O956" t="n">
        <v>40</v>
      </c>
      <c r="P956" t="n">
        <v>8</v>
      </c>
      <c r="R956" s="9" t="n">
        <v>0.08</v>
      </c>
      <c r="S956" s="10" t="inlineStr">
        <is>
          <t>SÍ — integrante</t>
        </is>
      </c>
      <c r="T956" s="11" t="inlineStr">
        <is>
          <t>B · INTEGRANTE</t>
        </is>
      </c>
      <c r="U956" s="11" t="inlineStr">
        <is>
          <t>DEL BANCO (se hereda)</t>
        </is>
      </c>
      <c r="V956" s="11" t="inlineStr">
        <is>
          <t>9113 · COMERCIO GENERAL</t>
        </is>
      </c>
      <c r="W956" s="12" t="n"/>
      <c r="X956" s="12" t="n"/>
    </row>
    <row r="957" ht="15" customHeight="1">
      <c r="C957" t="inlineStr">
        <is>
          <t>Actividad económica / giro mercantil</t>
        </is>
      </c>
      <c r="D957" t="inlineStr">
        <is>
          <t>F12</t>
        </is>
      </c>
      <c r="E957" t="inlineStr">
        <is>
          <t>INHERENTE</t>
        </is>
      </c>
      <c r="F957" t="inlineStr">
        <is>
          <t>COMPRAVENTA DE REFACCIONES PARA APARATOS ELECTRICOS</t>
        </is>
      </c>
      <c r="G957" t="n">
        <v>6419023</v>
      </c>
      <c r="H957" t="n">
        <v>2</v>
      </c>
      <c r="I957" t="n">
        <v>2</v>
      </c>
      <c r="J957" t="n">
        <v>8</v>
      </c>
      <c r="K957" t="n">
        <v>16</v>
      </c>
      <c r="L957" t="n">
        <v>16</v>
      </c>
      <c r="M957" t="n">
        <v>16</v>
      </c>
      <c r="N957" t="n">
        <v>16</v>
      </c>
      <c r="O957" t="n">
        <v>40</v>
      </c>
      <c r="P957" t="n">
        <v>8</v>
      </c>
      <c r="R957" s="9" t="n">
        <v>0.08</v>
      </c>
      <c r="S957" s="10" t="inlineStr">
        <is>
          <t>SÍ — integrante</t>
        </is>
      </c>
      <c r="T957" s="11" t="inlineStr">
        <is>
          <t>B · INTEGRANTE</t>
        </is>
      </c>
      <c r="U957" s="11" t="inlineStr">
        <is>
          <t>DEL BANCO (se hereda)</t>
        </is>
      </c>
      <c r="V957" s="11" t="inlineStr">
        <is>
          <t>9113 · COMERCIO GENERAL</t>
        </is>
      </c>
      <c r="W957" s="12" t="n"/>
      <c r="X957" s="12" t="n"/>
    </row>
    <row r="958" ht="15" customHeight="1">
      <c r="C958" t="inlineStr">
        <is>
          <t>Actividad económica / giro mercantil</t>
        </is>
      </c>
      <c r="D958" t="inlineStr">
        <is>
          <t>F12</t>
        </is>
      </c>
      <c r="E958" t="inlineStr">
        <is>
          <t>INHERENTE</t>
        </is>
      </c>
      <c r="F958" t="inlineStr">
        <is>
          <t>COMPRAVENTA DE GASES, COMBUSTIBLES Y LUBRICANTES</t>
        </is>
      </c>
      <c r="G958" t="n">
        <v>6500004</v>
      </c>
      <c r="H958" t="n">
        <v>4</v>
      </c>
      <c r="I958" t="n">
        <v>4</v>
      </c>
      <c r="J958" t="n">
        <v>8</v>
      </c>
      <c r="K958" t="n">
        <v>32</v>
      </c>
      <c r="L958" t="n">
        <v>32</v>
      </c>
      <c r="M958" t="n">
        <v>32</v>
      </c>
      <c r="N958" t="n">
        <v>32</v>
      </c>
      <c r="O958" t="n">
        <v>40</v>
      </c>
      <c r="P958" t="n">
        <v>8</v>
      </c>
      <c r="R958" s="9" t="n">
        <v>0.08</v>
      </c>
      <c r="S958" s="10" t="inlineStr">
        <is>
          <t>SÍ — integrante</t>
        </is>
      </c>
      <c r="T958" s="11" t="inlineStr">
        <is>
          <t>B · INTEGRANTE</t>
        </is>
      </c>
      <c r="U958" s="11" t="inlineStr">
        <is>
          <t>DEL BANCO (se hereda)</t>
        </is>
      </c>
      <c r="V958" s="11" t="inlineStr">
        <is>
          <t>9113 · COMERCIO GENERAL</t>
        </is>
      </c>
      <c r="W958" s="12" t="n"/>
      <c r="X958" s="12" t="n"/>
    </row>
    <row r="959" ht="15" customHeight="1">
      <c r="C959" t="inlineStr">
        <is>
          <t>Actividad económica / giro mercantil</t>
        </is>
      </c>
      <c r="D959" t="inlineStr">
        <is>
          <t>F12</t>
        </is>
      </c>
      <c r="E959" t="inlineStr">
        <is>
          <t>INHERENTE</t>
        </is>
      </c>
      <c r="F959" t="inlineStr">
        <is>
          <t>COMPRAVENTA DE FLUIDOS Y GASES</t>
        </is>
      </c>
      <c r="G959" t="n">
        <v>6511019</v>
      </c>
      <c r="H959" t="n">
        <v>2</v>
      </c>
      <c r="I959" t="n">
        <v>2</v>
      </c>
      <c r="J959" t="n">
        <v>8</v>
      </c>
      <c r="K959" t="n">
        <v>16</v>
      </c>
      <c r="L959" t="n">
        <v>16</v>
      </c>
      <c r="M959" t="n">
        <v>16</v>
      </c>
      <c r="N959" t="n">
        <v>16</v>
      </c>
      <c r="O959" t="n">
        <v>40</v>
      </c>
      <c r="P959" t="n">
        <v>8</v>
      </c>
      <c r="R959" s="9" t="n">
        <v>0.08</v>
      </c>
      <c r="S959" s="10" t="inlineStr">
        <is>
          <t>SÍ — integrante</t>
        </is>
      </c>
      <c r="T959" s="11" t="inlineStr">
        <is>
          <t>B · INTEGRANTE</t>
        </is>
      </c>
      <c r="U959" s="11" t="inlineStr">
        <is>
          <t>DEL BANCO (se hereda)</t>
        </is>
      </c>
      <c r="V959" s="11" t="inlineStr">
        <is>
          <t>9113 · COMERCIO GENERAL</t>
        </is>
      </c>
      <c r="W959" s="12" t="n"/>
      <c r="X959" s="12" t="n"/>
    </row>
    <row r="960" ht="15" customHeight="1">
      <c r="C960" t="inlineStr">
        <is>
          <t>Actividad económica / giro mercantil</t>
        </is>
      </c>
      <c r="D960" t="inlineStr">
        <is>
          <t>F12</t>
        </is>
      </c>
      <c r="E960" t="inlineStr">
        <is>
          <t>INHERENTE</t>
        </is>
      </c>
      <c r="F960" t="inlineStr">
        <is>
          <t>COMPRAVENTA DE GAS PARA USO DOMESTICO O COMERCIAL</t>
        </is>
      </c>
      <c r="G960" t="n">
        <v>6512017</v>
      </c>
      <c r="H960" t="n">
        <v>2</v>
      </c>
      <c r="I960" t="n">
        <v>2</v>
      </c>
      <c r="J960" t="n">
        <v>8</v>
      </c>
      <c r="K960" t="n">
        <v>16</v>
      </c>
      <c r="L960" t="n">
        <v>16</v>
      </c>
      <c r="M960" t="n">
        <v>16</v>
      </c>
      <c r="N960" t="n">
        <v>16</v>
      </c>
      <c r="O960" t="n">
        <v>40</v>
      </c>
      <c r="P960" t="n">
        <v>8</v>
      </c>
      <c r="R960" s="9" t="n">
        <v>0.08</v>
      </c>
      <c r="S960" s="10" t="inlineStr">
        <is>
          <t>SÍ — integrante</t>
        </is>
      </c>
      <c r="T960" s="11" t="inlineStr">
        <is>
          <t>B · INTEGRANTE</t>
        </is>
      </c>
      <c r="U960" s="11" t="inlineStr">
        <is>
          <t>DEL BANCO (se hereda)</t>
        </is>
      </c>
      <c r="V960" s="11" t="inlineStr">
        <is>
          <t>9113 · COMERCIO GENERAL</t>
        </is>
      </c>
      <c r="W960" s="12" t="n"/>
      <c r="X960" s="12" t="n"/>
    </row>
    <row r="961" ht="15" customHeight="1">
      <c r="C961" t="inlineStr">
        <is>
          <t>Actividad económica / giro mercantil</t>
        </is>
      </c>
      <c r="D961" t="inlineStr">
        <is>
          <t>F12</t>
        </is>
      </c>
      <c r="E961" t="inlineStr">
        <is>
          <t>INHERENTE</t>
        </is>
      </c>
      <c r="F961" t="inlineStr">
        <is>
          <t>COMPRAVENTA DE GASOLINA Y DIESEL</t>
        </is>
      </c>
      <c r="G961" t="n">
        <v>6513015</v>
      </c>
      <c r="H961" t="n">
        <v>5</v>
      </c>
      <c r="I961" t="n">
        <v>5</v>
      </c>
      <c r="J961" t="n">
        <v>8</v>
      </c>
      <c r="K961" t="n">
        <v>40</v>
      </c>
      <c r="L961" t="n">
        <v>40</v>
      </c>
      <c r="M961" t="n">
        <v>40</v>
      </c>
      <c r="N961" t="n">
        <v>40</v>
      </c>
      <c r="O961" t="n">
        <v>40</v>
      </c>
      <c r="P961" t="n">
        <v>8</v>
      </c>
      <c r="Q961" t="inlineStr">
        <is>
          <t>DETERMINANTE</t>
        </is>
      </c>
      <c r="R961" s="9" t="n">
        <v>0.08</v>
      </c>
      <c r="S961" s="10" t="inlineStr">
        <is>
          <t>SÍ — integrante</t>
        </is>
      </c>
      <c r="T961" s="11" t="inlineStr">
        <is>
          <t>B · INTEGRANTE</t>
        </is>
      </c>
      <c r="U961" s="11" t="inlineStr">
        <is>
          <t>DEL BANCO (se hereda)</t>
        </is>
      </c>
      <c r="V961" s="11" t="inlineStr">
        <is>
          <t>9113 · COMERCIO GENERAL</t>
        </is>
      </c>
      <c r="W961" s="12" t="n"/>
      <c r="X961" s="12" t="n"/>
    </row>
    <row r="962" ht="15" customHeight="1">
      <c r="C962" t="inlineStr">
        <is>
          <t>Actividad económica / giro mercantil</t>
        </is>
      </c>
      <c r="D962" t="inlineStr">
        <is>
          <t>F12</t>
        </is>
      </c>
      <c r="E962" t="inlineStr">
        <is>
          <t>INHERENTE</t>
        </is>
      </c>
      <c r="F962" t="inlineStr">
        <is>
          <t>COMPRAVENTA DE PETROLEO COMBUSTIBLE</t>
        </is>
      </c>
      <c r="G962" t="n">
        <v>6514013</v>
      </c>
      <c r="H962" t="n">
        <v>5</v>
      </c>
      <c r="I962" t="n">
        <v>5</v>
      </c>
      <c r="J962" t="n">
        <v>8</v>
      </c>
      <c r="K962" t="n">
        <v>40</v>
      </c>
      <c r="L962" t="n">
        <v>40</v>
      </c>
      <c r="M962" t="n">
        <v>40</v>
      </c>
      <c r="N962" t="n">
        <v>40</v>
      </c>
      <c r="O962" t="n">
        <v>40</v>
      </c>
      <c r="P962" t="n">
        <v>8</v>
      </c>
      <c r="Q962" t="inlineStr">
        <is>
          <t>DETERMINANTE</t>
        </is>
      </c>
      <c r="R962" s="9" t="n">
        <v>0.08</v>
      </c>
      <c r="S962" s="10" t="inlineStr">
        <is>
          <t>SÍ — integrante</t>
        </is>
      </c>
      <c r="T962" s="11" t="inlineStr">
        <is>
          <t>B · INTEGRANTE</t>
        </is>
      </c>
      <c r="U962" s="11" t="inlineStr">
        <is>
          <t>DEL BANCO (se hereda)</t>
        </is>
      </c>
      <c r="V962" s="11" t="inlineStr">
        <is>
          <t>9151 · SECTOR PRIMARIO (agropecuario, pesca, forestal, minería)</t>
        </is>
      </c>
      <c r="W962" s="12" t="n"/>
      <c r="X962" s="12" t="n"/>
    </row>
    <row r="963" ht="15" customHeight="1">
      <c r="C963" t="inlineStr">
        <is>
          <t>Actividad económica / giro mercantil</t>
        </is>
      </c>
      <c r="D963" t="inlineStr">
        <is>
          <t>F12</t>
        </is>
      </c>
      <c r="E963" t="inlineStr">
        <is>
          <t>INHERENTE</t>
        </is>
      </c>
      <c r="F963" t="inlineStr">
        <is>
          <t>COMPRAVENTA DE LUBRICANTES</t>
        </is>
      </c>
      <c r="G963" t="n">
        <v>6515011</v>
      </c>
      <c r="H963" t="n">
        <v>2</v>
      </c>
      <c r="I963" t="n">
        <v>2</v>
      </c>
      <c r="J963" t="n">
        <v>8</v>
      </c>
      <c r="K963" t="n">
        <v>16</v>
      </c>
      <c r="L963" t="n">
        <v>16</v>
      </c>
      <c r="M963" t="n">
        <v>16</v>
      </c>
      <c r="N963" t="n">
        <v>16</v>
      </c>
      <c r="O963" t="n">
        <v>40</v>
      </c>
      <c r="P963" t="n">
        <v>8</v>
      </c>
      <c r="R963" s="9" t="n">
        <v>0.08</v>
      </c>
      <c r="S963" s="10" t="inlineStr">
        <is>
          <t>SÍ — integrante</t>
        </is>
      </c>
      <c r="T963" s="11" t="inlineStr">
        <is>
          <t>B · INTEGRANTE</t>
        </is>
      </c>
      <c r="U963" s="11" t="inlineStr">
        <is>
          <t>DEL BANCO (se hereda)</t>
        </is>
      </c>
      <c r="V963" s="11" t="inlineStr">
        <is>
          <t>9113 · COMERCIO GENERAL</t>
        </is>
      </c>
      <c r="W963" s="12" t="n"/>
      <c r="X963" s="12" t="n"/>
    </row>
    <row r="964" ht="15" customHeight="1">
      <c r="C964" t="inlineStr">
        <is>
          <t>Actividad económica / giro mercantil</t>
        </is>
      </c>
      <c r="D964" t="inlineStr">
        <is>
          <t>F12</t>
        </is>
      </c>
      <c r="E964" t="inlineStr">
        <is>
          <t>INHERENTE</t>
        </is>
      </c>
      <c r="F964" t="inlineStr">
        <is>
          <t>COMPRAVENTA DE CARBON Y OTROS COMBUSTIBLES</t>
        </is>
      </c>
      <c r="G964" t="n">
        <v>6519013</v>
      </c>
      <c r="H964" t="n">
        <v>2</v>
      </c>
      <c r="I964" t="n">
        <v>2</v>
      </c>
      <c r="J964" t="n">
        <v>8</v>
      </c>
      <c r="K964" t="n">
        <v>16</v>
      </c>
      <c r="L964" t="n">
        <v>16</v>
      </c>
      <c r="M964" t="n">
        <v>16</v>
      </c>
      <c r="N964" t="n">
        <v>16</v>
      </c>
      <c r="O964" t="n">
        <v>40</v>
      </c>
      <c r="P964" t="n">
        <v>8</v>
      </c>
      <c r="R964" s="9" t="n">
        <v>0.08</v>
      </c>
      <c r="S964" s="10" t="inlineStr">
        <is>
          <t>SÍ — integrante</t>
        </is>
      </c>
      <c r="T964" s="11" t="inlineStr">
        <is>
          <t>B · INTEGRANTE</t>
        </is>
      </c>
      <c r="U964" s="11" t="inlineStr">
        <is>
          <t>DEL BANCO (se hereda)</t>
        </is>
      </c>
      <c r="V964" s="11" t="inlineStr">
        <is>
          <t>9113 · COMERCIO GENERAL</t>
        </is>
      </c>
      <c r="W964" s="12" t="n"/>
      <c r="X964" s="12" t="n"/>
    </row>
    <row r="965" ht="15" customHeight="1">
      <c r="C965" t="inlineStr">
        <is>
          <t>Actividad económica / giro mercantil</t>
        </is>
      </c>
      <c r="D965" t="inlineStr">
        <is>
          <t>F12</t>
        </is>
      </c>
      <c r="E965" t="inlineStr">
        <is>
          <t>INHERENTE</t>
        </is>
      </c>
      <c r="F965" t="inlineStr">
        <is>
          <t>COMPRAVENTA DE MATERIAS PRIMAS, MATERIALES Y AUXILIARES (ALGODÓN, CEMENTO, SANITARIOS, PIELES, FERRETERIA, MADERA, PINTURAS)</t>
        </is>
      </c>
      <c r="G965" t="n">
        <v>6600002</v>
      </c>
      <c r="H965" t="n">
        <v>2</v>
      </c>
      <c r="I965" t="n">
        <v>2</v>
      </c>
      <c r="J965" t="n">
        <v>8</v>
      </c>
      <c r="K965" t="n">
        <v>16</v>
      </c>
      <c r="L965" t="n">
        <v>16</v>
      </c>
      <c r="M965" t="n">
        <v>16</v>
      </c>
      <c r="N965" t="n">
        <v>16</v>
      </c>
      <c r="O965" t="n">
        <v>40</v>
      </c>
      <c r="P965" t="n">
        <v>8</v>
      </c>
      <c r="R965" s="9" t="n">
        <v>0.08</v>
      </c>
      <c r="S965" s="10" t="inlineStr">
        <is>
          <t>SÍ — integrante</t>
        </is>
      </c>
      <c r="T965" s="11" t="inlineStr">
        <is>
          <t>B · INTEGRANTE</t>
        </is>
      </c>
      <c r="U965" s="11" t="inlineStr">
        <is>
          <t>DEL BANCO (se hereda)</t>
        </is>
      </c>
      <c r="V965" s="11" t="inlineStr">
        <is>
          <t>9151 · SECTOR PRIMARIO (agropecuario, pesca, forestal, minería)</t>
        </is>
      </c>
      <c r="W965" s="12" t="n"/>
      <c r="X965" s="12" t="n"/>
    </row>
    <row r="966" ht="15" customHeight="1">
      <c r="C966" t="inlineStr">
        <is>
          <t>Actividad económica / giro mercantil</t>
        </is>
      </c>
      <c r="D966" t="inlineStr">
        <is>
          <t>F12</t>
        </is>
      </c>
      <c r="E966" t="inlineStr">
        <is>
          <t>INHERENTE</t>
        </is>
      </c>
      <c r="F966" t="inlineStr">
        <is>
          <t>COMPRAVENTA DE ALGODON</t>
        </is>
      </c>
      <c r="G966" t="n">
        <v>6611017</v>
      </c>
      <c r="H966" t="n">
        <v>2</v>
      </c>
      <c r="I966" t="n">
        <v>2</v>
      </c>
      <c r="J966" t="n">
        <v>8</v>
      </c>
      <c r="K966" t="n">
        <v>16</v>
      </c>
      <c r="L966" t="n">
        <v>16</v>
      </c>
      <c r="M966" t="n">
        <v>16</v>
      </c>
      <c r="N966" t="n">
        <v>16</v>
      </c>
      <c r="O966" t="n">
        <v>40</v>
      </c>
      <c r="P966" t="n">
        <v>8</v>
      </c>
      <c r="R966" s="9" t="n">
        <v>0.08</v>
      </c>
      <c r="S966" s="10" t="inlineStr">
        <is>
          <t>SÍ — integrante</t>
        </is>
      </c>
      <c r="T966" s="11" t="inlineStr">
        <is>
          <t>B · INTEGRANTE</t>
        </is>
      </c>
      <c r="U966" s="11" t="inlineStr">
        <is>
          <t>DEL BANCO (se hereda)</t>
        </is>
      </c>
      <c r="V966" s="11" t="inlineStr">
        <is>
          <t>9152 · INDUSTRIA Y MANUFACTURA</t>
        </is>
      </c>
      <c r="W966" s="12" t="n"/>
      <c r="X966" s="12" t="n"/>
    </row>
    <row r="967" ht="15" customHeight="1">
      <c r="C967" t="inlineStr">
        <is>
          <t>Actividad económica / giro mercantil</t>
        </is>
      </c>
      <c r="D967" t="inlineStr">
        <is>
          <t>F12</t>
        </is>
      </c>
      <c r="E967" t="inlineStr">
        <is>
          <t>INHERENTE</t>
        </is>
      </c>
      <c r="F967" t="inlineStr">
        <is>
          <t>COMPRAVENTA DE SEMILLAS PARA SIEMBRA</t>
        </is>
      </c>
      <c r="G967" t="n">
        <v>6612015</v>
      </c>
      <c r="H967" t="n">
        <v>2</v>
      </c>
      <c r="I967" t="n">
        <v>2</v>
      </c>
      <c r="J967" t="n">
        <v>8</v>
      </c>
      <c r="K967" t="n">
        <v>16</v>
      </c>
      <c r="L967" t="n">
        <v>16</v>
      </c>
      <c r="M967" t="n">
        <v>16</v>
      </c>
      <c r="N967" t="n">
        <v>16</v>
      </c>
      <c r="O967" t="n">
        <v>40</v>
      </c>
      <c r="P967" t="n">
        <v>8</v>
      </c>
      <c r="R967" s="9" t="n">
        <v>0.08</v>
      </c>
      <c r="S967" s="10" t="inlineStr">
        <is>
          <t>SÍ — integrante</t>
        </is>
      </c>
      <c r="T967" s="11" t="inlineStr">
        <is>
          <t>B · INTEGRANTE</t>
        </is>
      </c>
      <c r="U967" s="11" t="inlineStr">
        <is>
          <t>DEL BANCO (se hereda)</t>
        </is>
      </c>
      <c r="V967" s="11" t="inlineStr">
        <is>
          <t>9151 · SECTOR PRIMARIO (agropecuario, pesca, forestal, minería)</t>
        </is>
      </c>
      <c r="W967" s="12" t="n"/>
      <c r="X967" s="12" t="n"/>
    </row>
    <row r="968" ht="15" customHeight="1">
      <c r="C968" t="inlineStr">
        <is>
          <t>Actividad económica / giro mercantil</t>
        </is>
      </c>
      <c r="D968" t="inlineStr">
        <is>
          <t>F12</t>
        </is>
      </c>
      <c r="E968" t="inlineStr">
        <is>
          <t>INHERENTE</t>
        </is>
      </c>
      <c r="F968" t="inlineStr">
        <is>
          <t>COMPRAVENTA DE CUEROS Y PIELES SIN CURTIR</t>
        </is>
      </c>
      <c r="G968" t="n">
        <v>6613013</v>
      </c>
      <c r="H968" t="n">
        <v>2</v>
      </c>
      <c r="I968" t="n">
        <v>2</v>
      </c>
      <c r="J968" t="n">
        <v>8</v>
      </c>
      <c r="K968" t="n">
        <v>16</v>
      </c>
      <c r="L968" t="n">
        <v>16</v>
      </c>
      <c r="M968" t="n">
        <v>16</v>
      </c>
      <c r="N968" t="n">
        <v>16</v>
      </c>
      <c r="O968" t="n">
        <v>40</v>
      </c>
      <c r="P968" t="n">
        <v>8</v>
      </c>
      <c r="R968" s="9" t="n">
        <v>0.08</v>
      </c>
      <c r="S968" s="10" t="inlineStr">
        <is>
          <t>SÍ — integrante</t>
        </is>
      </c>
      <c r="T968" s="11" t="inlineStr">
        <is>
          <t>B · INTEGRANTE</t>
        </is>
      </c>
      <c r="U968" s="11" t="inlineStr">
        <is>
          <t>DEL BANCO (se hereda)</t>
        </is>
      </c>
      <c r="V968" s="11" t="inlineStr">
        <is>
          <t>9113 · COMERCIO GENERAL</t>
        </is>
      </c>
      <c r="W968" s="12" t="n"/>
      <c r="X968" s="12" t="n"/>
    </row>
    <row r="969" ht="15" customHeight="1">
      <c r="C969" t="inlineStr">
        <is>
          <t>Actividad económica / giro mercantil</t>
        </is>
      </c>
      <c r="D969" t="inlineStr">
        <is>
          <t>F12</t>
        </is>
      </c>
      <c r="E969" t="inlineStr">
        <is>
          <t>INHERENTE</t>
        </is>
      </c>
      <c r="F969" t="inlineStr">
        <is>
          <t>COMPRAVENTA DE HENEQUEN E IXTLE</t>
        </is>
      </c>
      <c r="G969" t="n">
        <v>6619011</v>
      </c>
      <c r="H969" t="n">
        <v>2</v>
      </c>
      <c r="I969" t="n">
        <v>2</v>
      </c>
      <c r="J969" t="n">
        <v>8</v>
      </c>
      <c r="K969" t="n">
        <v>16</v>
      </c>
      <c r="L969" t="n">
        <v>16</v>
      </c>
      <c r="M969" t="n">
        <v>16</v>
      </c>
      <c r="N969" t="n">
        <v>16</v>
      </c>
      <c r="O969" t="n">
        <v>40</v>
      </c>
      <c r="P969" t="n">
        <v>8</v>
      </c>
      <c r="R969" s="9" t="n">
        <v>0.08</v>
      </c>
      <c r="S969" s="10" t="inlineStr">
        <is>
          <t>SÍ — integrante</t>
        </is>
      </c>
      <c r="T969" s="11" t="inlineStr">
        <is>
          <t>B · INTEGRANTE</t>
        </is>
      </c>
      <c r="U969" s="11" t="inlineStr">
        <is>
          <t>DEL BANCO (se hereda)</t>
        </is>
      </c>
      <c r="V969" s="11" t="inlineStr">
        <is>
          <t>9113 · COMERCIO GENERAL</t>
        </is>
      </c>
      <c r="W969" s="12" t="n"/>
      <c r="X969" s="12" t="n"/>
    </row>
    <row r="970" ht="15" customHeight="1">
      <c r="C970" t="inlineStr">
        <is>
          <t>Actividad económica / giro mercantil</t>
        </is>
      </c>
      <c r="D970" t="inlineStr">
        <is>
          <t>F12</t>
        </is>
      </c>
      <c r="E970" t="inlineStr">
        <is>
          <t>INHERENTE</t>
        </is>
      </c>
      <c r="F970" t="inlineStr">
        <is>
          <t>COMPRAVENTA DE LANA</t>
        </is>
      </c>
      <c r="G970" t="n">
        <v>6619029</v>
      </c>
      <c r="H970" t="n">
        <v>2</v>
      </c>
      <c r="I970" t="n">
        <v>2</v>
      </c>
      <c r="J970" t="n">
        <v>8</v>
      </c>
      <c r="K970" t="n">
        <v>16</v>
      </c>
      <c r="L970" t="n">
        <v>16</v>
      </c>
      <c r="M970" t="n">
        <v>16</v>
      </c>
      <c r="N970" t="n">
        <v>16</v>
      </c>
      <c r="O970" t="n">
        <v>40</v>
      </c>
      <c r="P970" t="n">
        <v>8</v>
      </c>
      <c r="R970" s="9" t="n">
        <v>0.08</v>
      </c>
      <c r="S970" s="10" t="inlineStr">
        <is>
          <t>SÍ — integrante</t>
        </is>
      </c>
      <c r="T970" s="11" t="inlineStr">
        <is>
          <t>B · INTEGRANTE</t>
        </is>
      </c>
      <c r="U970" s="11" t="inlineStr">
        <is>
          <t>DEL BANCO (se hereda)</t>
        </is>
      </c>
      <c r="V970" s="11" t="inlineStr">
        <is>
          <t>9113 · COMERCIO GENERAL</t>
        </is>
      </c>
      <c r="W970" s="12" t="n"/>
      <c r="X970" s="12" t="n"/>
    </row>
    <row r="971" ht="15" customHeight="1">
      <c r="C971" t="inlineStr">
        <is>
          <t>Actividad económica / giro mercantil</t>
        </is>
      </c>
      <c r="D971" t="inlineStr">
        <is>
          <t>F12</t>
        </is>
      </c>
      <c r="E971" t="inlineStr">
        <is>
          <t>INHERENTE</t>
        </is>
      </c>
      <c r="F971" t="inlineStr">
        <is>
          <t>COMPRAVENTA DE OTRAS MATERIAS PRIMAS VEGETALES</t>
        </is>
      </c>
      <c r="G971" t="n">
        <v>6619037</v>
      </c>
      <c r="H971" t="n">
        <v>2</v>
      </c>
      <c r="I971" t="n">
        <v>2</v>
      </c>
      <c r="J971" t="n">
        <v>8</v>
      </c>
      <c r="K971" t="n">
        <v>16</v>
      </c>
      <c r="L971" t="n">
        <v>16</v>
      </c>
      <c r="M971" t="n">
        <v>16</v>
      </c>
      <c r="N971" t="n">
        <v>16</v>
      </c>
      <c r="O971" t="n">
        <v>40</v>
      </c>
      <c r="P971" t="n">
        <v>8</v>
      </c>
      <c r="R971" s="9" t="n">
        <v>0.08</v>
      </c>
      <c r="S971" s="10" t="inlineStr">
        <is>
          <t>SÍ — integrante</t>
        </is>
      </c>
      <c r="T971" s="11" t="inlineStr">
        <is>
          <t>B · INTEGRANTE</t>
        </is>
      </c>
      <c r="U971" s="11" t="inlineStr">
        <is>
          <t>DEL BANCO (se hereda)</t>
        </is>
      </c>
      <c r="V971" s="11" t="inlineStr">
        <is>
          <t>9113 · COMERCIO GENERAL</t>
        </is>
      </c>
      <c r="W971" s="12" t="n"/>
      <c r="X971" s="12" t="n"/>
    </row>
    <row r="972" ht="15" customHeight="1">
      <c r="C972" t="inlineStr">
        <is>
          <t>Actividad económica / giro mercantil</t>
        </is>
      </c>
      <c r="D972" t="inlineStr">
        <is>
          <t>F12</t>
        </is>
      </c>
      <c r="E972" t="inlineStr">
        <is>
          <t>INHERENTE</t>
        </is>
      </c>
      <c r="F972" t="inlineStr">
        <is>
          <t>COMPRAVENTA DE OTRAS FIBRAS COMERCIALES</t>
        </is>
      </c>
      <c r="G972" t="n">
        <v>6619045</v>
      </c>
      <c r="H972" t="n">
        <v>2</v>
      </c>
      <c r="I972" t="n">
        <v>2</v>
      </c>
      <c r="J972" t="n">
        <v>8</v>
      </c>
      <c r="K972" t="n">
        <v>16</v>
      </c>
      <c r="L972" t="n">
        <v>16</v>
      </c>
      <c r="M972" t="n">
        <v>16</v>
      </c>
      <c r="N972" t="n">
        <v>16</v>
      </c>
      <c r="O972" t="n">
        <v>40</v>
      </c>
      <c r="P972" t="n">
        <v>8</v>
      </c>
      <c r="R972" s="9" t="n">
        <v>0.08</v>
      </c>
      <c r="S972" s="10" t="inlineStr">
        <is>
          <t>SÍ — integrante</t>
        </is>
      </c>
      <c r="T972" s="11" t="inlineStr">
        <is>
          <t>B · INTEGRANTE</t>
        </is>
      </c>
      <c r="U972" s="11" t="inlineStr">
        <is>
          <t>DEL BANCO (se hereda)</t>
        </is>
      </c>
      <c r="V972" s="11" t="inlineStr">
        <is>
          <t>9113 · COMERCIO GENERAL</t>
        </is>
      </c>
      <c r="W972" s="12" t="n"/>
      <c r="X972" s="12" t="n"/>
    </row>
    <row r="973" ht="15" customHeight="1">
      <c r="C973" t="inlineStr">
        <is>
          <t>Actividad económica / giro mercantil</t>
        </is>
      </c>
      <c r="D973" t="inlineStr">
        <is>
          <t>F12</t>
        </is>
      </c>
      <c r="E973" t="inlineStr">
        <is>
          <t>INHERENTE</t>
        </is>
      </c>
      <c r="F973" t="inlineStr">
        <is>
          <t>COMPRAVENTA DE OTRAS MATERIAS PRIMAS DE ORIGEN ANIMAL</t>
        </is>
      </c>
      <c r="G973" t="n">
        <v>6619053</v>
      </c>
      <c r="H973" t="n">
        <v>2</v>
      </c>
      <c r="I973" t="n">
        <v>2</v>
      </c>
      <c r="J973" t="n">
        <v>8</v>
      </c>
      <c r="K973" t="n">
        <v>16</v>
      </c>
      <c r="L973" t="n">
        <v>16</v>
      </c>
      <c r="M973" t="n">
        <v>16</v>
      </c>
      <c r="N973" t="n">
        <v>16</v>
      </c>
      <c r="O973" t="n">
        <v>40</v>
      </c>
      <c r="P973" t="n">
        <v>8</v>
      </c>
      <c r="R973" s="9" t="n">
        <v>0.08</v>
      </c>
      <c r="S973" s="10" t="inlineStr">
        <is>
          <t>SÍ — integrante</t>
        </is>
      </c>
      <c r="T973" s="11" t="inlineStr">
        <is>
          <t>B · INTEGRANTE</t>
        </is>
      </c>
      <c r="U973" s="11" t="inlineStr">
        <is>
          <t>DEL BANCO (se hereda)</t>
        </is>
      </c>
      <c r="V973" s="11" t="inlineStr">
        <is>
          <t>9113 · COMERCIO GENERAL</t>
        </is>
      </c>
      <c r="W973" s="12" t="n"/>
      <c r="X973" s="12" t="n"/>
    </row>
    <row r="974" ht="15" customHeight="1">
      <c r="C974" t="inlineStr">
        <is>
          <t>Actividad económica / giro mercantil</t>
        </is>
      </c>
      <c r="D974" t="inlineStr">
        <is>
          <t>F12</t>
        </is>
      </c>
      <c r="E974" t="inlineStr">
        <is>
          <t>INHERENTE</t>
        </is>
      </c>
      <c r="F974" t="inlineStr">
        <is>
          <t>COMPRAVENTA DE CEMENTO CAL YESO Y OTROS PRODUCTOS A BASE DE MINERALES NO METALICOS</t>
        </is>
      </c>
      <c r="G974" t="n">
        <v>6621016</v>
      </c>
      <c r="H974" t="n">
        <v>2</v>
      </c>
      <c r="I974" t="n">
        <v>2</v>
      </c>
      <c r="J974" t="n">
        <v>8</v>
      </c>
      <c r="K974" t="n">
        <v>16</v>
      </c>
      <c r="L974" t="n">
        <v>16</v>
      </c>
      <c r="M974" t="n">
        <v>16</v>
      </c>
      <c r="N974" t="n">
        <v>16</v>
      </c>
      <c r="O974" t="n">
        <v>40</v>
      </c>
      <c r="P974" t="n">
        <v>8</v>
      </c>
      <c r="R974" s="9" t="n">
        <v>0.08</v>
      </c>
      <c r="S974" s="10" t="inlineStr">
        <is>
          <t>SÍ — integrante</t>
        </is>
      </c>
      <c r="T974" s="11" t="inlineStr">
        <is>
          <t>B · INTEGRANTE</t>
        </is>
      </c>
      <c r="U974" s="11" t="inlineStr">
        <is>
          <t>DEL BANCO (se hereda)</t>
        </is>
      </c>
      <c r="V974" s="11" t="inlineStr">
        <is>
          <t>9151 · SECTOR PRIMARIO (agropecuario, pesca, forestal, minería)</t>
        </is>
      </c>
      <c r="W974" s="12" t="n"/>
      <c r="X974" s="12" t="n"/>
    </row>
    <row r="975" ht="15" customHeight="1">
      <c r="C975" t="inlineStr">
        <is>
          <t>Actividad económica / giro mercantil</t>
        </is>
      </c>
      <c r="D975" t="inlineStr">
        <is>
          <t>F12</t>
        </is>
      </c>
      <c r="E975" t="inlineStr">
        <is>
          <t>INHERENTE</t>
        </is>
      </c>
      <c r="F975" t="inlineStr">
        <is>
          <t>COMPRAVENTA DE FIERRO LAMINADO Y EN LINGOTES</t>
        </is>
      </c>
      <c r="G975" t="n">
        <v>6622014</v>
      </c>
      <c r="H975" t="n">
        <v>2</v>
      </c>
      <c r="I975" t="n">
        <v>2</v>
      </c>
      <c r="J975" t="n">
        <v>8</v>
      </c>
      <c r="K975" t="n">
        <v>16</v>
      </c>
      <c r="L975" t="n">
        <v>16</v>
      </c>
      <c r="M975" t="n">
        <v>16</v>
      </c>
      <c r="N975" t="n">
        <v>16</v>
      </c>
      <c r="O975" t="n">
        <v>40</v>
      </c>
      <c r="P975" t="n">
        <v>8</v>
      </c>
      <c r="R975" s="9" t="n">
        <v>0.08</v>
      </c>
      <c r="S975" s="10" t="inlineStr">
        <is>
          <t>SÍ — integrante</t>
        </is>
      </c>
      <c r="T975" s="11" t="inlineStr">
        <is>
          <t>B · INTEGRANTE</t>
        </is>
      </c>
      <c r="U975" s="11" t="inlineStr">
        <is>
          <t>DEL BANCO (se hereda)</t>
        </is>
      </c>
      <c r="V975" s="11" t="inlineStr">
        <is>
          <t>9151 · SECTOR PRIMARIO (agropecuario, pesca, forestal, minería)</t>
        </is>
      </c>
      <c r="W975" s="12" t="n"/>
      <c r="X975" s="12" t="n"/>
    </row>
    <row r="976" ht="15" customHeight="1">
      <c r="C976" t="inlineStr">
        <is>
          <t>Actividad económica / giro mercantil</t>
        </is>
      </c>
      <c r="D976" t="inlineStr">
        <is>
          <t>F12</t>
        </is>
      </c>
      <c r="E976" t="inlineStr">
        <is>
          <t>INHERENTE</t>
        </is>
      </c>
      <c r="F976" t="inlineStr">
        <is>
          <t>COMPRAVENTA DE ARTICULOS DE FERRETERIA</t>
        </is>
      </c>
      <c r="G976" t="n">
        <v>6622022</v>
      </c>
      <c r="H976" t="n">
        <v>2</v>
      </c>
      <c r="I976" t="n">
        <v>2</v>
      </c>
      <c r="J976" t="n">
        <v>8</v>
      </c>
      <c r="K976" t="n">
        <v>16</v>
      </c>
      <c r="L976" t="n">
        <v>16</v>
      </c>
      <c r="M976" t="n">
        <v>16</v>
      </c>
      <c r="N976" t="n">
        <v>16</v>
      </c>
      <c r="O976" t="n">
        <v>40</v>
      </c>
      <c r="P976" t="n">
        <v>8</v>
      </c>
      <c r="R976" s="9" t="n">
        <v>0.08</v>
      </c>
      <c r="S976" s="10" t="inlineStr">
        <is>
          <t>SÍ — integrante</t>
        </is>
      </c>
      <c r="T976" s="11" t="inlineStr">
        <is>
          <t>B · INTEGRANTE</t>
        </is>
      </c>
      <c r="U976" s="11" t="inlineStr">
        <is>
          <t>DEL BANCO (se hereda)</t>
        </is>
      </c>
      <c r="V976" s="11" t="inlineStr">
        <is>
          <t>9113 · COMERCIO GENERAL</t>
        </is>
      </c>
      <c r="W976" s="12" t="n"/>
      <c r="X976" s="12" t="n"/>
    </row>
    <row r="977" ht="15" customHeight="1">
      <c r="C977" t="inlineStr">
        <is>
          <t>Actividad económica / giro mercantil</t>
        </is>
      </c>
      <c r="D977" t="inlineStr">
        <is>
          <t>F12</t>
        </is>
      </c>
      <c r="E977" t="inlineStr">
        <is>
          <t>INHERENTE</t>
        </is>
      </c>
      <c r="F977" t="inlineStr">
        <is>
          <t>COMPRAVENTA DE COLORANTES PARA LA INDUSTRIA</t>
        </is>
      </c>
      <c r="G977" t="n">
        <v>6623012</v>
      </c>
      <c r="H977" t="n">
        <v>2</v>
      </c>
      <c r="I977" t="n">
        <v>2</v>
      </c>
      <c r="J977" t="n">
        <v>8</v>
      </c>
      <c r="K977" t="n">
        <v>16</v>
      </c>
      <c r="L977" t="n">
        <v>16</v>
      </c>
      <c r="M977" t="n">
        <v>16</v>
      </c>
      <c r="N977" t="n">
        <v>16</v>
      </c>
      <c r="O977" t="n">
        <v>40</v>
      </c>
      <c r="P977" t="n">
        <v>8</v>
      </c>
      <c r="R977" s="9" t="n">
        <v>0.08</v>
      </c>
      <c r="S977" s="10" t="inlineStr">
        <is>
          <t>SÍ — integrante</t>
        </is>
      </c>
      <c r="T977" s="11" t="inlineStr">
        <is>
          <t>B · INTEGRANTE</t>
        </is>
      </c>
      <c r="U977" s="11" t="inlineStr">
        <is>
          <t>DEL BANCO (se hereda)</t>
        </is>
      </c>
      <c r="V977" s="11" t="inlineStr">
        <is>
          <t>9152 · INDUSTRIA Y MANUFACTURA</t>
        </is>
      </c>
      <c r="W977" s="12" t="n"/>
      <c r="X977" s="12" t="n"/>
    </row>
    <row r="978" ht="15" customHeight="1">
      <c r="C978" t="inlineStr">
        <is>
          <t>Actividad económica / giro mercantil</t>
        </is>
      </c>
      <c r="D978" t="inlineStr">
        <is>
          <t>F12</t>
        </is>
      </c>
      <c r="E978" t="inlineStr">
        <is>
          <t>INHERENTE</t>
        </is>
      </c>
      <c r="F978" t="inlineStr">
        <is>
          <t>COMPRAVENTA DE PINTURAS BARNICES Y BROCHAS</t>
        </is>
      </c>
      <c r="G978" t="n">
        <v>6623020</v>
      </c>
      <c r="H978" t="n">
        <v>2</v>
      </c>
      <c r="I978" t="n">
        <v>2</v>
      </c>
      <c r="J978" t="n">
        <v>8</v>
      </c>
      <c r="K978" t="n">
        <v>16</v>
      </c>
      <c r="L978" t="n">
        <v>16</v>
      </c>
      <c r="M978" t="n">
        <v>16</v>
      </c>
      <c r="N978" t="n">
        <v>16</v>
      </c>
      <c r="O978" t="n">
        <v>40</v>
      </c>
      <c r="P978" t="n">
        <v>8</v>
      </c>
      <c r="R978" s="9" t="n">
        <v>0.08</v>
      </c>
      <c r="S978" s="10" t="inlineStr">
        <is>
          <t>SÍ — integrante</t>
        </is>
      </c>
      <c r="T978" s="11" t="inlineStr">
        <is>
          <t>B · INTEGRANTE</t>
        </is>
      </c>
      <c r="U978" s="11" t="inlineStr">
        <is>
          <t>DEL BANCO (se hereda)</t>
        </is>
      </c>
      <c r="V978" s="11" t="inlineStr">
        <is>
          <t>9113 · COMERCIO GENERAL</t>
        </is>
      </c>
      <c r="W978" s="12" t="n"/>
      <c r="X978" s="12" t="n"/>
    </row>
    <row r="979" ht="15" customHeight="1">
      <c r="C979" t="inlineStr">
        <is>
          <t>Actividad económica / giro mercantil</t>
        </is>
      </c>
      <c r="D979" t="inlineStr">
        <is>
          <t>F12</t>
        </is>
      </c>
      <c r="E979" t="inlineStr">
        <is>
          <t>INHERENTE</t>
        </is>
      </c>
      <c r="F979" t="inlineStr">
        <is>
          <t>COMPRAVENTA DE MADERA</t>
        </is>
      </c>
      <c r="G979" t="n">
        <v>6624010</v>
      </c>
      <c r="H979" t="n">
        <v>2</v>
      </c>
      <c r="I979" t="n">
        <v>2</v>
      </c>
      <c r="J979" t="n">
        <v>8</v>
      </c>
      <c r="K979" t="n">
        <v>16</v>
      </c>
      <c r="L979" t="n">
        <v>16</v>
      </c>
      <c r="M979" t="n">
        <v>16</v>
      </c>
      <c r="N979" t="n">
        <v>16</v>
      </c>
      <c r="O979" t="n">
        <v>40</v>
      </c>
      <c r="P979" t="n">
        <v>8</v>
      </c>
      <c r="R979" s="9" t="n">
        <v>0.08</v>
      </c>
      <c r="S979" s="10" t="inlineStr">
        <is>
          <t>SÍ — integrante</t>
        </is>
      </c>
      <c r="T979" s="11" t="inlineStr">
        <is>
          <t>B · INTEGRANTE</t>
        </is>
      </c>
      <c r="U979" s="11" t="inlineStr">
        <is>
          <t>DEL BANCO (se hereda)</t>
        </is>
      </c>
      <c r="V979" s="11" t="inlineStr">
        <is>
          <t>9151 · SECTOR PRIMARIO (agropecuario, pesca, forestal, minería)</t>
        </is>
      </c>
      <c r="W979" s="12" t="n"/>
      <c r="X979" s="12" t="n"/>
    </row>
    <row r="980" ht="15" customHeight="1">
      <c r="C980" t="inlineStr">
        <is>
          <t>Actividad económica / giro mercantil</t>
        </is>
      </c>
      <c r="D980" t="inlineStr">
        <is>
          <t>F12</t>
        </is>
      </c>
      <c r="E980" t="inlineStr">
        <is>
          <t>INHERENTE</t>
        </is>
      </c>
      <c r="F980" t="inlineStr">
        <is>
          <t>COMPRAVENTA DE VIDRIOS CRISTALES Y EMPLOMADOS</t>
        </is>
      </c>
      <c r="G980" t="n">
        <v>6625018</v>
      </c>
      <c r="H980" t="n">
        <v>2</v>
      </c>
      <c r="I980" t="n">
        <v>2</v>
      </c>
      <c r="J980" t="n">
        <v>8</v>
      </c>
      <c r="K980" t="n">
        <v>16</v>
      </c>
      <c r="L980" t="n">
        <v>16</v>
      </c>
      <c r="M980" t="n">
        <v>16</v>
      </c>
      <c r="N980" t="n">
        <v>16</v>
      </c>
      <c r="O980" t="n">
        <v>40</v>
      </c>
      <c r="P980" t="n">
        <v>8</v>
      </c>
      <c r="R980" s="9" t="n">
        <v>0.08</v>
      </c>
      <c r="S980" s="10" t="inlineStr">
        <is>
          <t>SÍ — integrante</t>
        </is>
      </c>
      <c r="T980" s="11" t="inlineStr">
        <is>
          <t>B · INTEGRANTE</t>
        </is>
      </c>
      <c r="U980" s="11" t="inlineStr">
        <is>
          <t>DEL BANCO (se hereda)</t>
        </is>
      </c>
      <c r="V980" s="11" t="inlineStr">
        <is>
          <t>9113 · COMERCIO GENERAL</t>
        </is>
      </c>
      <c r="W980" s="12" t="n"/>
      <c r="X980" s="12" t="n"/>
    </row>
    <row r="981" ht="15" customHeight="1">
      <c r="C981" t="inlineStr">
        <is>
          <t>Actividad económica / giro mercantil</t>
        </is>
      </c>
      <c r="D981" t="inlineStr">
        <is>
          <t>F12</t>
        </is>
      </c>
      <c r="E981" t="inlineStr">
        <is>
          <t>INHERENTE</t>
        </is>
      </c>
      <c r="F981" t="inlineStr">
        <is>
          <t>COMPRAVENTA DE ANILINAS</t>
        </is>
      </c>
      <c r="G981" t="n">
        <v>6626016</v>
      </c>
      <c r="H981" t="n">
        <v>2</v>
      </c>
      <c r="I981" t="n">
        <v>2</v>
      </c>
      <c r="J981" t="n">
        <v>8</v>
      </c>
      <c r="K981" t="n">
        <v>16</v>
      </c>
      <c r="L981" t="n">
        <v>16</v>
      </c>
      <c r="M981" t="n">
        <v>16</v>
      </c>
      <c r="N981" t="n">
        <v>16</v>
      </c>
      <c r="O981" t="n">
        <v>40</v>
      </c>
      <c r="P981" t="n">
        <v>8</v>
      </c>
      <c r="R981" s="9" t="n">
        <v>0.08</v>
      </c>
      <c r="S981" s="10" t="inlineStr">
        <is>
          <t>SÍ — integrante</t>
        </is>
      </c>
      <c r="T981" s="11" t="inlineStr">
        <is>
          <t>B · INTEGRANTE</t>
        </is>
      </c>
      <c r="U981" s="11" t="inlineStr">
        <is>
          <t>DEL BANCO (se hereda)</t>
        </is>
      </c>
      <c r="V981" s="11" t="inlineStr">
        <is>
          <t>9113 · COMERCIO GENERAL</t>
        </is>
      </c>
      <c r="W981" s="12" t="n"/>
      <c r="X981" s="12" t="n"/>
    </row>
    <row r="982" ht="15" customHeight="1">
      <c r="C982" t="inlineStr">
        <is>
          <t>Actividad económica / giro mercantil</t>
        </is>
      </c>
      <c r="D982" t="inlineStr">
        <is>
          <t>F12</t>
        </is>
      </c>
      <c r="E982" t="inlineStr">
        <is>
          <t>INHERENTE</t>
        </is>
      </c>
      <c r="F982" t="inlineStr">
        <is>
          <t>COMPRAVENTA DE ARTICULOS DE TLAPALERIA</t>
        </is>
      </c>
      <c r="G982" t="n">
        <v>6626024</v>
      </c>
      <c r="H982" t="n">
        <v>2</v>
      </c>
      <c r="I982" t="n">
        <v>2</v>
      </c>
      <c r="J982" t="n">
        <v>8</v>
      </c>
      <c r="K982" t="n">
        <v>16</v>
      </c>
      <c r="L982" t="n">
        <v>16</v>
      </c>
      <c r="M982" t="n">
        <v>16</v>
      </c>
      <c r="N982" t="n">
        <v>16</v>
      </c>
      <c r="O982" t="n">
        <v>40</v>
      </c>
      <c r="P982" t="n">
        <v>8</v>
      </c>
      <c r="R982" s="9" t="n">
        <v>0.08</v>
      </c>
      <c r="S982" s="10" t="inlineStr">
        <is>
          <t>SÍ — integrante</t>
        </is>
      </c>
      <c r="T982" s="11" t="inlineStr">
        <is>
          <t>B · INTEGRANTE</t>
        </is>
      </c>
      <c r="U982" s="11" t="inlineStr">
        <is>
          <t>DEL BANCO (se hereda)</t>
        </is>
      </c>
      <c r="V982" s="11" t="inlineStr">
        <is>
          <t>9113 · COMERCIO GENERAL</t>
        </is>
      </c>
      <c r="W982" s="12" t="n"/>
      <c r="X982" s="12" t="n"/>
    </row>
    <row r="983" ht="15" customHeight="1">
      <c r="C983" t="inlineStr">
        <is>
          <t>Actividad económica / giro mercantil</t>
        </is>
      </c>
      <c r="D983" t="inlineStr">
        <is>
          <t>F12</t>
        </is>
      </c>
      <c r="E983" t="inlineStr">
        <is>
          <t>INHERENTE</t>
        </is>
      </c>
      <c r="F983" t="inlineStr">
        <is>
          <t>COMPRAVENTA DE COSTALES Y BOLSAS</t>
        </is>
      </c>
      <c r="G983" t="n">
        <v>6626032</v>
      </c>
      <c r="H983" t="n">
        <v>2</v>
      </c>
      <c r="I983" t="n">
        <v>2</v>
      </c>
      <c r="J983" t="n">
        <v>8</v>
      </c>
      <c r="K983" t="n">
        <v>16</v>
      </c>
      <c r="L983" t="n">
        <v>16</v>
      </c>
      <c r="M983" t="n">
        <v>16</v>
      </c>
      <c r="N983" t="n">
        <v>16</v>
      </c>
      <c r="O983" t="n">
        <v>40</v>
      </c>
      <c r="P983" t="n">
        <v>8</v>
      </c>
      <c r="R983" s="9" t="n">
        <v>0.08</v>
      </c>
      <c r="S983" s="10" t="inlineStr">
        <is>
          <t>SÍ — integrante</t>
        </is>
      </c>
      <c r="T983" s="11" t="inlineStr">
        <is>
          <t>B · INTEGRANTE</t>
        </is>
      </c>
      <c r="U983" s="11" t="inlineStr">
        <is>
          <t>DEL BANCO (se hereda)</t>
        </is>
      </c>
      <c r="V983" s="11" t="inlineStr">
        <is>
          <t>9113 · COMERCIO GENERAL</t>
        </is>
      </c>
      <c r="W983" s="12" t="n"/>
      <c r="X983" s="12" t="n"/>
    </row>
    <row r="984" ht="15" customHeight="1">
      <c r="C984" t="inlineStr">
        <is>
          <t>Actividad económica / giro mercantil</t>
        </is>
      </c>
      <c r="D984" t="inlineStr">
        <is>
          <t>F12</t>
        </is>
      </c>
      <c r="E984" t="inlineStr">
        <is>
          <t>INHERENTE</t>
        </is>
      </c>
      <c r="F984" t="inlineStr">
        <is>
          <t>COMPRA DE ARTICULOS SANITARIOS</t>
        </is>
      </c>
      <c r="G984" t="n">
        <v>6627014</v>
      </c>
      <c r="H984" t="n">
        <v>2</v>
      </c>
      <c r="I984" t="n">
        <v>2</v>
      </c>
      <c r="J984" t="n">
        <v>8</v>
      </c>
      <c r="K984" t="n">
        <v>16</v>
      </c>
      <c r="L984" t="n">
        <v>16</v>
      </c>
      <c r="M984" t="n">
        <v>16</v>
      </c>
      <c r="N984" t="n">
        <v>16</v>
      </c>
      <c r="O984" t="n">
        <v>40</v>
      </c>
      <c r="P984" t="n">
        <v>8</v>
      </c>
      <c r="R984" s="9" t="n">
        <v>0.08</v>
      </c>
      <c r="S984" s="10" t="inlineStr">
        <is>
          <t>SÍ — integrante</t>
        </is>
      </c>
      <c r="T984" s="11" t="inlineStr">
        <is>
          <t>B · INTEGRANTE</t>
        </is>
      </c>
      <c r="U984" s="11" t="inlineStr">
        <is>
          <t>DEL BANCO (se hereda)</t>
        </is>
      </c>
      <c r="V984" s="11" t="inlineStr">
        <is>
          <t>9113 · COMERCIO GENERAL</t>
        </is>
      </c>
      <c r="W984" s="12" t="n"/>
      <c r="X984" s="12" t="n"/>
    </row>
    <row r="985" ht="15" customHeight="1">
      <c r="C985" t="inlineStr">
        <is>
          <t>Actividad económica / giro mercantil</t>
        </is>
      </c>
      <c r="D985" t="inlineStr">
        <is>
          <t>F12</t>
        </is>
      </c>
      <c r="E985" t="inlineStr">
        <is>
          <t>INHERENTE</t>
        </is>
      </c>
      <c r="F985" t="inlineStr">
        <is>
          <t>COMPRAVENTA DE MATERIAL PARA INSTALACIONES ELECTRICAS Y DE SONIDO</t>
        </is>
      </c>
      <c r="G985" t="n">
        <v>6628012</v>
      </c>
      <c r="H985" t="n">
        <v>2</v>
      </c>
      <c r="I985" t="n">
        <v>2</v>
      </c>
      <c r="J985" t="n">
        <v>8</v>
      </c>
      <c r="K985" t="n">
        <v>16</v>
      </c>
      <c r="L985" t="n">
        <v>16</v>
      </c>
      <c r="M985" t="n">
        <v>16</v>
      </c>
      <c r="N985" t="n">
        <v>16</v>
      </c>
      <c r="O985" t="n">
        <v>40</v>
      </c>
      <c r="P985" t="n">
        <v>8</v>
      </c>
      <c r="R985" s="9" t="n">
        <v>0.08</v>
      </c>
      <c r="S985" s="10" t="inlineStr">
        <is>
          <t>SÍ — integrante</t>
        </is>
      </c>
      <c r="T985" s="11" t="inlineStr">
        <is>
          <t>B · INTEGRANTE</t>
        </is>
      </c>
      <c r="U985" s="11" t="inlineStr">
        <is>
          <t>DEL BANCO (se hereda)</t>
        </is>
      </c>
      <c r="V985" s="11" t="inlineStr">
        <is>
          <t>9113 · COMERCIO GENERAL</t>
        </is>
      </c>
      <c r="W985" s="12" t="n"/>
      <c r="X985" s="12" t="n"/>
    </row>
    <row r="986" ht="15" customHeight="1">
      <c r="C986" t="inlineStr">
        <is>
          <t>Actividad económica / giro mercantil</t>
        </is>
      </c>
      <c r="D986" t="inlineStr">
        <is>
          <t>F12</t>
        </is>
      </c>
      <c r="E986" t="inlineStr">
        <is>
          <t>INHERENTE</t>
        </is>
      </c>
      <c r="F986" t="inlineStr">
        <is>
          <t>COMPRAVENTA DE MATERIALES PARA CONSTRUCCION</t>
        </is>
      </c>
      <c r="G986" t="n">
        <v>6629010</v>
      </c>
      <c r="H986" t="n">
        <v>2</v>
      </c>
      <c r="I986" t="n">
        <v>2</v>
      </c>
      <c r="J986" t="n">
        <v>8</v>
      </c>
      <c r="K986" t="n">
        <v>16</v>
      </c>
      <c r="L986" t="n">
        <v>16</v>
      </c>
      <c r="M986" t="n">
        <v>16</v>
      </c>
      <c r="N986" t="n">
        <v>16</v>
      </c>
      <c r="O986" t="n">
        <v>40</v>
      </c>
      <c r="P986" t="n">
        <v>8</v>
      </c>
      <c r="R986" s="9" t="n">
        <v>0.08</v>
      </c>
      <c r="S986" s="10" t="inlineStr">
        <is>
          <t>SÍ — integrante</t>
        </is>
      </c>
      <c r="T986" s="11" t="inlineStr">
        <is>
          <t>B · INTEGRANTE</t>
        </is>
      </c>
      <c r="U986" s="11" t="inlineStr">
        <is>
          <t>DEL BANCO (se hereda)</t>
        </is>
      </c>
      <c r="V986" s="11" t="inlineStr">
        <is>
          <t>9117 · INMOBILIARIO / CONSTRUCCIÓN</t>
        </is>
      </c>
      <c r="W986" s="12" t="n"/>
      <c r="X986" s="12" t="n"/>
    </row>
    <row r="987" ht="15" customHeight="1">
      <c r="C987" t="inlineStr">
        <is>
          <t>Actividad económica / giro mercantil</t>
        </is>
      </c>
      <c r="D987" t="inlineStr">
        <is>
          <t>F12</t>
        </is>
      </c>
      <c r="E987" t="inlineStr">
        <is>
          <t>INHERENTE</t>
        </is>
      </c>
      <c r="F987" t="inlineStr">
        <is>
          <t>COMPRAVENTA DE TAPICES</t>
        </is>
      </c>
      <c r="G987" t="n">
        <v>6629028</v>
      </c>
      <c r="H987" t="n">
        <v>2</v>
      </c>
      <c r="I987" t="n">
        <v>2</v>
      </c>
      <c r="J987" t="n">
        <v>8</v>
      </c>
      <c r="K987" t="n">
        <v>16</v>
      </c>
      <c r="L987" t="n">
        <v>16</v>
      </c>
      <c r="M987" t="n">
        <v>16</v>
      </c>
      <c r="N987" t="n">
        <v>16</v>
      </c>
      <c r="O987" t="n">
        <v>40</v>
      </c>
      <c r="P987" t="n">
        <v>8</v>
      </c>
      <c r="R987" s="9" t="n">
        <v>0.08</v>
      </c>
      <c r="S987" s="10" t="inlineStr">
        <is>
          <t>SÍ — integrante</t>
        </is>
      </c>
      <c r="T987" s="11" t="inlineStr">
        <is>
          <t>B · INTEGRANTE</t>
        </is>
      </c>
      <c r="U987" s="11" t="inlineStr">
        <is>
          <t>DEL BANCO (se hereda)</t>
        </is>
      </c>
      <c r="V987" s="11" t="inlineStr">
        <is>
          <t>9113 · COMERCIO GENERAL</t>
        </is>
      </c>
      <c r="W987" s="12" t="n"/>
      <c r="X987" s="12" t="n"/>
    </row>
    <row r="988" ht="15" customHeight="1">
      <c r="C988" t="inlineStr">
        <is>
          <t>Actividad económica / giro mercantil</t>
        </is>
      </c>
      <c r="D988" t="inlineStr">
        <is>
          <t>F12</t>
        </is>
      </c>
      <c r="E988" t="inlineStr">
        <is>
          <t>INHERENTE</t>
        </is>
      </c>
      <c r="F988" t="inlineStr">
        <is>
          <t>COMPRAVENTA DE FERTILIZANTES Y PLAGUICIDAS</t>
        </is>
      </c>
      <c r="G988" t="n">
        <v>6691019</v>
      </c>
      <c r="H988" t="n">
        <v>2</v>
      </c>
      <c r="I988" t="n">
        <v>2</v>
      </c>
      <c r="J988" t="n">
        <v>8</v>
      </c>
      <c r="K988" t="n">
        <v>16</v>
      </c>
      <c r="L988" t="n">
        <v>16</v>
      </c>
      <c r="M988" t="n">
        <v>16</v>
      </c>
      <c r="N988" t="n">
        <v>16</v>
      </c>
      <c r="O988" t="n">
        <v>40</v>
      </c>
      <c r="P988" t="n">
        <v>8</v>
      </c>
      <c r="R988" s="9" t="n">
        <v>0.08</v>
      </c>
      <c r="S988" s="10" t="inlineStr">
        <is>
          <t>SÍ — integrante</t>
        </is>
      </c>
      <c r="T988" s="11" t="inlineStr">
        <is>
          <t>B · INTEGRANTE</t>
        </is>
      </c>
      <c r="U988" s="11" t="inlineStr">
        <is>
          <t>DEL BANCO (se hereda)</t>
        </is>
      </c>
      <c r="V988" s="11" t="inlineStr">
        <is>
          <t>9113 · COMERCIO GENERAL</t>
        </is>
      </c>
      <c r="W988" s="12" t="n"/>
      <c r="X988" s="12" t="n"/>
    </row>
    <row r="989" ht="15" customHeight="1">
      <c r="C989" t="inlineStr">
        <is>
          <t>Actividad económica / giro mercantil</t>
        </is>
      </c>
      <c r="D989" t="inlineStr">
        <is>
          <t>F12</t>
        </is>
      </c>
      <c r="E989" t="inlineStr">
        <is>
          <t>INHERENTE</t>
        </is>
      </c>
      <c r="F989" t="inlineStr">
        <is>
          <t>COMPRAVENTA DE ARTICULOS DE PELETERIA</t>
        </is>
      </c>
      <c r="G989" t="n">
        <v>6692017</v>
      </c>
      <c r="H989" t="n">
        <v>2</v>
      </c>
      <c r="I989" t="n">
        <v>2</v>
      </c>
      <c r="J989" t="n">
        <v>8</v>
      </c>
      <c r="K989" t="n">
        <v>16</v>
      </c>
      <c r="L989" t="n">
        <v>16</v>
      </c>
      <c r="M989" t="n">
        <v>16</v>
      </c>
      <c r="N989" t="n">
        <v>16</v>
      </c>
      <c r="O989" t="n">
        <v>40</v>
      </c>
      <c r="P989" t="n">
        <v>8</v>
      </c>
      <c r="R989" s="9" t="n">
        <v>0.08</v>
      </c>
      <c r="S989" s="10" t="inlineStr">
        <is>
          <t>SÍ — integrante</t>
        </is>
      </c>
      <c r="T989" s="11" t="inlineStr">
        <is>
          <t>B · INTEGRANTE</t>
        </is>
      </c>
      <c r="U989" s="11" t="inlineStr">
        <is>
          <t>DEL BANCO (se hereda)</t>
        </is>
      </c>
      <c r="V989" s="11" t="inlineStr">
        <is>
          <t>9113 · COMERCIO GENERAL</t>
        </is>
      </c>
      <c r="W989" s="12" t="n"/>
      <c r="X989" s="12" t="n"/>
    </row>
    <row r="990" ht="15" customHeight="1">
      <c r="C990" t="inlineStr">
        <is>
          <t>Actividad económica / giro mercantil</t>
        </is>
      </c>
      <c r="D990" t="inlineStr">
        <is>
          <t>F12</t>
        </is>
      </c>
      <c r="E990" t="inlineStr">
        <is>
          <t>INHERENTE</t>
        </is>
      </c>
      <c r="F990" t="inlineStr">
        <is>
          <t>COMPRAVENTA DE DESPERDICIOS DE PAPEL</t>
        </is>
      </c>
      <c r="G990" t="n">
        <v>6693015</v>
      </c>
      <c r="H990" t="n">
        <v>2</v>
      </c>
      <c r="I990" t="n">
        <v>2</v>
      </c>
      <c r="J990" t="n">
        <v>8</v>
      </c>
      <c r="K990" t="n">
        <v>16</v>
      </c>
      <c r="L990" t="n">
        <v>16</v>
      </c>
      <c r="M990" t="n">
        <v>16</v>
      </c>
      <c r="N990" t="n">
        <v>16</v>
      </c>
      <c r="O990" t="n">
        <v>40</v>
      </c>
      <c r="P990" t="n">
        <v>8</v>
      </c>
      <c r="R990" s="9" t="n">
        <v>0.08</v>
      </c>
      <c r="S990" s="10" t="inlineStr">
        <is>
          <t>SÍ — integrante</t>
        </is>
      </c>
      <c r="T990" s="11" t="inlineStr">
        <is>
          <t>B · INTEGRANTE</t>
        </is>
      </c>
      <c r="U990" s="11" t="inlineStr">
        <is>
          <t>DEL BANCO (se hereda)</t>
        </is>
      </c>
      <c r="V990" s="11" t="inlineStr">
        <is>
          <t>9113 · COMERCIO GENERAL</t>
        </is>
      </c>
      <c r="W990" s="12" t="n"/>
      <c r="X990" s="12" t="n"/>
    </row>
    <row r="991" ht="15" customHeight="1">
      <c r="C991" t="inlineStr">
        <is>
          <t>Actividad económica / giro mercantil</t>
        </is>
      </c>
      <c r="D991" t="inlineStr">
        <is>
          <t>F12</t>
        </is>
      </c>
      <c r="E991" t="inlineStr">
        <is>
          <t>INHERENTE</t>
        </is>
      </c>
      <c r="F991" t="inlineStr">
        <is>
          <t>COMPRAVENTA DE FIERRO USADO</t>
        </is>
      </c>
      <c r="G991" t="n">
        <v>6694013</v>
      </c>
      <c r="H991" t="n">
        <v>2</v>
      </c>
      <c r="I991" t="n">
        <v>2</v>
      </c>
      <c r="J991" t="n">
        <v>8</v>
      </c>
      <c r="K991" t="n">
        <v>16</v>
      </c>
      <c r="L991" t="n">
        <v>16</v>
      </c>
      <c r="M991" t="n">
        <v>16</v>
      </c>
      <c r="N991" t="n">
        <v>16</v>
      </c>
      <c r="O991" t="n">
        <v>40</v>
      </c>
      <c r="P991" t="n">
        <v>8</v>
      </c>
      <c r="R991" s="9" t="n">
        <v>0.08</v>
      </c>
      <c r="S991" s="10" t="inlineStr">
        <is>
          <t>SÍ — integrante</t>
        </is>
      </c>
      <c r="T991" s="11" t="inlineStr">
        <is>
          <t>B · INTEGRANTE</t>
        </is>
      </c>
      <c r="U991" s="11" t="inlineStr">
        <is>
          <t>DEL BANCO (se hereda)</t>
        </is>
      </c>
      <c r="V991" s="11" t="inlineStr">
        <is>
          <t>9113 · COMERCIO GENERAL</t>
        </is>
      </c>
      <c r="W991" s="12" t="n"/>
      <c r="X991" s="12" t="n"/>
    </row>
    <row r="992" ht="15" customHeight="1">
      <c r="C992" t="inlineStr">
        <is>
          <t>Actividad económica / giro mercantil</t>
        </is>
      </c>
      <c r="D992" t="inlineStr">
        <is>
          <t>F12</t>
        </is>
      </c>
      <c r="E992" t="inlineStr">
        <is>
          <t>INHERENTE</t>
        </is>
      </c>
      <c r="F992" t="inlineStr">
        <is>
          <t>COMPRAVENTA DE SUBSTANCIAS QUIMICAS PARA LA INDUSTRIA</t>
        </is>
      </c>
      <c r="G992" t="n">
        <v>6695011</v>
      </c>
      <c r="H992" t="n">
        <v>5</v>
      </c>
      <c r="I992" t="n">
        <v>5</v>
      </c>
      <c r="J992" t="n">
        <v>8</v>
      </c>
      <c r="K992" t="n">
        <v>40</v>
      </c>
      <c r="L992" t="n">
        <v>40</v>
      </c>
      <c r="M992" t="n">
        <v>40</v>
      </c>
      <c r="N992" t="n">
        <v>40</v>
      </c>
      <c r="O992" t="n">
        <v>40</v>
      </c>
      <c r="P992" t="n">
        <v>8</v>
      </c>
      <c r="R992" s="9" t="n">
        <v>0.08</v>
      </c>
      <c r="S992" s="10" t="inlineStr">
        <is>
          <t>SÍ — integrante</t>
        </is>
      </c>
      <c r="T992" s="11" t="inlineStr">
        <is>
          <t>B · INTEGRANTE</t>
        </is>
      </c>
      <c r="U992" s="11" t="inlineStr">
        <is>
          <t>DEL BANCO (se hereda)</t>
        </is>
      </c>
      <c r="V992" s="11" t="inlineStr">
        <is>
          <t>9152 · INDUSTRIA Y MANUFACTURA</t>
        </is>
      </c>
      <c r="W992" s="12" t="n"/>
      <c r="X992" s="12" t="n"/>
    </row>
    <row r="993" ht="15" customHeight="1">
      <c r="C993" t="inlineStr">
        <is>
          <t>Actividad económica / giro mercantil</t>
        </is>
      </c>
      <c r="D993" t="inlineStr">
        <is>
          <t>F12</t>
        </is>
      </c>
      <c r="E993" t="inlineStr">
        <is>
          <t>INHERENTE</t>
        </is>
      </c>
      <c r="F993" t="inlineStr">
        <is>
          <t>COMPRAVENTA DE CERAS Y PARAFINAS</t>
        </is>
      </c>
      <c r="G993" t="n">
        <v>6699013</v>
      </c>
      <c r="H993" t="n">
        <v>2</v>
      </c>
      <c r="I993" t="n">
        <v>2</v>
      </c>
      <c r="J993" t="n">
        <v>8</v>
      </c>
      <c r="K993" t="n">
        <v>16</v>
      </c>
      <c r="L993" t="n">
        <v>16</v>
      </c>
      <c r="M993" t="n">
        <v>16</v>
      </c>
      <c r="N993" t="n">
        <v>16</v>
      </c>
      <c r="O993" t="n">
        <v>40</v>
      </c>
      <c r="P993" t="n">
        <v>8</v>
      </c>
      <c r="R993" s="9" t="n">
        <v>0.08</v>
      </c>
      <c r="S993" s="10" t="inlineStr">
        <is>
          <t>SÍ — integrante</t>
        </is>
      </c>
      <c r="T993" s="11" t="inlineStr">
        <is>
          <t>B · INTEGRANTE</t>
        </is>
      </c>
      <c r="U993" s="11" t="inlineStr">
        <is>
          <t>DEL BANCO (se hereda)</t>
        </is>
      </c>
      <c r="V993" s="11" t="inlineStr">
        <is>
          <t>9113 · COMERCIO GENERAL</t>
        </is>
      </c>
      <c r="W993" s="12" t="n"/>
      <c r="X993" s="12" t="n"/>
    </row>
    <row r="994" ht="15" customHeight="1">
      <c r="C994" t="inlineStr">
        <is>
          <t>Actividad económica / giro mercantil</t>
        </is>
      </c>
      <c r="D994" t="inlineStr">
        <is>
          <t>F12</t>
        </is>
      </c>
      <c r="E994" t="inlineStr">
        <is>
          <t>INHERENTE</t>
        </is>
      </c>
      <c r="F994" t="inlineStr">
        <is>
          <t>COMPRAVENTA DE DESPERDICIOS INDUSTRIALES</t>
        </is>
      </c>
      <c r="G994" t="n">
        <v>6699021</v>
      </c>
      <c r="H994" t="n">
        <v>2</v>
      </c>
      <c r="I994" t="n">
        <v>2</v>
      </c>
      <c r="J994" t="n">
        <v>8</v>
      </c>
      <c r="K994" t="n">
        <v>16</v>
      </c>
      <c r="L994" t="n">
        <v>16</v>
      </c>
      <c r="M994" t="n">
        <v>16</v>
      </c>
      <c r="N994" t="n">
        <v>16</v>
      </c>
      <c r="O994" t="n">
        <v>40</v>
      </c>
      <c r="P994" t="n">
        <v>8</v>
      </c>
      <c r="R994" s="9" t="n">
        <v>0.08</v>
      </c>
      <c r="S994" s="10" t="inlineStr">
        <is>
          <t>SÍ — integrante</t>
        </is>
      </c>
      <c r="T994" s="11" t="inlineStr">
        <is>
          <t>B · INTEGRANTE</t>
        </is>
      </c>
      <c r="U994" s="11" t="inlineStr">
        <is>
          <t>DEL BANCO (se hereda)</t>
        </is>
      </c>
      <c r="V994" s="11" t="inlineStr">
        <is>
          <t>9152 · INDUSTRIA Y MANUFACTURA</t>
        </is>
      </c>
      <c r="W994" s="12" t="n"/>
      <c r="X994" s="12" t="n"/>
    </row>
    <row r="995" ht="15" customHeight="1">
      <c r="C995" t="inlineStr">
        <is>
          <t>Actividad económica / giro mercantil</t>
        </is>
      </c>
      <c r="D995" t="inlineStr">
        <is>
          <t>F12</t>
        </is>
      </c>
      <c r="E995" t="inlineStr">
        <is>
          <t>INHERENTE</t>
        </is>
      </c>
      <c r="F995" t="inlineStr">
        <is>
          <t>COMPRAVENTA DE MATERIAS PRIMAS DE ORIGEN MINERAL</t>
        </is>
      </c>
      <c r="G995" t="n">
        <v>6699039</v>
      </c>
      <c r="H995" t="n">
        <v>2</v>
      </c>
      <c r="I995" t="n">
        <v>2</v>
      </c>
      <c r="J995" t="n">
        <v>8</v>
      </c>
      <c r="K995" t="n">
        <v>16</v>
      </c>
      <c r="L995" t="n">
        <v>16</v>
      </c>
      <c r="M995" t="n">
        <v>16</v>
      </c>
      <c r="N995" t="n">
        <v>16</v>
      </c>
      <c r="O995" t="n">
        <v>40</v>
      </c>
      <c r="P995" t="n">
        <v>8</v>
      </c>
      <c r="R995" s="9" t="n">
        <v>0.08</v>
      </c>
      <c r="S995" s="10" t="inlineStr">
        <is>
          <t>SÍ — integrante</t>
        </is>
      </c>
      <c r="T995" s="11" t="inlineStr">
        <is>
          <t>B · INTEGRANTE</t>
        </is>
      </c>
      <c r="U995" s="11" t="inlineStr">
        <is>
          <t>DEL BANCO (se hereda)</t>
        </is>
      </c>
      <c r="V995" s="11" t="inlineStr">
        <is>
          <t>9151 · SECTOR PRIMARIO (agropecuario, pesca, forestal, minería)</t>
        </is>
      </c>
      <c r="W995" s="12" t="n"/>
      <c r="X995" s="12" t="n"/>
    </row>
    <row r="996" ht="15" customHeight="1">
      <c r="C996" t="inlineStr">
        <is>
          <t>Actividad económica / giro mercantil</t>
        </is>
      </c>
      <c r="D996" t="inlineStr">
        <is>
          <t>F12</t>
        </is>
      </c>
      <c r="E996" t="inlineStr">
        <is>
          <t>INHERENTE</t>
        </is>
      </c>
      <c r="F996" t="inlineStr">
        <is>
          <t>COMPRAVENTA DE OTROS METALES Y MINERALES LAMINADOS Y EN LINGOTES</t>
        </is>
      </c>
      <c r="G996" t="n">
        <v>6699047</v>
      </c>
      <c r="H996" t="n">
        <v>2</v>
      </c>
      <c r="I996" t="n">
        <v>2</v>
      </c>
      <c r="J996" t="n">
        <v>8</v>
      </c>
      <c r="K996" t="n">
        <v>16</v>
      </c>
      <c r="L996" t="n">
        <v>16</v>
      </c>
      <c r="M996" t="n">
        <v>16</v>
      </c>
      <c r="N996" t="n">
        <v>16</v>
      </c>
      <c r="O996" t="n">
        <v>40</v>
      </c>
      <c r="P996" t="n">
        <v>8</v>
      </c>
      <c r="R996" s="9" t="n">
        <v>0.08</v>
      </c>
      <c r="S996" s="10" t="inlineStr">
        <is>
          <t>SÍ — integrante</t>
        </is>
      </c>
      <c r="T996" s="11" t="inlineStr">
        <is>
          <t>B · INTEGRANTE</t>
        </is>
      </c>
      <c r="U996" s="11" t="inlineStr">
        <is>
          <t>DEL BANCO (se hereda)</t>
        </is>
      </c>
      <c r="V996" s="11" t="inlineStr">
        <is>
          <t>9151 · SECTOR PRIMARIO (agropecuario, pesca, forestal, minería)</t>
        </is>
      </c>
      <c r="W996" s="12" t="n"/>
      <c r="X996" s="12" t="n"/>
    </row>
    <row r="997" ht="15" customHeight="1">
      <c r="C997" t="inlineStr">
        <is>
          <t>Actividad económica / giro mercantil</t>
        </is>
      </c>
      <c r="D997" t="inlineStr">
        <is>
          <t>F12</t>
        </is>
      </c>
      <c r="E997" t="inlineStr">
        <is>
          <t>INHERENTE</t>
        </is>
      </c>
      <c r="F997" t="inlineStr">
        <is>
          <t>COMPRAVENTA DE MAQUINARIA, EQUIPO, INSTRUMENTOS, APARATOS Y HERRAMIENTAS, SUS REFACCIONES Y ACCESORIOS</t>
        </is>
      </c>
      <c r="G997" t="n">
        <v>6700000</v>
      </c>
      <c r="H997" t="n">
        <v>2</v>
      </c>
      <c r="I997" t="n">
        <v>2</v>
      </c>
      <c r="J997" t="n">
        <v>8</v>
      </c>
      <c r="K997" t="n">
        <v>16</v>
      </c>
      <c r="L997" t="n">
        <v>16</v>
      </c>
      <c r="M997" t="n">
        <v>16</v>
      </c>
      <c r="N997" t="n">
        <v>16</v>
      </c>
      <c r="O997" t="n">
        <v>40</v>
      </c>
      <c r="P997" t="n">
        <v>8</v>
      </c>
      <c r="R997" s="9" t="n">
        <v>0.08</v>
      </c>
      <c r="S997" s="10" t="inlineStr">
        <is>
          <t>SÍ — integrante</t>
        </is>
      </c>
      <c r="T997" s="11" t="inlineStr">
        <is>
          <t>B · INTEGRANTE</t>
        </is>
      </c>
      <c r="U997" s="11" t="inlineStr">
        <is>
          <t>DEL BANCO (se hereda)</t>
        </is>
      </c>
      <c r="V997" s="11" t="inlineStr">
        <is>
          <t>9113 · COMERCIO GENERAL</t>
        </is>
      </c>
      <c r="W997" s="12" t="n"/>
      <c r="X997" s="12" t="n"/>
    </row>
    <row r="998" ht="15" customHeight="1">
      <c r="C998" t="inlineStr">
        <is>
          <t>Actividad económica / giro mercantil</t>
        </is>
      </c>
      <c r="D998" t="inlineStr">
        <is>
          <t>F12</t>
        </is>
      </c>
      <c r="E998" t="inlineStr">
        <is>
          <t>INHERENTE</t>
        </is>
      </c>
      <c r="F998" t="inlineStr">
        <is>
          <t>COMPRAVENTA DE MAQUINARIA EQUIPO E IMPLEMENTOS PARA LA AGRICULTURA Y LA GANADERIA</t>
        </is>
      </c>
      <c r="G998" t="n">
        <v>6711015</v>
      </c>
      <c r="H998" t="n">
        <v>2</v>
      </c>
      <c r="I998" t="n">
        <v>2</v>
      </c>
      <c r="J998" t="n">
        <v>8</v>
      </c>
      <c r="K998" t="n">
        <v>16</v>
      </c>
      <c r="L998" t="n">
        <v>16</v>
      </c>
      <c r="M998" t="n">
        <v>16</v>
      </c>
      <c r="N998" t="n">
        <v>16</v>
      </c>
      <c r="O998" t="n">
        <v>40</v>
      </c>
      <c r="P998" t="n">
        <v>8</v>
      </c>
      <c r="R998" s="9" t="n">
        <v>0.08</v>
      </c>
      <c r="S998" s="10" t="inlineStr">
        <is>
          <t>SÍ — integrante</t>
        </is>
      </c>
      <c r="T998" s="11" t="inlineStr">
        <is>
          <t>B · INTEGRANTE</t>
        </is>
      </c>
      <c r="U998" s="11" t="inlineStr">
        <is>
          <t>DEL BANCO (se hereda)</t>
        </is>
      </c>
      <c r="V998" s="11" t="inlineStr">
        <is>
          <t>9151 · SECTOR PRIMARIO (agropecuario, pesca, forestal, minería)</t>
        </is>
      </c>
      <c r="W998" s="12" t="n"/>
      <c r="X998" s="12" t="n"/>
    </row>
    <row r="999" ht="15" customHeight="1">
      <c r="C999" t="inlineStr">
        <is>
          <t>Actividad económica / giro mercantil</t>
        </is>
      </c>
      <c r="D999" t="inlineStr">
        <is>
          <t>F12</t>
        </is>
      </c>
      <c r="E999" t="inlineStr">
        <is>
          <t>INHERENTE</t>
        </is>
      </c>
      <c r="F999" t="inlineStr">
        <is>
          <t>COMPRAVENTA DE ARTICULOS PARA LA EXPLOTACION DE MINAS</t>
        </is>
      </c>
      <c r="G999" t="n">
        <v>6712013</v>
      </c>
      <c r="H999" t="n">
        <v>2</v>
      </c>
      <c r="I999" t="n">
        <v>2</v>
      </c>
      <c r="J999" t="n">
        <v>8</v>
      </c>
      <c r="K999" t="n">
        <v>16</v>
      </c>
      <c r="L999" t="n">
        <v>16</v>
      </c>
      <c r="M999" t="n">
        <v>16</v>
      </c>
      <c r="N999" t="n">
        <v>16</v>
      </c>
      <c r="O999" t="n">
        <v>40</v>
      </c>
      <c r="P999" t="n">
        <v>8</v>
      </c>
      <c r="R999" s="9" t="n">
        <v>0.08</v>
      </c>
      <c r="S999" s="10" t="inlineStr">
        <is>
          <t>SÍ — integrante</t>
        </is>
      </c>
      <c r="T999" s="11" t="inlineStr">
        <is>
          <t>B · INTEGRANTE</t>
        </is>
      </c>
      <c r="U999" s="11" t="inlineStr">
        <is>
          <t>DEL BANCO (se hereda)</t>
        </is>
      </c>
      <c r="V999" s="11" t="inlineStr">
        <is>
          <t>9151 · SECTOR PRIMARIO (agropecuario, pesca, forestal, minería)</t>
        </is>
      </c>
      <c r="W999" s="12" t="n"/>
      <c r="X999" s="12" t="n"/>
    </row>
    <row r="1000" ht="15" customHeight="1">
      <c r="C1000" t="inlineStr">
        <is>
          <t>Actividad económica / giro mercantil</t>
        </is>
      </c>
      <c r="D1000" t="inlineStr">
        <is>
          <t>F12</t>
        </is>
      </c>
      <c r="E1000" t="inlineStr">
        <is>
          <t>INHERENTE</t>
        </is>
      </c>
      <c r="F1000" t="inlineStr">
        <is>
          <t>COMPRAVENTA DE MAQUINARIA EQUIPO IMPLEMENTOS Y HERRAMIENTAS PARA TRABAJAR LA MADERA METALES Y OTROS MATERIALES</t>
        </is>
      </c>
      <c r="G1000" t="n">
        <v>6713011</v>
      </c>
      <c r="H1000" t="n">
        <v>2</v>
      </c>
      <c r="I1000" t="n">
        <v>2</v>
      </c>
      <c r="J1000" t="n">
        <v>8</v>
      </c>
      <c r="K1000" t="n">
        <v>16</v>
      </c>
      <c r="L1000" t="n">
        <v>16</v>
      </c>
      <c r="M1000" t="n">
        <v>16</v>
      </c>
      <c r="N1000" t="n">
        <v>16</v>
      </c>
      <c r="O1000" t="n">
        <v>40</v>
      </c>
      <c r="P1000" t="n">
        <v>8</v>
      </c>
      <c r="R1000" s="9" t="n">
        <v>0.08</v>
      </c>
      <c r="S1000" s="10" t="inlineStr">
        <is>
          <t>SÍ — integrante</t>
        </is>
      </c>
      <c r="T1000" s="11" t="inlineStr">
        <is>
          <t>B · INTEGRANTE</t>
        </is>
      </c>
      <c r="U1000" s="11" t="inlineStr">
        <is>
          <t>DEL BANCO (se hereda)</t>
        </is>
      </c>
      <c r="V1000" s="11" t="inlineStr">
        <is>
          <t>9151 · SECTOR PRIMARIO (agropecuario, pesca, forestal, minería)</t>
        </is>
      </c>
      <c r="W1000" s="12" t="n"/>
      <c r="X1000" s="12" t="n"/>
    </row>
    <row r="1001" ht="15" customHeight="1">
      <c r="C1001" t="inlineStr">
        <is>
          <t>Actividad económica / giro mercantil</t>
        </is>
      </c>
      <c r="D1001" t="inlineStr">
        <is>
          <t>F12</t>
        </is>
      </c>
      <c r="E1001" t="inlineStr">
        <is>
          <t>INHERENTE</t>
        </is>
      </c>
      <c r="F1001" t="inlineStr">
        <is>
          <t>COMPRAVENTA DE MAQUINARIA NUEVA</t>
        </is>
      </c>
      <c r="G1001" t="n">
        <v>6714019</v>
      </c>
      <c r="H1001" t="n">
        <v>2</v>
      </c>
      <c r="I1001" t="n">
        <v>2</v>
      </c>
      <c r="J1001" t="n">
        <v>8</v>
      </c>
      <c r="K1001" t="n">
        <v>16</v>
      </c>
      <c r="L1001" t="n">
        <v>16</v>
      </c>
      <c r="M1001" t="n">
        <v>16</v>
      </c>
      <c r="N1001" t="n">
        <v>16</v>
      </c>
      <c r="O1001" t="n">
        <v>40</v>
      </c>
      <c r="P1001" t="n">
        <v>8</v>
      </c>
      <c r="R1001" s="9" t="n">
        <v>0.08</v>
      </c>
      <c r="S1001" s="10" t="inlineStr">
        <is>
          <t>SÍ — integrante</t>
        </is>
      </c>
      <c r="T1001" s="11" t="inlineStr">
        <is>
          <t>B · INTEGRANTE</t>
        </is>
      </c>
      <c r="U1001" s="11" t="inlineStr">
        <is>
          <t>DEL BANCO (se hereda)</t>
        </is>
      </c>
      <c r="V1001" s="11" t="inlineStr">
        <is>
          <t>9113 · COMERCIO GENERAL</t>
        </is>
      </c>
      <c r="W1001" s="12" t="n"/>
      <c r="X1001" s="12" t="n"/>
    </row>
    <row r="1002" ht="15" customHeight="1">
      <c r="C1002" t="inlineStr">
        <is>
          <t>Actividad económica / giro mercantil</t>
        </is>
      </c>
      <c r="D1002" t="inlineStr">
        <is>
          <t>F12</t>
        </is>
      </c>
      <c r="E1002" t="inlineStr">
        <is>
          <t>INHERENTE</t>
        </is>
      </c>
      <c r="F1002" t="inlineStr">
        <is>
          <t>COMPRAVENTA DE MAQUINARIA USADA</t>
        </is>
      </c>
      <c r="G1002" t="n">
        <v>6714027</v>
      </c>
      <c r="H1002" t="n">
        <v>2</v>
      </c>
      <c r="I1002" t="n">
        <v>2</v>
      </c>
      <c r="J1002" t="n">
        <v>8</v>
      </c>
      <c r="K1002" t="n">
        <v>16</v>
      </c>
      <c r="L1002" t="n">
        <v>16</v>
      </c>
      <c r="M1002" t="n">
        <v>16</v>
      </c>
      <c r="N1002" t="n">
        <v>16</v>
      </c>
      <c r="O1002" t="n">
        <v>40</v>
      </c>
      <c r="P1002" t="n">
        <v>8</v>
      </c>
      <c r="R1002" s="9" t="n">
        <v>0.08</v>
      </c>
      <c r="S1002" s="10" t="inlineStr">
        <is>
          <t>SÍ — integrante</t>
        </is>
      </c>
      <c r="T1002" s="11" t="inlineStr">
        <is>
          <t>B · INTEGRANTE</t>
        </is>
      </c>
      <c r="U1002" s="11" t="inlineStr">
        <is>
          <t>DEL BANCO (se hereda)</t>
        </is>
      </c>
      <c r="V1002" s="11" t="inlineStr">
        <is>
          <t>9113 · COMERCIO GENERAL</t>
        </is>
      </c>
      <c r="W1002" s="12" t="n"/>
      <c r="X1002" s="12" t="n"/>
    </row>
    <row r="1003" ht="15" customHeight="1">
      <c r="C1003" t="inlineStr">
        <is>
          <t>Actividad económica / giro mercantil</t>
        </is>
      </c>
      <c r="D1003" t="inlineStr">
        <is>
          <t>F12</t>
        </is>
      </c>
      <c r="E1003" t="inlineStr">
        <is>
          <t>INHERENTE</t>
        </is>
      </c>
      <c r="F1003" t="inlineStr">
        <is>
          <t>COMPRAVENTA DE EQUIPO DE TRABAJO Y PROTECCION INDUSTRIAL</t>
        </is>
      </c>
      <c r="G1003" t="n">
        <v>6714035</v>
      </c>
      <c r="H1003" t="n">
        <v>2</v>
      </c>
      <c r="I1003" t="n">
        <v>2</v>
      </c>
      <c r="J1003" t="n">
        <v>8</v>
      </c>
      <c r="K1003" t="n">
        <v>16</v>
      </c>
      <c r="L1003" t="n">
        <v>16</v>
      </c>
      <c r="M1003" t="n">
        <v>16</v>
      </c>
      <c r="N1003" t="n">
        <v>16</v>
      </c>
      <c r="O1003" t="n">
        <v>40</v>
      </c>
      <c r="P1003" t="n">
        <v>8</v>
      </c>
      <c r="R1003" s="9" t="n">
        <v>0.08</v>
      </c>
      <c r="S1003" s="10" t="inlineStr">
        <is>
          <t>SÍ — integrante</t>
        </is>
      </c>
      <c r="T1003" s="11" t="inlineStr">
        <is>
          <t>B · INTEGRANTE</t>
        </is>
      </c>
      <c r="U1003" s="11" t="inlineStr">
        <is>
          <t>DEL BANCO (se hereda)</t>
        </is>
      </c>
      <c r="V1003" s="11" t="inlineStr">
        <is>
          <t>9152 · INDUSTRIA Y MANUFACTURA</t>
        </is>
      </c>
      <c r="W1003" s="12" t="n"/>
      <c r="X1003" s="12" t="n"/>
    </row>
    <row r="1004" ht="15" customHeight="1">
      <c r="C1004" t="inlineStr">
        <is>
          <t>Actividad económica / giro mercantil</t>
        </is>
      </c>
      <c r="D1004" t="inlineStr">
        <is>
          <t>F12</t>
        </is>
      </c>
      <c r="E1004" t="inlineStr">
        <is>
          <t>INHERENTE</t>
        </is>
      </c>
      <c r="F1004" t="inlineStr">
        <is>
          <t>COMPRAVENTA DE REFACCIONES PARA MAQUINARIA</t>
        </is>
      </c>
      <c r="G1004" t="n">
        <v>6719019</v>
      </c>
      <c r="H1004" t="n">
        <v>2</v>
      </c>
      <c r="I1004" t="n">
        <v>2</v>
      </c>
      <c r="J1004" t="n">
        <v>8</v>
      </c>
      <c r="K1004" t="n">
        <v>16</v>
      </c>
      <c r="L1004" t="n">
        <v>16</v>
      </c>
      <c r="M1004" t="n">
        <v>16</v>
      </c>
      <c r="N1004" t="n">
        <v>16</v>
      </c>
      <c r="O1004" t="n">
        <v>40</v>
      </c>
      <c r="P1004" t="n">
        <v>8</v>
      </c>
      <c r="R1004" s="9" t="n">
        <v>0.08</v>
      </c>
      <c r="S1004" s="10" t="inlineStr">
        <is>
          <t>SÍ — integrante</t>
        </is>
      </c>
      <c r="T1004" s="11" t="inlineStr">
        <is>
          <t>B · INTEGRANTE</t>
        </is>
      </c>
      <c r="U1004" s="11" t="inlineStr">
        <is>
          <t>DEL BANCO (se hereda)</t>
        </is>
      </c>
      <c r="V1004" s="11" t="inlineStr">
        <is>
          <t>9113 · COMERCIO GENERAL</t>
        </is>
      </c>
      <c r="W1004" s="12" t="n"/>
      <c r="X1004" s="12" t="n"/>
    </row>
    <row r="1005" ht="15" customHeight="1">
      <c r="C1005" t="inlineStr">
        <is>
          <t>Actividad económica / giro mercantil</t>
        </is>
      </c>
      <c r="D1005" t="inlineStr">
        <is>
          <t>F12</t>
        </is>
      </c>
      <c r="E1005" t="inlineStr">
        <is>
          <t>INHERENTE</t>
        </is>
      </c>
      <c r="F1005" t="inlineStr">
        <is>
          <t>COMPRAVENTA DE MAQUINAS DE ESCRIBIR</t>
        </is>
      </c>
      <c r="G1005" t="n">
        <v>6721014</v>
      </c>
      <c r="H1005" t="n">
        <v>2</v>
      </c>
      <c r="I1005" t="n">
        <v>2</v>
      </c>
      <c r="J1005" t="n">
        <v>8</v>
      </c>
      <c r="K1005" t="n">
        <v>16</v>
      </c>
      <c r="L1005" t="n">
        <v>16</v>
      </c>
      <c r="M1005" t="n">
        <v>16</v>
      </c>
      <c r="N1005" t="n">
        <v>16</v>
      </c>
      <c r="O1005" t="n">
        <v>40</v>
      </c>
      <c r="P1005" t="n">
        <v>8</v>
      </c>
      <c r="R1005" s="9" t="n">
        <v>0.08</v>
      </c>
      <c r="S1005" s="10" t="inlineStr">
        <is>
          <t>SÍ — integrante</t>
        </is>
      </c>
      <c r="T1005" s="11" t="inlineStr">
        <is>
          <t>B · INTEGRANTE</t>
        </is>
      </c>
      <c r="U1005" s="11" t="inlineStr">
        <is>
          <t>DEL BANCO (se hereda)</t>
        </is>
      </c>
      <c r="V1005" s="11" t="inlineStr">
        <is>
          <t>9113 · COMERCIO GENERAL</t>
        </is>
      </c>
      <c r="W1005" s="12" t="n"/>
      <c r="X1005" s="12" t="n"/>
    </row>
    <row r="1006" ht="15" customHeight="1">
      <c r="C1006" t="inlineStr">
        <is>
          <t>Actividad económica / giro mercantil</t>
        </is>
      </c>
      <c r="D1006" t="inlineStr">
        <is>
          <t>F12</t>
        </is>
      </c>
      <c r="E1006" t="inlineStr">
        <is>
          <t>INHERENTE</t>
        </is>
      </c>
      <c r="F1006" t="inlineStr">
        <is>
          <t>COMPRAVENTA DE MUEBLES Y ARTICULOS PARA OFICINA</t>
        </is>
      </c>
      <c r="G1006" t="n">
        <v>6721022</v>
      </c>
      <c r="H1006" t="n">
        <v>2</v>
      </c>
      <c r="I1006" t="n">
        <v>2</v>
      </c>
      <c r="J1006" t="n">
        <v>8</v>
      </c>
      <c r="K1006" t="n">
        <v>16</v>
      </c>
      <c r="L1006" t="n">
        <v>16</v>
      </c>
      <c r="M1006" t="n">
        <v>16</v>
      </c>
      <c r="N1006" t="n">
        <v>16</v>
      </c>
      <c r="O1006" t="n">
        <v>40</v>
      </c>
      <c r="P1006" t="n">
        <v>8</v>
      </c>
      <c r="R1006" s="9" t="n">
        <v>0.08</v>
      </c>
      <c r="S1006" s="10" t="inlineStr">
        <is>
          <t>SÍ — integrante</t>
        </is>
      </c>
      <c r="T1006" s="11" t="inlineStr">
        <is>
          <t>B · INTEGRANTE</t>
        </is>
      </c>
      <c r="U1006" s="11" t="inlineStr">
        <is>
          <t>DEL BANCO (se hereda)</t>
        </is>
      </c>
      <c r="V1006" s="11" t="inlineStr">
        <is>
          <t>9113 · COMERCIO GENERAL</t>
        </is>
      </c>
      <c r="W1006" s="12" t="n"/>
      <c r="X1006" s="12" t="n"/>
    </row>
    <row r="1007" ht="15" customHeight="1">
      <c r="C1007" t="inlineStr">
        <is>
          <t>Actividad económica / giro mercantil</t>
        </is>
      </c>
      <c r="D1007" t="inlineStr">
        <is>
          <t>F12</t>
        </is>
      </c>
      <c r="E1007" t="inlineStr">
        <is>
          <t>INHERENTE</t>
        </is>
      </c>
      <c r="F1007" t="inlineStr">
        <is>
          <t>COMPRAVENTA DE EQUIPO DE PROCESAMIENTO ELECTRONICO DE DATOS</t>
        </is>
      </c>
      <c r="G1007" t="n">
        <v>6721036</v>
      </c>
      <c r="H1007" t="n">
        <v>2</v>
      </c>
      <c r="I1007" t="n">
        <v>2</v>
      </c>
      <c r="J1007" t="n">
        <v>8</v>
      </c>
      <c r="K1007" t="n">
        <v>16</v>
      </c>
      <c r="L1007" t="n">
        <v>16</v>
      </c>
      <c r="M1007" t="n">
        <v>16</v>
      </c>
      <c r="N1007" t="n">
        <v>16</v>
      </c>
      <c r="O1007" t="n">
        <v>40</v>
      </c>
      <c r="P1007" t="n">
        <v>8</v>
      </c>
      <c r="R1007" s="9" t="n">
        <v>0.08</v>
      </c>
      <c r="S1007" s="10" t="inlineStr">
        <is>
          <t>SÍ — integrante</t>
        </is>
      </c>
      <c r="T1007" s="11" t="inlineStr">
        <is>
          <t>B · INTEGRANTE</t>
        </is>
      </c>
      <c r="U1007" s="11" t="inlineStr">
        <is>
          <t>DEL BANCO (se hereda)</t>
        </is>
      </c>
      <c r="V1007" s="11" t="inlineStr">
        <is>
          <t>9113 · COMERCIO GENERAL</t>
        </is>
      </c>
      <c r="W1007" s="12" t="n"/>
      <c r="X1007" s="12" t="n"/>
    </row>
    <row r="1008" ht="15" customHeight="1">
      <c r="C1008" t="inlineStr">
        <is>
          <t>Actividad económica / giro mercantil</t>
        </is>
      </c>
      <c r="D1008" t="inlineStr">
        <is>
          <t>F12</t>
        </is>
      </c>
      <c r="E1008" t="inlineStr">
        <is>
          <t>INHERENTE</t>
        </is>
      </c>
      <c r="F1008" t="inlineStr">
        <is>
          <t>COMPRAVENTA DE EQUIPO Y MOBILIARIO PARA HOTELES RESTAURANTES BILLARES BOLICHES PELUQUERIAS Y SALONES DE BELLEZA</t>
        </is>
      </c>
      <c r="G1008" t="n">
        <v>6722012</v>
      </c>
      <c r="H1008" t="n">
        <v>2</v>
      </c>
      <c r="I1008" t="n">
        <v>2</v>
      </c>
      <c r="J1008" t="n">
        <v>8</v>
      </c>
      <c r="K1008" t="n">
        <v>16</v>
      </c>
      <c r="L1008" t="n">
        <v>16</v>
      </c>
      <c r="M1008" t="n">
        <v>16</v>
      </c>
      <c r="N1008" t="n">
        <v>16</v>
      </c>
      <c r="O1008" t="n">
        <v>40</v>
      </c>
      <c r="P1008" t="n">
        <v>8</v>
      </c>
      <c r="R1008" s="9" t="n">
        <v>0.08</v>
      </c>
      <c r="S1008" s="10" t="inlineStr">
        <is>
          <t>SÍ — integrante</t>
        </is>
      </c>
      <c r="T1008" s="11" t="inlineStr">
        <is>
          <t>B · INTEGRANTE</t>
        </is>
      </c>
      <c r="U1008" s="11" t="inlineStr">
        <is>
          <t>DEL BANCO (se hereda)</t>
        </is>
      </c>
      <c r="V1008" s="11" t="inlineStr">
        <is>
          <t>9120 · EFECTIVO INTENSIVO</t>
        </is>
      </c>
      <c r="W1008" s="12" t="n"/>
      <c r="X1008" s="12" t="n"/>
    </row>
    <row r="1009" ht="15" customHeight="1">
      <c r="C1009" t="inlineStr">
        <is>
          <t>Actividad económica / giro mercantil</t>
        </is>
      </c>
      <c r="D1009" t="inlineStr">
        <is>
          <t>F12</t>
        </is>
      </c>
      <c r="E1009" t="inlineStr">
        <is>
          <t>INHERENTE</t>
        </is>
      </c>
      <c r="F1009" t="inlineStr">
        <is>
          <t>COMPRAVENTA DE EQUIPOS DE REFRIGERACION COMERCIAL</t>
        </is>
      </c>
      <c r="G1009" t="n">
        <v>6729018</v>
      </c>
      <c r="H1009" t="n">
        <v>2</v>
      </c>
      <c r="I1009" t="n">
        <v>2</v>
      </c>
      <c r="J1009" t="n">
        <v>8</v>
      </c>
      <c r="K1009" t="n">
        <v>16</v>
      </c>
      <c r="L1009" t="n">
        <v>16</v>
      </c>
      <c r="M1009" t="n">
        <v>16</v>
      </c>
      <c r="N1009" t="n">
        <v>16</v>
      </c>
      <c r="O1009" t="n">
        <v>40</v>
      </c>
      <c r="P1009" t="n">
        <v>8</v>
      </c>
      <c r="R1009" s="9" t="n">
        <v>0.08</v>
      </c>
      <c r="S1009" s="10" t="inlineStr">
        <is>
          <t>SÍ — integrante</t>
        </is>
      </c>
      <c r="T1009" s="11" t="inlineStr">
        <is>
          <t>B · INTEGRANTE</t>
        </is>
      </c>
      <c r="U1009" s="11" t="inlineStr">
        <is>
          <t>DEL BANCO (se hereda)</t>
        </is>
      </c>
      <c r="V1009" s="11" t="inlineStr">
        <is>
          <t>9113 · COMERCIO GENERAL</t>
        </is>
      </c>
      <c r="W1009" s="12" t="n"/>
      <c r="X1009" s="12" t="n"/>
    </row>
    <row r="1010" ht="15" customHeight="1">
      <c r="C1010" t="inlineStr">
        <is>
          <t>Actividad económica / giro mercantil</t>
        </is>
      </c>
      <c r="D1010" t="inlineStr">
        <is>
          <t>F12</t>
        </is>
      </c>
      <c r="E1010" t="inlineStr">
        <is>
          <t>INHERENTE</t>
        </is>
      </c>
      <c r="F1010" t="inlineStr">
        <is>
          <t>COMPRAVENTA DE ACCESORIOS PARA MUEBLES</t>
        </is>
      </c>
      <c r="G1010" t="n">
        <v>6729026</v>
      </c>
      <c r="H1010" t="n">
        <v>2</v>
      </c>
      <c r="I1010" t="n">
        <v>2</v>
      </c>
      <c r="J1010" t="n">
        <v>8</v>
      </c>
      <c r="K1010" t="n">
        <v>16</v>
      </c>
      <c r="L1010" t="n">
        <v>16</v>
      </c>
      <c r="M1010" t="n">
        <v>16</v>
      </c>
      <c r="N1010" t="n">
        <v>16</v>
      </c>
      <c r="O1010" t="n">
        <v>40</v>
      </c>
      <c r="P1010" t="n">
        <v>8</v>
      </c>
      <c r="R1010" s="9" t="n">
        <v>0.08</v>
      </c>
      <c r="S1010" s="10" t="inlineStr">
        <is>
          <t>SÍ — integrante</t>
        </is>
      </c>
      <c r="T1010" s="11" t="inlineStr">
        <is>
          <t>B · INTEGRANTE</t>
        </is>
      </c>
      <c r="U1010" s="11" t="inlineStr">
        <is>
          <t>DEL BANCO (se hereda)</t>
        </is>
      </c>
      <c r="V1010" s="11" t="inlineStr">
        <is>
          <t>9113 · COMERCIO GENERAL</t>
        </is>
      </c>
      <c r="W1010" s="12" t="n"/>
      <c r="X1010" s="12" t="n"/>
    </row>
    <row r="1011" ht="15" customHeight="1">
      <c r="C1011" t="inlineStr">
        <is>
          <t>Actividad económica / giro mercantil</t>
        </is>
      </c>
      <c r="D1011" t="inlineStr">
        <is>
          <t>F12</t>
        </is>
      </c>
      <c r="E1011" t="inlineStr">
        <is>
          <t>INHERENTE</t>
        </is>
      </c>
      <c r="F1011" t="inlineStr">
        <is>
          <t>COMPRAVENTA DE EQUIPO CONTRA INCENDIO</t>
        </is>
      </c>
      <c r="G1011" t="n">
        <v>6729034</v>
      </c>
      <c r="H1011" t="n">
        <v>2</v>
      </c>
      <c r="I1011" t="n">
        <v>2</v>
      </c>
      <c r="J1011" t="n">
        <v>8</v>
      </c>
      <c r="K1011" t="n">
        <v>16</v>
      </c>
      <c r="L1011" t="n">
        <v>16</v>
      </c>
      <c r="M1011" t="n">
        <v>16</v>
      </c>
      <c r="N1011" t="n">
        <v>16</v>
      </c>
      <c r="O1011" t="n">
        <v>40</v>
      </c>
      <c r="P1011" t="n">
        <v>8</v>
      </c>
      <c r="R1011" s="9" t="n">
        <v>0.08</v>
      </c>
      <c r="S1011" s="10" t="inlineStr">
        <is>
          <t>SÍ — integrante</t>
        </is>
      </c>
      <c r="T1011" s="11" t="inlineStr">
        <is>
          <t>B · INTEGRANTE</t>
        </is>
      </c>
      <c r="U1011" s="11" t="inlineStr">
        <is>
          <t>DEL BANCO (se hereda)</t>
        </is>
      </c>
      <c r="V1011" s="11" t="inlineStr">
        <is>
          <t>9113 · COMERCIO GENERAL</t>
        </is>
      </c>
      <c r="W1011" s="12" t="n"/>
      <c r="X1011" s="12" t="n"/>
    </row>
    <row r="1012" ht="15" customHeight="1">
      <c r="C1012" t="inlineStr">
        <is>
          <t>Actividad económica / giro mercantil</t>
        </is>
      </c>
      <c r="D1012" t="inlineStr">
        <is>
          <t>F12</t>
        </is>
      </c>
      <c r="E1012" t="inlineStr">
        <is>
          <t>INHERENTE</t>
        </is>
      </c>
      <c r="F1012" t="inlineStr">
        <is>
          <t>COMPRAVENTA DE BASCULAS BALANZAS Y APARATOS SIMILARES PARA EQUIPO PESADO</t>
        </is>
      </c>
      <c r="G1012" t="n">
        <v>6731013</v>
      </c>
      <c r="H1012" t="n">
        <v>2</v>
      </c>
      <c r="I1012" t="n">
        <v>2</v>
      </c>
      <c r="J1012" t="n">
        <v>8</v>
      </c>
      <c r="K1012" t="n">
        <v>16</v>
      </c>
      <c r="L1012" t="n">
        <v>16</v>
      </c>
      <c r="M1012" t="n">
        <v>16</v>
      </c>
      <c r="N1012" t="n">
        <v>16</v>
      </c>
      <c r="O1012" t="n">
        <v>40</v>
      </c>
      <c r="P1012" t="n">
        <v>8</v>
      </c>
      <c r="R1012" s="9" t="n">
        <v>0.08</v>
      </c>
      <c r="S1012" s="10" t="inlineStr">
        <is>
          <t>SÍ — integrante</t>
        </is>
      </c>
      <c r="T1012" s="11" t="inlineStr">
        <is>
          <t>B · INTEGRANTE</t>
        </is>
      </c>
      <c r="U1012" s="11" t="inlineStr">
        <is>
          <t>DEL BANCO (se hereda)</t>
        </is>
      </c>
      <c r="V1012" s="11" t="inlineStr">
        <is>
          <t>9113 · COMERCIO GENERAL</t>
        </is>
      </c>
      <c r="W1012" s="12" t="n"/>
      <c r="X1012" s="12" t="n"/>
    </row>
    <row r="1013" ht="15" customHeight="1">
      <c r="C1013" t="inlineStr">
        <is>
          <t>Actividad económica / giro mercantil</t>
        </is>
      </c>
      <c r="D1013" t="inlineStr">
        <is>
          <t>F12</t>
        </is>
      </c>
      <c r="E1013" t="inlineStr">
        <is>
          <t>INHERENTE</t>
        </is>
      </c>
      <c r="F1013" t="inlineStr">
        <is>
          <t>COMPRAVENTA DE ARTICULOS MEDICOS</t>
        </is>
      </c>
      <c r="G1013" t="n">
        <v>6732011</v>
      </c>
      <c r="H1013" t="n">
        <v>2</v>
      </c>
      <c r="I1013" t="n">
        <v>2</v>
      </c>
      <c r="J1013" t="n">
        <v>8</v>
      </c>
      <c r="K1013" t="n">
        <v>16</v>
      </c>
      <c r="L1013" t="n">
        <v>16</v>
      </c>
      <c r="M1013" t="n">
        <v>16</v>
      </c>
      <c r="N1013" t="n">
        <v>16</v>
      </c>
      <c r="O1013" t="n">
        <v>40</v>
      </c>
      <c r="P1013" t="n">
        <v>8</v>
      </c>
      <c r="R1013" s="9" t="n">
        <v>0.08</v>
      </c>
      <c r="S1013" s="10" t="inlineStr">
        <is>
          <t>SÍ — integrante</t>
        </is>
      </c>
      <c r="T1013" s="11" t="inlineStr">
        <is>
          <t>B · INTEGRANTE</t>
        </is>
      </c>
      <c r="U1013" s="11" t="inlineStr">
        <is>
          <t>DEL BANCO (se hereda)</t>
        </is>
      </c>
      <c r="V1013" s="11" t="inlineStr">
        <is>
          <t>9112 · SERVICIOS PROFESIONALES</t>
        </is>
      </c>
      <c r="W1013" s="12" t="n"/>
      <c r="X1013" s="12" t="n"/>
    </row>
    <row r="1014" ht="15" customHeight="1">
      <c r="C1014" t="inlineStr">
        <is>
          <t>Actividad económica / giro mercantil</t>
        </is>
      </c>
      <c r="D1014" t="inlineStr">
        <is>
          <t>F12</t>
        </is>
      </c>
      <c r="E1014" t="inlineStr">
        <is>
          <t>INHERENTE</t>
        </is>
      </c>
      <c r="F1014" t="inlineStr">
        <is>
          <t>COMPRAVENTA DE ARTICULOS Y APARATOS ORTOPEDICOS</t>
        </is>
      </c>
      <c r="G1014" t="n">
        <v>6732029</v>
      </c>
      <c r="H1014" t="n">
        <v>2</v>
      </c>
      <c r="I1014" t="n">
        <v>2</v>
      </c>
      <c r="J1014" t="n">
        <v>8</v>
      </c>
      <c r="K1014" t="n">
        <v>16</v>
      </c>
      <c r="L1014" t="n">
        <v>16</v>
      </c>
      <c r="M1014" t="n">
        <v>16</v>
      </c>
      <c r="N1014" t="n">
        <v>16</v>
      </c>
      <c r="O1014" t="n">
        <v>40</v>
      </c>
      <c r="P1014" t="n">
        <v>8</v>
      </c>
      <c r="R1014" s="9" t="n">
        <v>0.08</v>
      </c>
      <c r="S1014" s="10" t="inlineStr">
        <is>
          <t>SÍ — integrante</t>
        </is>
      </c>
      <c r="T1014" s="11" t="inlineStr">
        <is>
          <t>B · INTEGRANTE</t>
        </is>
      </c>
      <c r="U1014" s="11" t="inlineStr">
        <is>
          <t>DEL BANCO (se hereda)</t>
        </is>
      </c>
      <c r="V1014" s="11" t="inlineStr">
        <is>
          <t>9113 · COMERCIO GENERAL</t>
        </is>
      </c>
      <c r="W1014" s="12" t="n"/>
      <c r="X1014" s="12" t="n"/>
    </row>
    <row r="1015" ht="15" customHeight="1">
      <c r="C1015" t="inlineStr">
        <is>
          <t>Actividad económica / giro mercantil</t>
        </is>
      </c>
      <c r="D1015" t="inlineStr">
        <is>
          <t>F12</t>
        </is>
      </c>
      <c r="E1015" t="inlineStr">
        <is>
          <t>INHERENTE</t>
        </is>
      </c>
      <c r="F1015" t="inlineStr">
        <is>
          <t>COMPRAVENTA DE MUEBLES PARA CONSULTORIOS Y SANATORIOS</t>
        </is>
      </c>
      <c r="G1015" t="n">
        <v>6732037</v>
      </c>
      <c r="H1015" t="n">
        <v>2</v>
      </c>
      <c r="I1015" t="n">
        <v>2</v>
      </c>
      <c r="J1015" t="n">
        <v>8</v>
      </c>
      <c r="K1015" t="n">
        <v>16</v>
      </c>
      <c r="L1015" t="n">
        <v>16</v>
      </c>
      <c r="M1015" t="n">
        <v>16</v>
      </c>
      <c r="N1015" t="n">
        <v>16</v>
      </c>
      <c r="O1015" t="n">
        <v>40</v>
      </c>
      <c r="P1015" t="n">
        <v>8</v>
      </c>
      <c r="R1015" s="9" t="n">
        <v>0.08</v>
      </c>
      <c r="S1015" s="10" t="inlineStr">
        <is>
          <t>SÍ — integrante</t>
        </is>
      </c>
      <c r="T1015" s="11" t="inlineStr">
        <is>
          <t>B · INTEGRANTE</t>
        </is>
      </c>
      <c r="U1015" s="11" t="inlineStr">
        <is>
          <t>DEL BANCO (se hereda)</t>
        </is>
      </c>
      <c r="V1015" s="11" t="inlineStr">
        <is>
          <t>9153 · GOBIERNO Y SECTOR PÚBLICO</t>
        </is>
      </c>
      <c r="W1015" s="12" t="n"/>
      <c r="X1015" s="12" t="n"/>
    </row>
    <row r="1016" ht="15" customHeight="1">
      <c r="C1016" t="inlineStr">
        <is>
          <t>Actividad económica / giro mercantil</t>
        </is>
      </c>
      <c r="D1016" t="inlineStr">
        <is>
          <t>F12</t>
        </is>
      </c>
      <c r="E1016" t="inlineStr">
        <is>
          <t>INHERENTE</t>
        </is>
      </c>
      <c r="F1016" t="inlineStr">
        <is>
          <t>COMPRAVENTA DE EQUIPOS QUIMICOS Y PARA LABORATORIO</t>
        </is>
      </c>
      <c r="G1016" t="n">
        <v>6732045</v>
      </c>
      <c r="H1016" t="n">
        <v>5</v>
      </c>
      <c r="I1016" t="n">
        <v>5</v>
      </c>
      <c r="J1016" t="n">
        <v>8</v>
      </c>
      <c r="K1016" t="n">
        <v>40</v>
      </c>
      <c r="L1016" t="n">
        <v>40</v>
      </c>
      <c r="M1016" t="n">
        <v>40</v>
      </c>
      <c r="N1016" t="n">
        <v>40</v>
      </c>
      <c r="O1016" t="n">
        <v>40</v>
      </c>
      <c r="P1016" t="n">
        <v>8</v>
      </c>
      <c r="R1016" s="9" t="n">
        <v>0.08</v>
      </c>
      <c r="S1016" s="10" t="inlineStr">
        <is>
          <t>SÍ — integrante</t>
        </is>
      </c>
      <c r="T1016" s="11" t="inlineStr">
        <is>
          <t>B · INTEGRANTE</t>
        </is>
      </c>
      <c r="U1016" s="11" t="inlineStr">
        <is>
          <t>DEL BANCO (se hereda)</t>
        </is>
      </c>
      <c r="V1016" s="11" t="inlineStr">
        <is>
          <t>9113 · COMERCIO GENERAL</t>
        </is>
      </c>
      <c r="W1016" s="12" t="n"/>
      <c r="X1016" s="12" t="n"/>
    </row>
    <row r="1017" ht="15" customHeight="1">
      <c r="C1017" t="inlineStr">
        <is>
          <t>Actividad económica / giro mercantil</t>
        </is>
      </c>
      <c r="D1017" t="inlineStr">
        <is>
          <t>F12</t>
        </is>
      </c>
      <c r="E1017" t="inlineStr">
        <is>
          <t>INHERENTE</t>
        </is>
      </c>
      <c r="F1017" t="inlineStr">
        <is>
          <t>COMPRAVENTA DE APARATOS CIENTIFICOS Y DE PRECISION</t>
        </is>
      </c>
      <c r="G1017" t="n">
        <v>6739017</v>
      </c>
      <c r="H1017" t="n">
        <v>2</v>
      </c>
      <c r="I1017" t="n">
        <v>2</v>
      </c>
      <c r="J1017" t="n">
        <v>8</v>
      </c>
      <c r="K1017" t="n">
        <v>16</v>
      </c>
      <c r="L1017" t="n">
        <v>16</v>
      </c>
      <c r="M1017" t="n">
        <v>16</v>
      </c>
      <c r="N1017" t="n">
        <v>16</v>
      </c>
      <c r="O1017" t="n">
        <v>40</v>
      </c>
      <c r="P1017" t="n">
        <v>8</v>
      </c>
      <c r="R1017" s="9" t="n">
        <v>0.08</v>
      </c>
      <c r="S1017" s="10" t="inlineStr">
        <is>
          <t>SÍ — integrante</t>
        </is>
      </c>
      <c r="T1017" s="11" t="inlineStr">
        <is>
          <t>B · INTEGRANTE</t>
        </is>
      </c>
      <c r="U1017" s="11" t="inlineStr">
        <is>
          <t>DEL BANCO (se hereda)</t>
        </is>
      </c>
      <c r="V1017" s="11" t="inlineStr">
        <is>
          <t>9113 · COMERCIO GENERAL</t>
        </is>
      </c>
      <c r="W1017" s="12" t="n"/>
      <c r="X1017" s="12" t="n"/>
    </row>
    <row r="1018" ht="15" customHeight="1">
      <c r="C1018" t="inlineStr">
        <is>
          <t>Actividad económica / giro mercantil</t>
        </is>
      </c>
      <c r="D1018" t="inlineStr">
        <is>
          <t>F12</t>
        </is>
      </c>
      <c r="E1018" t="inlineStr">
        <is>
          <t>INHERENTE</t>
        </is>
      </c>
      <c r="F1018" t="inlineStr">
        <is>
          <t>VENTA DE VEHÍCULOS, EMBARCACIONES Ó AERONAVES  NUEVOS</t>
        </is>
      </c>
      <c r="G1018" t="n">
        <v>6800001</v>
      </c>
      <c r="H1018" t="n">
        <v>4</v>
      </c>
      <c r="I1018" t="n">
        <v>4</v>
      </c>
      <c r="J1018" t="n">
        <v>8</v>
      </c>
      <c r="K1018" t="n">
        <v>32</v>
      </c>
      <c r="L1018" t="n">
        <v>32</v>
      </c>
      <c r="M1018" t="n">
        <v>32</v>
      </c>
      <c r="N1018" t="n">
        <v>32</v>
      </c>
      <c r="O1018" t="n">
        <v>40</v>
      </c>
      <c r="P1018" t="n">
        <v>8</v>
      </c>
      <c r="R1018" s="9" t="n">
        <v>0.08</v>
      </c>
      <c r="S1018" s="10" t="inlineStr">
        <is>
          <t>SÍ — integrante</t>
        </is>
      </c>
      <c r="T1018" s="11" t="inlineStr">
        <is>
          <t>B · INTEGRANTE</t>
        </is>
      </c>
      <c r="U1018" s="11" t="inlineStr">
        <is>
          <t>DEL BANCO (se hereda)</t>
        </is>
      </c>
      <c r="V1018" s="11" t="inlineStr">
        <is>
          <t>9113 · COMERCIO GENERAL</t>
        </is>
      </c>
      <c r="W1018" s="12" t="n"/>
      <c r="X1018" s="12" t="n"/>
    </row>
    <row r="1019" ht="15" customHeight="1">
      <c r="C1019" t="inlineStr">
        <is>
          <t>Actividad económica / giro mercantil</t>
        </is>
      </c>
      <c r="D1019" t="inlineStr">
        <is>
          <t>F12</t>
        </is>
      </c>
      <c r="E1019" t="inlineStr">
        <is>
          <t>INHERENTE</t>
        </is>
      </c>
      <c r="F1019" t="inlineStr">
        <is>
          <t>VENTA DE VEHÍCULOS, EMBARCACIONES Ó AERONAVES  USADOS</t>
        </is>
      </c>
      <c r="G1019" t="n">
        <v>6800002</v>
      </c>
      <c r="H1019" t="n">
        <v>4</v>
      </c>
      <c r="I1019" t="n">
        <v>4</v>
      </c>
      <c r="J1019" t="n">
        <v>8</v>
      </c>
      <c r="K1019" t="n">
        <v>32</v>
      </c>
      <c r="L1019" t="n">
        <v>32</v>
      </c>
      <c r="M1019" t="n">
        <v>32</v>
      </c>
      <c r="N1019" t="n">
        <v>32</v>
      </c>
      <c r="O1019" t="n">
        <v>40</v>
      </c>
      <c r="P1019" t="n">
        <v>8</v>
      </c>
      <c r="R1019" s="9" t="n">
        <v>0.08</v>
      </c>
      <c r="S1019" s="10" t="inlineStr">
        <is>
          <t>SÍ — integrante</t>
        </is>
      </c>
      <c r="T1019" s="11" t="inlineStr">
        <is>
          <t>B · INTEGRANTE</t>
        </is>
      </c>
      <c r="U1019" s="11" t="inlineStr">
        <is>
          <t>DEL BANCO (se hereda)</t>
        </is>
      </c>
      <c r="V1019" s="11" t="inlineStr">
        <is>
          <t>9113 · COMERCIO GENERAL</t>
        </is>
      </c>
      <c r="W1019" s="12" t="n"/>
      <c r="X1019" s="12" t="n"/>
    </row>
    <row r="1020" ht="15" customHeight="1">
      <c r="C1020" t="inlineStr">
        <is>
          <t>Actividad económica / giro mercantil</t>
        </is>
      </c>
      <c r="D1020" t="inlineStr">
        <is>
          <t>F12</t>
        </is>
      </c>
      <c r="E1020" t="inlineStr">
        <is>
          <t>INHERENTE</t>
        </is>
      </c>
      <c r="F1020" t="inlineStr">
        <is>
          <t>SERVICIOS DE BLINDAJE</t>
        </is>
      </c>
      <c r="G1020" t="n">
        <v>6800003</v>
      </c>
      <c r="H1020" t="n">
        <v>3</v>
      </c>
      <c r="I1020" t="n">
        <v>3</v>
      </c>
      <c r="J1020" t="n">
        <v>8</v>
      </c>
      <c r="K1020" t="n">
        <v>24</v>
      </c>
      <c r="L1020" t="n">
        <v>24</v>
      </c>
      <c r="M1020" t="n">
        <v>24</v>
      </c>
      <c r="N1020" t="n">
        <v>24</v>
      </c>
      <c r="O1020" t="n">
        <v>40</v>
      </c>
      <c r="P1020" t="n">
        <v>8</v>
      </c>
      <c r="R1020" s="9" t="n">
        <v>0.08</v>
      </c>
      <c r="S1020" s="10" t="inlineStr">
        <is>
          <t>SÍ — integrante</t>
        </is>
      </c>
      <c r="T1020" s="11" t="inlineStr">
        <is>
          <t>B · INTEGRANTE</t>
        </is>
      </c>
      <c r="U1020" s="11" t="inlineStr">
        <is>
          <t>DEL BANCO (se hereda)</t>
        </is>
      </c>
      <c r="V1020" s="11" t="inlineStr">
        <is>
          <t>9154 · OTRAS ACTIVIDADES NO CLASIFICADAS</t>
        </is>
      </c>
      <c r="W1020" s="12" t="n"/>
      <c r="X1020" s="12" t="n"/>
    </row>
    <row r="1021" ht="15" customHeight="1">
      <c r="C1021" t="inlineStr">
        <is>
          <t>Actividad económica / giro mercantil</t>
        </is>
      </c>
      <c r="D1021" t="inlineStr">
        <is>
          <t>F12</t>
        </is>
      </c>
      <c r="E1021" t="inlineStr">
        <is>
          <t>INHERENTE</t>
        </is>
      </c>
      <c r="F1021" t="inlineStr">
        <is>
          <t>COMPRAVENTA DE EQUIPO DE TRANSPORTE, SUS REFACCIONES Y ACCESORIOS</t>
        </is>
      </c>
      <c r="G1021" t="n">
        <v>6800008</v>
      </c>
      <c r="H1021" t="n">
        <v>2</v>
      </c>
      <c r="I1021" t="n">
        <v>2</v>
      </c>
      <c r="J1021" t="n">
        <v>8</v>
      </c>
      <c r="K1021" t="n">
        <v>16</v>
      </c>
      <c r="L1021" t="n">
        <v>16</v>
      </c>
      <c r="M1021" t="n">
        <v>16</v>
      </c>
      <c r="N1021" t="n">
        <v>16</v>
      </c>
      <c r="O1021" t="n">
        <v>40</v>
      </c>
      <c r="P1021" t="n">
        <v>8</v>
      </c>
      <c r="R1021" s="9" t="n">
        <v>0.08</v>
      </c>
      <c r="S1021" s="10" t="inlineStr">
        <is>
          <t>SÍ — integrante</t>
        </is>
      </c>
      <c r="T1021" s="11" t="inlineStr">
        <is>
          <t>B · INTEGRANTE</t>
        </is>
      </c>
      <c r="U1021" s="11" t="inlineStr">
        <is>
          <t>DEL BANCO (se hereda)</t>
        </is>
      </c>
      <c r="V1021" s="11" t="inlineStr">
        <is>
          <t>9113 · COMERCIO GENERAL</t>
        </is>
      </c>
      <c r="W1021" s="12" t="n"/>
      <c r="X1021" s="12" t="n"/>
    </row>
    <row r="1022" ht="15" customHeight="1">
      <c r="C1022" t="inlineStr">
        <is>
          <t>Actividad económica / giro mercantil</t>
        </is>
      </c>
      <c r="D1022" t="inlineStr">
        <is>
          <t>F12</t>
        </is>
      </c>
      <c r="E1022" t="inlineStr">
        <is>
          <t>INHERENTE</t>
        </is>
      </c>
      <c r="F1022" t="inlineStr">
        <is>
          <t>COMPRAVENTA DE OTROS EQUIPOS DE TRANSPORTE, SUS REFACCIONES Y ACCESORIOS</t>
        </is>
      </c>
      <c r="G1022" t="n">
        <v>6800010</v>
      </c>
      <c r="H1022" t="n">
        <v>2</v>
      </c>
      <c r="I1022" t="n">
        <v>2</v>
      </c>
      <c r="J1022" t="n">
        <v>8</v>
      </c>
      <c r="K1022" t="n">
        <v>16</v>
      </c>
      <c r="L1022" t="n">
        <v>16</v>
      </c>
      <c r="M1022" t="n">
        <v>16</v>
      </c>
      <c r="N1022" t="n">
        <v>16</v>
      </c>
      <c r="O1022" t="n">
        <v>40</v>
      </c>
      <c r="P1022" t="n">
        <v>8</v>
      </c>
      <c r="R1022" s="9" t="n">
        <v>0.08</v>
      </c>
      <c r="S1022" s="10" t="inlineStr">
        <is>
          <t>SÍ — integrante</t>
        </is>
      </c>
      <c r="T1022" s="11" t="inlineStr">
        <is>
          <t>B · INTEGRANTE</t>
        </is>
      </c>
      <c r="U1022" s="11" t="inlineStr">
        <is>
          <t>DEL BANCO (se hereda)</t>
        </is>
      </c>
      <c r="V1022" s="11" t="inlineStr">
        <is>
          <t>9113 · COMERCIO GENERAL</t>
        </is>
      </c>
      <c r="W1022" s="12" t="n"/>
      <c r="X1022" s="12" t="n"/>
    </row>
    <row r="1023" ht="15" customHeight="1">
      <c r="C1023" t="inlineStr">
        <is>
          <t>Actividad económica / giro mercantil</t>
        </is>
      </c>
      <c r="D1023" t="inlineStr">
        <is>
          <t>F12</t>
        </is>
      </c>
      <c r="E1023" t="inlineStr">
        <is>
          <t>INHERENTE</t>
        </is>
      </c>
      <c r="F1023" t="inlineStr">
        <is>
          <t>COMPRAVENTA DE AUTOMOVILES Y CAMIONES NUEVOS</t>
        </is>
      </c>
      <c r="G1023" t="n">
        <v>6811013</v>
      </c>
      <c r="H1023" t="n">
        <v>5</v>
      </c>
      <c r="I1023" t="n">
        <v>5</v>
      </c>
      <c r="J1023" t="n">
        <v>8</v>
      </c>
      <c r="K1023" t="n">
        <v>40</v>
      </c>
      <c r="L1023" t="n">
        <v>40</v>
      </c>
      <c r="M1023" t="n">
        <v>40</v>
      </c>
      <c r="N1023" t="n">
        <v>40</v>
      </c>
      <c r="O1023" t="n">
        <v>40</v>
      </c>
      <c r="P1023" t="n">
        <v>8</v>
      </c>
      <c r="Q1023" t="inlineStr">
        <is>
          <t>DETERMINANTE</t>
        </is>
      </c>
      <c r="R1023" s="9" t="n">
        <v>0.08</v>
      </c>
      <c r="S1023" s="10" t="inlineStr">
        <is>
          <t>SÍ — integrante</t>
        </is>
      </c>
      <c r="T1023" s="11" t="inlineStr">
        <is>
          <t>B · INTEGRANTE</t>
        </is>
      </c>
      <c r="U1023" s="11" t="inlineStr">
        <is>
          <t>DEL BANCO (se hereda)</t>
        </is>
      </c>
      <c r="V1023" s="11" t="inlineStr">
        <is>
          <t>9113 · COMERCIO GENERAL</t>
        </is>
      </c>
      <c r="W1023" s="12" t="n"/>
      <c r="X1023" s="12" t="n"/>
    </row>
    <row r="1024" ht="15" customHeight="1">
      <c r="C1024" t="inlineStr">
        <is>
          <t>Actividad económica / giro mercantil</t>
        </is>
      </c>
      <c r="D1024" t="inlineStr">
        <is>
          <t>F12</t>
        </is>
      </c>
      <c r="E1024" t="inlineStr">
        <is>
          <t>INHERENTE</t>
        </is>
      </c>
      <c r="F1024" t="inlineStr">
        <is>
          <t>COMPRAVENTA DE AUTOMOVILES Y CAMIONES USADOS</t>
        </is>
      </c>
      <c r="G1024" t="n">
        <v>6812011</v>
      </c>
      <c r="H1024" t="n">
        <v>5</v>
      </c>
      <c r="I1024" t="n">
        <v>5</v>
      </c>
      <c r="J1024" t="n">
        <v>8</v>
      </c>
      <c r="K1024" t="n">
        <v>40</v>
      </c>
      <c r="L1024" t="n">
        <v>40</v>
      </c>
      <c r="M1024" t="n">
        <v>40</v>
      </c>
      <c r="N1024" t="n">
        <v>40</v>
      </c>
      <c r="O1024" t="n">
        <v>40</v>
      </c>
      <c r="P1024" t="n">
        <v>8</v>
      </c>
      <c r="Q1024" t="inlineStr">
        <is>
          <t>DETERMINANTE</t>
        </is>
      </c>
      <c r="R1024" s="9" t="n">
        <v>0.08</v>
      </c>
      <c r="S1024" s="10" t="inlineStr">
        <is>
          <t>SÍ — integrante</t>
        </is>
      </c>
      <c r="T1024" s="11" t="inlineStr">
        <is>
          <t>B · INTEGRANTE</t>
        </is>
      </c>
      <c r="U1024" s="11" t="inlineStr">
        <is>
          <t>DEL BANCO (se hereda)</t>
        </is>
      </c>
      <c r="V1024" s="11" t="inlineStr">
        <is>
          <t>9113 · COMERCIO GENERAL</t>
        </is>
      </c>
      <c r="W1024" s="12" t="n"/>
      <c r="X1024" s="12" t="n"/>
    </row>
    <row r="1025" ht="15" customHeight="1">
      <c r="C1025" t="inlineStr">
        <is>
          <t>Actividad económica / giro mercantil</t>
        </is>
      </c>
      <c r="D1025" t="inlineStr">
        <is>
          <t>F12</t>
        </is>
      </c>
      <c r="E1025" t="inlineStr">
        <is>
          <t>INHERENTE</t>
        </is>
      </c>
      <c r="F1025" t="inlineStr">
        <is>
          <t>COMPRAVENTA DE BICICLETAS Y SUS ACCESORIOS</t>
        </is>
      </c>
      <c r="G1025" t="n">
        <v>6813019</v>
      </c>
      <c r="H1025" t="n">
        <v>2</v>
      </c>
      <c r="I1025" t="n">
        <v>2</v>
      </c>
      <c r="J1025" t="n">
        <v>8</v>
      </c>
      <c r="K1025" t="n">
        <v>16</v>
      </c>
      <c r="L1025" t="n">
        <v>16</v>
      </c>
      <c r="M1025" t="n">
        <v>16</v>
      </c>
      <c r="N1025" t="n">
        <v>16</v>
      </c>
      <c r="O1025" t="n">
        <v>40</v>
      </c>
      <c r="P1025" t="n">
        <v>8</v>
      </c>
      <c r="R1025" s="9" t="n">
        <v>0.08</v>
      </c>
      <c r="S1025" s="10" t="inlineStr">
        <is>
          <t>SÍ — integrante</t>
        </is>
      </c>
      <c r="T1025" s="11" t="inlineStr">
        <is>
          <t>B · INTEGRANTE</t>
        </is>
      </c>
      <c r="U1025" s="11" t="inlineStr">
        <is>
          <t>DEL BANCO (se hereda)</t>
        </is>
      </c>
      <c r="V1025" s="11" t="inlineStr">
        <is>
          <t>9113 · COMERCIO GENERAL</t>
        </is>
      </c>
      <c r="W1025" s="12" t="n"/>
      <c r="X1025" s="12" t="n"/>
    </row>
    <row r="1026" ht="15" customHeight="1">
      <c r="C1026" t="inlineStr">
        <is>
          <t>Actividad económica / giro mercantil</t>
        </is>
      </c>
      <c r="D1026" t="inlineStr">
        <is>
          <t>F12</t>
        </is>
      </c>
      <c r="E1026" t="inlineStr">
        <is>
          <t>INHERENTE</t>
        </is>
      </c>
      <c r="F1026" t="inlineStr">
        <is>
          <t>COMPRAVENTA DE MOTOCICLETAS Y SUS ACCESORIOS</t>
        </is>
      </c>
      <c r="G1026" t="n">
        <v>6813027</v>
      </c>
      <c r="H1026" t="n">
        <v>2</v>
      </c>
      <c r="I1026" t="n">
        <v>2</v>
      </c>
      <c r="J1026" t="n">
        <v>8</v>
      </c>
      <c r="K1026" t="n">
        <v>16</v>
      </c>
      <c r="L1026" t="n">
        <v>16</v>
      </c>
      <c r="M1026" t="n">
        <v>16</v>
      </c>
      <c r="N1026" t="n">
        <v>16</v>
      </c>
      <c r="O1026" t="n">
        <v>40</v>
      </c>
      <c r="P1026" t="n">
        <v>8</v>
      </c>
      <c r="R1026" s="9" t="n">
        <v>0.08</v>
      </c>
      <c r="S1026" s="10" t="inlineStr">
        <is>
          <t>SÍ — integrante</t>
        </is>
      </c>
      <c r="T1026" s="11" t="inlineStr">
        <is>
          <t>B · INTEGRANTE</t>
        </is>
      </c>
      <c r="U1026" s="11" t="inlineStr">
        <is>
          <t>DEL BANCO (se hereda)</t>
        </is>
      </c>
      <c r="V1026" s="11" t="inlineStr">
        <is>
          <t>9113 · COMERCIO GENERAL</t>
        </is>
      </c>
      <c r="W1026" s="12" t="n"/>
      <c r="X1026" s="12" t="n"/>
    </row>
    <row r="1027" ht="15" customHeight="1">
      <c r="C1027" t="inlineStr">
        <is>
          <t>Actividad económica / giro mercantil</t>
        </is>
      </c>
      <c r="D1027" t="inlineStr">
        <is>
          <t>F12</t>
        </is>
      </c>
      <c r="E1027" t="inlineStr">
        <is>
          <t>INHERENTE</t>
        </is>
      </c>
      <c r="F1027" t="inlineStr">
        <is>
          <t>COMPRAVENTA DE LLANTAS</t>
        </is>
      </c>
      <c r="G1027" t="n">
        <v>6814017</v>
      </c>
      <c r="H1027" t="n">
        <v>2</v>
      </c>
      <c r="I1027" t="n">
        <v>2</v>
      </c>
      <c r="J1027" t="n">
        <v>8</v>
      </c>
      <c r="K1027" t="n">
        <v>16</v>
      </c>
      <c r="L1027" t="n">
        <v>16</v>
      </c>
      <c r="M1027" t="n">
        <v>16</v>
      </c>
      <c r="N1027" t="n">
        <v>16</v>
      </c>
      <c r="O1027" t="n">
        <v>40</v>
      </c>
      <c r="P1027" t="n">
        <v>8</v>
      </c>
      <c r="R1027" s="9" t="n">
        <v>0.08</v>
      </c>
      <c r="S1027" s="10" t="inlineStr">
        <is>
          <t>SÍ — integrante</t>
        </is>
      </c>
      <c r="T1027" s="11" t="inlineStr">
        <is>
          <t>B · INTEGRANTE</t>
        </is>
      </c>
      <c r="U1027" s="11" t="inlineStr">
        <is>
          <t>DEL BANCO (se hereda)</t>
        </is>
      </c>
      <c r="V1027" s="11" t="inlineStr">
        <is>
          <t>9113 · COMERCIO GENERAL</t>
        </is>
      </c>
      <c r="W1027" s="12" t="n"/>
      <c r="X1027" s="12" t="n"/>
    </row>
    <row r="1028" ht="15" customHeight="1">
      <c r="C1028" t="inlineStr">
        <is>
          <t>Actividad económica / giro mercantil</t>
        </is>
      </c>
      <c r="D1028" t="inlineStr">
        <is>
          <t>F12</t>
        </is>
      </c>
      <c r="E1028" t="inlineStr">
        <is>
          <t>INHERENTE</t>
        </is>
      </c>
      <c r="F1028" t="inlineStr">
        <is>
          <t>COMPRAVENTA DE REFACCIONES Y ACCESORIOS NUEVOS PARA AUTOS Y CAMIONES</t>
        </is>
      </c>
      <c r="G1028" t="n">
        <v>6815015</v>
      </c>
      <c r="H1028" t="n">
        <v>2</v>
      </c>
      <c r="I1028" t="n">
        <v>2</v>
      </c>
      <c r="J1028" t="n">
        <v>8</v>
      </c>
      <c r="K1028" t="n">
        <v>16</v>
      </c>
      <c r="L1028" t="n">
        <v>16</v>
      </c>
      <c r="M1028" t="n">
        <v>16</v>
      </c>
      <c r="N1028" t="n">
        <v>16</v>
      </c>
      <c r="O1028" t="n">
        <v>40</v>
      </c>
      <c r="P1028" t="n">
        <v>8</v>
      </c>
      <c r="R1028" s="9" t="n">
        <v>0.08</v>
      </c>
      <c r="S1028" s="10" t="inlineStr">
        <is>
          <t>SÍ — integrante</t>
        </is>
      </c>
      <c r="T1028" s="11" t="inlineStr">
        <is>
          <t>B · INTEGRANTE</t>
        </is>
      </c>
      <c r="U1028" s="11" t="inlineStr">
        <is>
          <t>DEL BANCO (se hereda)</t>
        </is>
      </c>
      <c r="V1028" s="11" t="inlineStr">
        <is>
          <t>9113 · COMERCIO GENERAL</t>
        </is>
      </c>
      <c r="W1028" s="12" t="n"/>
      <c r="X1028" s="12" t="n"/>
    </row>
    <row r="1029" ht="15" customHeight="1">
      <c r="C1029" t="inlineStr">
        <is>
          <t>Actividad económica / giro mercantil</t>
        </is>
      </c>
      <c r="D1029" t="inlineStr">
        <is>
          <t>F12</t>
        </is>
      </c>
      <c r="E1029" t="inlineStr">
        <is>
          <t>INHERENTE</t>
        </is>
      </c>
      <c r="F1029" t="inlineStr">
        <is>
          <t>COMPRAVENTA DE REFACCIONES Y ACCESORIOS USADOS PARA AUTOMOVILES Y CAMIONES</t>
        </is>
      </c>
      <c r="G1029" t="n">
        <v>6816013</v>
      </c>
      <c r="H1029" t="n">
        <v>2</v>
      </c>
      <c r="I1029" t="n">
        <v>2</v>
      </c>
      <c r="J1029" t="n">
        <v>8</v>
      </c>
      <c r="K1029" t="n">
        <v>16</v>
      </c>
      <c r="L1029" t="n">
        <v>16</v>
      </c>
      <c r="M1029" t="n">
        <v>16</v>
      </c>
      <c r="N1029" t="n">
        <v>16</v>
      </c>
      <c r="O1029" t="n">
        <v>40</v>
      </c>
      <c r="P1029" t="n">
        <v>8</v>
      </c>
      <c r="R1029" s="9" t="n">
        <v>0.08</v>
      </c>
      <c r="S1029" s="10" t="inlineStr">
        <is>
          <t>SÍ — integrante</t>
        </is>
      </c>
      <c r="T1029" s="11" t="inlineStr">
        <is>
          <t>B · INTEGRANTE</t>
        </is>
      </c>
      <c r="U1029" s="11" t="inlineStr">
        <is>
          <t>DEL BANCO (se hereda)</t>
        </is>
      </c>
      <c r="V1029" s="11" t="inlineStr">
        <is>
          <t>9113 · COMERCIO GENERAL</t>
        </is>
      </c>
      <c r="W1029" s="12" t="n"/>
      <c r="X1029" s="12" t="n"/>
    </row>
    <row r="1030" ht="15" customHeight="1">
      <c r="C1030" t="inlineStr">
        <is>
          <t>Actividad económica / giro mercantil</t>
        </is>
      </c>
      <c r="D1030" t="inlineStr">
        <is>
          <t>F12</t>
        </is>
      </c>
      <c r="E1030" t="inlineStr">
        <is>
          <t>INHERENTE</t>
        </is>
      </c>
      <c r="F1030" t="inlineStr">
        <is>
          <t>COMPRAVENTA DE PARTES Y REFACCIONES PARA VEHICULOS AEREOS</t>
        </is>
      </c>
      <c r="G1030" t="n">
        <v>6819017</v>
      </c>
      <c r="H1030" t="n">
        <v>4</v>
      </c>
      <c r="I1030" t="n">
        <v>4</v>
      </c>
      <c r="J1030" t="n">
        <v>8</v>
      </c>
      <c r="K1030" t="n">
        <v>32</v>
      </c>
      <c r="L1030" t="n">
        <v>32</v>
      </c>
      <c r="M1030" t="n">
        <v>32</v>
      </c>
      <c r="N1030" t="n">
        <v>32</v>
      </c>
      <c r="O1030" t="n">
        <v>40</v>
      </c>
      <c r="P1030" t="n">
        <v>8</v>
      </c>
      <c r="R1030" s="9" t="n">
        <v>0.08</v>
      </c>
      <c r="S1030" s="10" t="inlineStr">
        <is>
          <t>SÍ — integrante</t>
        </is>
      </c>
      <c r="T1030" s="11" t="inlineStr">
        <is>
          <t>B · INTEGRANTE</t>
        </is>
      </c>
      <c r="U1030" s="11" t="inlineStr">
        <is>
          <t>DEL BANCO (se hereda)</t>
        </is>
      </c>
      <c r="V1030" s="11" t="inlineStr">
        <is>
          <t>9113 · COMERCIO GENERAL</t>
        </is>
      </c>
      <c r="W1030" s="12" t="n"/>
      <c r="X1030" s="12" t="n"/>
    </row>
    <row r="1031" ht="15" customHeight="1">
      <c r="C1031" t="inlineStr">
        <is>
          <t>Actividad económica / giro mercantil</t>
        </is>
      </c>
      <c r="D1031" t="inlineStr">
        <is>
          <t>F12</t>
        </is>
      </c>
      <c r="E1031" t="inlineStr">
        <is>
          <t>INHERENTE</t>
        </is>
      </c>
      <c r="F1031" t="inlineStr">
        <is>
          <t>COMPRAVENTA DE VEHICULOS ACUATICOS Y SUS REFACCIONES</t>
        </is>
      </c>
      <c r="G1031" t="n">
        <v>6819025</v>
      </c>
      <c r="H1031" t="n">
        <v>3</v>
      </c>
      <c r="I1031" t="n">
        <v>3</v>
      </c>
      <c r="J1031" t="n">
        <v>8</v>
      </c>
      <c r="K1031" t="n">
        <v>24</v>
      </c>
      <c r="L1031" t="n">
        <v>24</v>
      </c>
      <c r="M1031" t="n">
        <v>24</v>
      </c>
      <c r="N1031" t="n">
        <v>24</v>
      </c>
      <c r="O1031" t="n">
        <v>40</v>
      </c>
      <c r="P1031" t="n">
        <v>8</v>
      </c>
      <c r="R1031" s="9" t="n">
        <v>0.08</v>
      </c>
      <c r="S1031" s="10" t="inlineStr">
        <is>
          <t>SÍ — integrante</t>
        </is>
      </c>
      <c r="T1031" s="11" t="inlineStr">
        <is>
          <t>B · INTEGRANTE</t>
        </is>
      </c>
      <c r="U1031" s="11" t="inlineStr">
        <is>
          <t>DEL BANCO (se hereda)</t>
        </is>
      </c>
      <c r="V1031" s="11" t="inlineStr">
        <is>
          <t>9113 · COMERCIO GENERAL</t>
        </is>
      </c>
      <c r="W1031" s="12" t="n"/>
      <c r="X1031" s="12" t="n"/>
    </row>
    <row r="1032" ht="15" customHeight="1">
      <c r="C1032" t="inlineStr">
        <is>
          <t>Actividad económica / giro mercantil</t>
        </is>
      </c>
      <c r="D1032" t="inlineStr">
        <is>
          <t>F12</t>
        </is>
      </c>
      <c r="E1032" t="inlineStr">
        <is>
          <t>INHERENTE</t>
        </is>
      </c>
      <c r="F1032" t="inlineStr">
        <is>
          <t>COMPRAVENTA DE VEHICULOS AEREOS</t>
        </is>
      </c>
      <c r="G1032" t="n">
        <v>6819033</v>
      </c>
      <c r="H1032" t="n">
        <v>4</v>
      </c>
      <c r="I1032" t="n">
        <v>4</v>
      </c>
      <c r="J1032" t="n">
        <v>8</v>
      </c>
      <c r="K1032" t="n">
        <v>32</v>
      </c>
      <c r="L1032" t="n">
        <v>32</v>
      </c>
      <c r="M1032" t="n">
        <v>32</v>
      </c>
      <c r="N1032" t="n">
        <v>32</v>
      </c>
      <c r="O1032" t="n">
        <v>40</v>
      </c>
      <c r="P1032" t="n">
        <v>8</v>
      </c>
      <c r="R1032" s="9" t="n">
        <v>0.08</v>
      </c>
      <c r="S1032" s="10" t="inlineStr">
        <is>
          <t>SÍ — integrante</t>
        </is>
      </c>
      <c r="T1032" s="11" t="inlineStr">
        <is>
          <t>B · INTEGRANTE</t>
        </is>
      </c>
      <c r="U1032" s="11" t="inlineStr">
        <is>
          <t>DEL BANCO (se hereda)</t>
        </is>
      </c>
      <c r="V1032" s="11" t="inlineStr">
        <is>
          <t>9113 · COMERCIO GENERAL</t>
        </is>
      </c>
      <c r="W1032" s="12" t="n"/>
      <c r="X1032" s="12" t="n"/>
    </row>
    <row r="1033" ht="15" customHeight="1">
      <c r="C1033" t="inlineStr">
        <is>
          <t>Actividad económica / giro mercantil</t>
        </is>
      </c>
      <c r="D1033" t="inlineStr">
        <is>
          <t>F12</t>
        </is>
      </c>
      <c r="E1033" t="inlineStr">
        <is>
          <t>INHERENTE</t>
        </is>
      </c>
      <c r="F1033" t="inlineStr">
        <is>
          <t>COMPRAVENTA DE ARMAS DE FUEGO Y SUS ACCESORIOS</t>
        </is>
      </c>
      <c r="G1033" t="n">
        <v>6900001</v>
      </c>
      <c r="H1033" t="n">
        <v>4</v>
      </c>
      <c r="I1033" t="n">
        <v>4</v>
      </c>
      <c r="J1033" t="n">
        <v>8</v>
      </c>
      <c r="K1033" t="n">
        <v>32</v>
      </c>
      <c r="L1033" t="n">
        <v>32</v>
      </c>
      <c r="M1033" t="n">
        <v>32</v>
      </c>
      <c r="N1033" t="n">
        <v>32</v>
      </c>
      <c r="O1033" t="n">
        <v>40</v>
      </c>
      <c r="P1033" t="n">
        <v>8</v>
      </c>
      <c r="R1033" s="9" t="n">
        <v>0.08</v>
      </c>
      <c r="S1033" s="10" t="inlineStr">
        <is>
          <t>SÍ — integrante</t>
        </is>
      </c>
      <c r="T1033" s="11" t="inlineStr">
        <is>
          <t>B · INTEGRANTE</t>
        </is>
      </c>
      <c r="U1033" s="11" t="inlineStr">
        <is>
          <t>DEL BANCO (se hereda)</t>
        </is>
      </c>
      <c r="V1033" s="11" t="inlineStr">
        <is>
          <t>9113 · COMERCIO GENERAL</t>
        </is>
      </c>
      <c r="W1033" s="12" t="n"/>
      <c r="X1033" s="12" t="n"/>
    </row>
    <row r="1034" ht="15" customHeight="1">
      <c r="C1034" t="inlineStr">
        <is>
          <t>Actividad económica / giro mercantil</t>
        </is>
      </c>
      <c r="D1034" t="inlineStr">
        <is>
          <t>F12</t>
        </is>
      </c>
      <c r="E1034" t="inlineStr">
        <is>
          <t>INHERENTE</t>
        </is>
      </c>
      <c r="F1034" t="inlineStr">
        <is>
          <t>COMPRAVENTA DE DIAMANTES</t>
        </is>
      </c>
      <c r="G1034" t="n">
        <v>6900002</v>
      </c>
      <c r="H1034" t="n">
        <v>5</v>
      </c>
      <c r="I1034" t="n">
        <v>5</v>
      </c>
      <c r="J1034" t="n">
        <v>8</v>
      </c>
      <c r="K1034" t="n">
        <v>40</v>
      </c>
      <c r="L1034" t="n">
        <v>40</v>
      </c>
      <c r="M1034" t="n">
        <v>40</v>
      </c>
      <c r="N1034" t="n">
        <v>40</v>
      </c>
      <c r="O1034" t="n">
        <v>40</v>
      </c>
      <c r="P1034" t="n">
        <v>8</v>
      </c>
      <c r="Q1034" t="inlineStr">
        <is>
          <t>DETERMINANTE</t>
        </is>
      </c>
      <c r="R1034" s="9" t="n">
        <v>0.08</v>
      </c>
      <c r="S1034" s="10" t="inlineStr">
        <is>
          <t>SÍ — integrante</t>
        </is>
      </c>
      <c r="T1034" s="11" t="inlineStr">
        <is>
          <t>B · INTEGRANTE</t>
        </is>
      </c>
      <c r="U1034" s="11" t="inlineStr">
        <is>
          <t>DEL BANCO (se hereda)</t>
        </is>
      </c>
      <c r="V1034" s="11" t="inlineStr">
        <is>
          <t>9113 · COMERCIO GENERAL</t>
        </is>
      </c>
      <c r="W1034" s="12" t="n"/>
      <c r="X1034" s="12" t="n"/>
    </row>
    <row r="1035" ht="15" customHeight="1">
      <c r="C1035" t="inlineStr">
        <is>
          <t>Actividad económica / giro mercantil</t>
        </is>
      </c>
      <c r="D1035" t="inlineStr">
        <is>
          <t>F12</t>
        </is>
      </c>
      <c r="E1035" t="inlineStr">
        <is>
          <t>INHERENTE</t>
        </is>
      </c>
      <c r="F1035" t="inlineStr">
        <is>
          <t>TARJETA DE CRÉDITO Y COMERCIALIZACIÓN DE TARJETAS DE SERVICIOS</t>
        </is>
      </c>
      <c r="G1035" t="n">
        <v>6900003</v>
      </c>
      <c r="H1035" t="n">
        <v>3</v>
      </c>
      <c r="I1035" t="n">
        <v>3</v>
      </c>
      <c r="J1035" t="n">
        <v>8</v>
      </c>
      <c r="K1035" t="n">
        <v>24</v>
      </c>
      <c r="L1035" t="n">
        <v>24</v>
      </c>
      <c r="M1035" t="n">
        <v>24</v>
      </c>
      <c r="N1035" t="n">
        <v>24</v>
      </c>
      <c r="O1035" t="n">
        <v>40</v>
      </c>
      <c r="P1035" t="n">
        <v>8</v>
      </c>
      <c r="R1035" s="9" t="n">
        <v>0.08</v>
      </c>
      <c r="S1035" s="10" t="inlineStr">
        <is>
          <t>SÍ — integrante</t>
        </is>
      </c>
      <c r="T1035" s="11" t="inlineStr">
        <is>
          <t>B · INTEGRANTE</t>
        </is>
      </c>
      <c r="U1035" s="11" t="inlineStr">
        <is>
          <t>DEL BANCO (se hereda)</t>
        </is>
      </c>
      <c r="V1035" s="11" t="inlineStr">
        <is>
          <t>9154 · OTRAS ACTIVIDADES NO CLASIFICADAS</t>
        </is>
      </c>
      <c r="W1035" s="12" t="n"/>
      <c r="X1035" s="12" t="n"/>
    </row>
    <row r="1036" ht="15" customHeight="1">
      <c r="C1036" t="inlineStr">
        <is>
          <t>Actividad económica / giro mercantil</t>
        </is>
      </c>
      <c r="D1036" t="inlineStr">
        <is>
          <t>F12</t>
        </is>
      </c>
      <c r="E1036" t="inlineStr">
        <is>
          <t>INHERENTE</t>
        </is>
      </c>
      <c r="F1036" t="inlineStr">
        <is>
          <t>COMPRAVENTA DE BIENES INMUEBLES Y ARTÍCULOS DIVERSOS</t>
        </is>
      </c>
      <c r="G1036" t="n">
        <v>6900006</v>
      </c>
      <c r="H1036" t="n">
        <v>4</v>
      </c>
      <c r="I1036" t="n">
        <v>4</v>
      </c>
      <c r="J1036" t="n">
        <v>8</v>
      </c>
      <c r="K1036" t="n">
        <v>32</v>
      </c>
      <c r="L1036" t="n">
        <v>32</v>
      </c>
      <c r="M1036" t="n">
        <v>32</v>
      </c>
      <c r="N1036" t="n">
        <v>32</v>
      </c>
      <c r="O1036" t="n">
        <v>40</v>
      </c>
      <c r="P1036" t="n">
        <v>8</v>
      </c>
      <c r="R1036" s="9" t="n">
        <v>0.08</v>
      </c>
      <c r="S1036" s="10" t="inlineStr">
        <is>
          <t>SÍ — integrante</t>
        </is>
      </c>
      <c r="T1036" s="11" t="inlineStr">
        <is>
          <t>B · INTEGRANTE</t>
        </is>
      </c>
      <c r="U1036" s="11" t="inlineStr">
        <is>
          <t>DEL BANCO (se hereda)</t>
        </is>
      </c>
      <c r="V1036" s="11" t="inlineStr">
        <is>
          <t>9117 · INMOBILIARIO / CONSTRUCCIÓN</t>
        </is>
      </c>
      <c r="W1036" s="12" t="n"/>
      <c r="X1036" s="12" t="n"/>
    </row>
    <row r="1037" ht="15" customHeight="1">
      <c r="C1037" t="inlineStr">
        <is>
          <t>Actividad económica / giro mercantil</t>
        </is>
      </c>
      <c r="D1037" t="inlineStr">
        <is>
          <t>F12</t>
        </is>
      </c>
      <c r="E1037" t="inlineStr">
        <is>
          <t>INHERENTE</t>
        </is>
      </c>
      <c r="F1037" t="inlineStr">
        <is>
          <t>PRESTAMOS PARA LA ADQUISICION DE VIVIENDA PARA ACREDITADOS DE INGRESOS MINIMOS</t>
        </is>
      </c>
      <c r="G1037" t="n">
        <v>6911011</v>
      </c>
      <c r="H1037" t="n">
        <v>5</v>
      </c>
      <c r="I1037" t="n">
        <v>5</v>
      </c>
      <c r="J1037" t="n">
        <v>8</v>
      </c>
      <c r="K1037" t="n">
        <v>40</v>
      </c>
      <c r="L1037" t="n">
        <v>40</v>
      </c>
      <c r="M1037" t="n">
        <v>40</v>
      </c>
      <c r="N1037" t="n">
        <v>40</v>
      </c>
      <c r="O1037" t="n">
        <v>40</v>
      </c>
      <c r="P1037" t="n">
        <v>8</v>
      </c>
      <c r="Q1037" t="inlineStr">
        <is>
          <t>DETERMINANTE</t>
        </is>
      </c>
      <c r="R1037" s="9" t="n">
        <v>0.08</v>
      </c>
      <c r="S1037" s="10" t="inlineStr">
        <is>
          <t>SÍ — integrante</t>
        </is>
      </c>
      <c r="T1037" s="11" t="inlineStr">
        <is>
          <t>B · INTEGRANTE</t>
        </is>
      </c>
      <c r="U1037" s="11" t="inlineStr">
        <is>
          <t>DEL BANCO (se hereda)</t>
        </is>
      </c>
      <c r="V1037" s="11" t="inlineStr">
        <is>
          <t>9115 · SECTOR FINANCIERO REGULADO</t>
        </is>
      </c>
      <c r="W1037" s="12" t="n"/>
      <c r="X1037" s="12" t="n"/>
    </row>
    <row r="1038" ht="15" customHeight="1">
      <c r="C1038" t="inlineStr">
        <is>
          <t>Actividad económica / giro mercantil</t>
        </is>
      </c>
      <c r="D1038" t="inlineStr">
        <is>
          <t>F12</t>
        </is>
      </c>
      <c r="E1038" t="inlineStr">
        <is>
          <t>INHERENTE</t>
        </is>
      </c>
      <c r="F1038" t="inlineStr">
        <is>
          <t>COMPRA DE CASA HABITACION</t>
        </is>
      </c>
      <c r="G1038" t="n">
        <v>6911029</v>
      </c>
      <c r="H1038" t="n">
        <v>2</v>
      </c>
      <c r="I1038" t="n">
        <v>2</v>
      </c>
      <c r="J1038" t="n">
        <v>8</v>
      </c>
      <c r="K1038" t="n">
        <v>16</v>
      </c>
      <c r="L1038" t="n">
        <v>16</v>
      </c>
      <c r="M1038" t="n">
        <v>16</v>
      </c>
      <c r="N1038" t="n">
        <v>16</v>
      </c>
      <c r="O1038" t="n">
        <v>40</v>
      </c>
      <c r="P1038" t="n">
        <v>8</v>
      </c>
      <c r="R1038" s="9" t="n">
        <v>0.08</v>
      </c>
      <c r="S1038" s="10" t="inlineStr">
        <is>
          <t>SÍ — integrante</t>
        </is>
      </c>
      <c r="T1038" s="11" t="inlineStr">
        <is>
          <t>B · INTEGRANTE</t>
        </is>
      </c>
      <c r="U1038" s="11" t="inlineStr">
        <is>
          <t>DEL BANCO (se hereda)</t>
        </is>
      </c>
      <c r="V1038" s="11" t="inlineStr">
        <is>
          <t>9113 · COMERCIO GENERAL</t>
        </is>
      </c>
      <c r="W1038" s="12" t="n"/>
      <c r="X1038" s="12" t="n"/>
    </row>
    <row r="1039" ht="15" customHeight="1">
      <c r="C1039" t="inlineStr">
        <is>
          <t>Actividad económica / giro mercantil</t>
        </is>
      </c>
      <c r="D1039" t="inlineStr">
        <is>
          <t>F12</t>
        </is>
      </c>
      <c r="E1039" t="inlineStr">
        <is>
          <t>INHERENTE</t>
        </is>
      </c>
      <c r="F1039" t="inlineStr">
        <is>
          <t>PRESTAMOS PARA LA ADQUISICION DE VIVIENDA TANTO DE INTERES SOCIAL COMO PROVENIENTES DE LA RESERVA PARA PENSIONES DEL PERSONAL</t>
        </is>
      </c>
      <c r="G1039" t="n">
        <v>6911037</v>
      </c>
      <c r="H1039" t="n">
        <v>5</v>
      </c>
      <c r="I1039" t="n">
        <v>5</v>
      </c>
      <c r="J1039" t="n">
        <v>8</v>
      </c>
      <c r="K1039" t="n">
        <v>40</v>
      </c>
      <c r="L1039" t="n">
        <v>40</v>
      </c>
      <c r="M1039" t="n">
        <v>40</v>
      </c>
      <c r="N1039" t="n">
        <v>40</v>
      </c>
      <c r="O1039" t="n">
        <v>40</v>
      </c>
      <c r="P1039" t="n">
        <v>8</v>
      </c>
      <c r="Q1039" t="inlineStr">
        <is>
          <t>DETERMINANTE</t>
        </is>
      </c>
      <c r="R1039" s="9" t="n">
        <v>0.08</v>
      </c>
      <c r="S1039" s="10" t="inlineStr">
        <is>
          <t>SÍ — integrante</t>
        </is>
      </c>
      <c r="T1039" s="11" t="inlineStr">
        <is>
          <t>B · INTEGRANTE</t>
        </is>
      </c>
      <c r="U1039" s="11" t="inlineStr">
        <is>
          <t>DEL BANCO (se hereda)</t>
        </is>
      </c>
      <c r="V1039" s="11" t="inlineStr">
        <is>
          <t>9115 · SECTOR FINANCIERO REGULADO</t>
        </is>
      </c>
      <c r="W1039" s="12" t="n"/>
      <c r="X1039" s="12" t="n"/>
    </row>
    <row r="1040" ht="15" customHeight="1">
      <c r="C1040" t="inlineStr">
        <is>
          <t>Actividad económica / giro mercantil</t>
        </is>
      </c>
      <c r="D1040" t="inlineStr">
        <is>
          <t>F12</t>
        </is>
      </c>
      <c r="E1040" t="inlineStr">
        <is>
          <t>INHERENTE</t>
        </is>
      </c>
      <c r="F1040" t="inlineStr">
        <is>
          <t>COMPRAVENTA DE CASAS Y OTROS INMUEBLES</t>
        </is>
      </c>
      <c r="G1040" t="n">
        <v>6911045</v>
      </c>
      <c r="H1040" t="n">
        <v>5</v>
      </c>
      <c r="I1040" t="n">
        <v>5</v>
      </c>
      <c r="J1040" t="n">
        <v>8</v>
      </c>
      <c r="K1040" t="n">
        <v>40</v>
      </c>
      <c r="L1040" t="n">
        <v>40</v>
      </c>
      <c r="M1040" t="n">
        <v>40</v>
      </c>
      <c r="N1040" t="n">
        <v>40</v>
      </c>
      <c r="O1040" t="n">
        <v>40</v>
      </c>
      <c r="P1040" t="n">
        <v>8</v>
      </c>
      <c r="Q1040" t="inlineStr">
        <is>
          <t>DETERMINANTE</t>
        </is>
      </c>
      <c r="R1040" s="9" t="n">
        <v>0.08</v>
      </c>
      <c r="S1040" s="10" t="inlineStr">
        <is>
          <t>SÍ — integrante</t>
        </is>
      </c>
      <c r="T1040" s="11" t="inlineStr">
        <is>
          <t>B · INTEGRANTE</t>
        </is>
      </c>
      <c r="U1040" s="11" t="inlineStr">
        <is>
          <t>DEL BANCO (se hereda)</t>
        </is>
      </c>
      <c r="V1040" s="11" t="inlineStr">
        <is>
          <t>9113 · COMERCIO GENERAL</t>
        </is>
      </c>
      <c r="W1040" s="12" t="n"/>
      <c r="X1040" s="12" t="n"/>
    </row>
    <row r="1041" ht="15" customHeight="1">
      <c r="C1041" t="inlineStr">
        <is>
          <t>Actividad económica / giro mercantil</t>
        </is>
      </c>
      <c r="D1041" t="inlineStr">
        <is>
          <t>F12</t>
        </is>
      </c>
      <c r="E1041" t="inlineStr">
        <is>
          <t>INHERENTE</t>
        </is>
      </c>
      <c r="F1041" t="inlineStr">
        <is>
          <t>COMPRAVENTA DE TERRENOS</t>
        </is>
      </c>
      <c r="G1041" t="n">
        <v>6911053</v>
      </c>
      <c r="H1041" t="n">
        <v>5</v>
      </c>
      <c r="I1041" t="n">
        <v>5</v>
      </c>
      <c r="J1041" t="n">
        <v>8</v>
      </c>
      <c r="K1041" t="n">
        <v>40</v>
      </c>
      <c r="L1041" t="n">
        <v>40</v>
      </c>
      <c r="M1041" t="n">
        <v>40</v>
      </c>
      <c r="N1041" t="n">
        <v>40</v>
      </c>
      <c r="O1041" t="n">
        <v>40</v>
      </c>
      <c r="P1041" t="n">
        <v>8</v>
      </c>
      <c r="Q1041" t="inlineStr">
        <is>
          <t>DETERMINANTE</t>
        </is>
      </c>
      <c r="R1041" s="9" t="n">
        <v>0.08</v>
      </c>
      <c r="S1041" s="10" t="inlineStr">
        <is>
          <t>SÍ — integrante</t>
        </is>
      </c>
      <c r="T1041" s="11" t="inlineStr">
        <is>
          <t>B · INTEGRANTE</t>
        </is>
      </c>
      <c r="U1041" s="11" t="inlineStr">
        <is>
          <t>DEL BANCO (se hereda)</t>
        </is>
      </c>
      <c r="V1041" s="11" t="inlineStr">
        <is>
          <t>9113 · COMERCIO GENERAL</t>
        </is>
      </c>
      <c r="W1041" s="12" t="n"/>
      <c r="X1041" s="12" t="n"/>
    </row>
    <row r="1042" ht="15" customHeight="1">
      <c r="C1042" t="inlineStr">
        <is>
          <t>Actividad económica / giro mercantil</t>
        </is>
      </c>
      <c r="D1042" t="inlineStr">
        <is>
          <t>F12</t>
        </is>
      </c>
      <c r="E1042" t="inlineStr">
        <is>
          <t>INHERENTE</t>
        </is>
      </c>
      <c r="F1042" t="inlineStr">
        <is>
          <t>ACTUALIZACION MENSUAL DEL SALDO OPERACIONES DE CRE</t>
        </is>
      </c>
      <c r="G1042" t="n">
        <v>6911061</v>
      </c>
      <c r="H1042" t="n">
        <v>1</v>
      </c>
      <c r="I1042" t="n">
        <v>1</v>
      </c>
      <c r="J1042" t="n">
        <v>8</v>
      </c>
      <c r="K1042" t="n">
        <v>8</v>
      </c>
      <c r="L1042" t="n">
        <v>8</v>
      </c>
      <c r="M1042" t="n">
        <v>8</v>
      </c>
      <c r="N1042" t="n">
        <v>8</v>
      </c>
      <c r="O1042" t="n">
        <v>40</v>
      </c>
      <c r="P1042" t="n">
        <v>8</v>
      </c>
      <c r="R1042" s="9" t="n">
        <v>0.08</v>
      </c>
      <c r="S1042" s="10" t="inlineStr">
        <is>
          <t>SÍ — integrante</t>
        </is>
      </c>
      <c r="T1042" s="11" t="inlineStr">
        <is>
          <t>B · INTEGRANTE</t>
        </is>
      </c>
      <c r="U1042" s="11" t="inlineStr">
        <is>
          <t>DEL BANCO (se hereda)</t>
        </is>
      </c>
      <c r="V1042" s="11" t="inlineStr">
        <is>
          <t>9152 · INDUSTRIA Y MANUFACTURA</t>
        </is>
      </c>
      <c r="W1042" s="12" t="n"/>
      <c r="X1042" s="12" t="n"/>
    </row>
    <row r="1043" ht="15" customHeight="1">
      <c r="C1043" t="inlineStr">
        <is>
          <t>Actividad económica / giro mercantil</t>
        </is>
      </c>
      <c r="D1043" t="inlineStr">
        <is>
          <t>F12</t>
        </is>
      </c>
      <c r="E1043" t="inlineStr">
        <is>
          <t>INHERENTE</t>
        </is>
      </c>
      <c r="F1043" t="inlineStr">
        <is>
          <t>ADQUISICION DE VIVIENDA TIPO MEDIO</t>
        </is>
      </c>
      <c r="G1043" t="n">
        <v>6911079</v>
      </c>
      <c r="H1043" t="n">
        <v>1</v>
      </c>
      <c r="I1043" t="n">
        <v>1</v>
      </c>
      <c r="J1043" t="n">
        <v>8</v>
      </c>
      <c r="K1043" t="n">
        <v>8</v>
      </c>
      <c r="L1043" t="n">
        <v>8</v>
      </c>
      <c r="M1043" t="n">
        <v>8</v>
      </c>
      <c r="N1043" t="n">
        <v>8</v>
      </c>
      <c r="O1043" t="n">
        <v>40</v>
      </c>
      <c r="P1043" t="n">
        <v>8</v>
      </c>
      <c r="R1043" s="9" t="n">
        <v>0.08</v>
      </c>
      <c r="S1043" s="10" t="inlineStr">
        <is>
          <t>SÍ — integrante</t>
        </is>
      </c>
      <c r="T1043" s="11" t="inlineStr">
        <is>
          <t>B · INTEGRANTE</t>
        </is>
      </c>
      <c r="U1043" s="11" t="inlineStr">
        <is>
          <t>DEL BANCO (se hereda)</t>
        </is>
      </c>
      <c r="V1043" s="11" t="inlineStr">
        <is>
          <t>9117 · INMOBILIARIO / CONSTRUCCIÓN</t>
        </is>
      </c>
      <c r="W1043" s="12" t="n"/>
      <c r="X1043" s="12" t="n"/>
    </row>
    <row r="1044" ht="15" customHeight="1">
      <c r="C1044" t="inlineStr">
        <is>
          <t>Actividad económica / giro mercantil</t>
        </is>
      </c>
      <c r="D1044" t="inlineStr">
        <is>
          <t>F12</t>
        </is>
      </c>
      <c r="E1044" t="inlineStr">
        <is>
          <t>INHERENTE</t>
        </is>
      </c>
      <c r="F1044" t="inlineStr">
        <is>
          <t>USUARIOS MENORES ADQUISICION DE VIVIENDA TIPO MEDIO</t>
        </is>
      </c>
      <c r="G1044" t="n">
        <v>6911087</v>
      </c>
      <c r="H1044" t="n">
        <v>1</v>
      </c>
      <c r="I1044" t="n">
        <v>1</v>
      </c>
      <c r="J1044" t="n">
        <v>8</v>
      </c>
      <c r="K1044" t="n">
        <v>8</v>
      </c>
      <c r="L1044" t="n">
        <v>8</v>
      </c>
      <c r="M1044" t="n">
        <v>8</v>
      </c>
      <c r="N1044" t="n">
        <v>8</v>
      </c>
      <c r="O1044" t="n">
        <v>40</v>
      </c>
      <c r="P1044" t="n">
        <v>8</v>
      </c>
      <c r="R1044" s="9" t="n">
        <v>0.08</v>
      </c>
      <c r="S1044" s="10" t="inlineStr">
        <is>
          <t>SÍ — integrante</t>
        </is>
      </c>
      <c r="T1044" s="11" t="inlineStr">
        <is>
          <t>B · INTEGRANTE</t>
        </is>
      </c>
      <c r="U1044" s="11" t="inlineStr">
        <is>
          <t>DEL BANCO (se hereda)</t>
        </is>
      </c>
      <c r="V1044" s="11" t="inlineStr">
        <is>
          <t>9117 · INMOBILIARIO / CONSTRUCCIÓN</t>
        </is>
      </c>
      <c r="W1044" s="12" t="n"/>
      <c r="X1044" s="12" t="n"/>
    </row>
    <row r="1045" ht="15" customHeight="1">
      <c r="C1045" t="inlineStr">
        <is>
          <t>Actividad económica / giro mercantil</t>
        </is>
      </c>
      <c r="D1045" t="inlineStr">
        <is>
          <t>F12</t>
        </is>
      </c>
      <c r="E1045" t="inlineStr">
        <is>
          <t>INHERENTE</t>
        </is>
      </c>
      <c r="F1045" t="inlineStr">
        <is>
          <t>ADQUISICION DE VIVIENDA RESIDENCIAL</t>
        </is>
      </c>
      <c r="G1045" t="n">
        <v>6911095</v>
      </c>
      <c r="H1045" t="n">
        <v>1</v>
      </c>
      <c r="I1045" t="n">
        <v>1</v>
      </c>
      <c r="J1045" t="n">
        <v>8</v>
      </c>
      <c r="K1045" t="n">
        <v>8</v>
      </c>
      <c r="L1045" t="n">
        <v>8</v>
      </c>
      <c r="M1045" t="n">
        <v>8</v>
      </c>
      <c r="N1045" t="n">
        <v>8</v>
      </c>
      <c r="O1045" t="n">
        <v>40</v>
      </c>
      <c r="P1045" t="n">
        <v>8</v>
      </c>
      <c r="R1045" s="9" t="n">
        <v>0.08</v>
      </c>
      <c r="S1045" s="10" t="inlineStr">
        <is>
          <t>SÍ — integrante</t>
        </is>
      </c>
      <c r="T1045" s="11" t="inlineStr">
        <is>
          <t>B · INTEGRANTE</t>
        </is>
      </c>
      <c r="U1045" s="11" t="inlineStr">
        <is>
          <t>DEL BANCO (se hereda)</t>
        </is>
      </c>
      <c r="V1045" s="11" t="inlineStr">
        <is>
          <t>9117 · INMOBILIARIO / CONSTRUCCIÓN</t>
        </is>
      </c>
      <c r="W1045" s="12" t="n"/>
      <c r="X1045" s="12" t="n"/>
    </row>
    <row r="1046" ht="15" customHeight="1">
      <c r="C1046" t="inlineStr">
        <is>
          <t>Actividad económica / giro mercantil</t>
        </is>
      </c>
      <c r="D1046" t="inlineStr">
        <is>
          <t>F12</t>
        </is>
      </c>
      <c r="E1046" t="inlineStr">
        <is>
          <t>INHERENTE</t>
        </is>
      </c>
      <c r="F1046" t="inlineStr">
        <is>
          <t>USUARIOS MENORES ADQUISICION DE VIVIENDA RESIDENCIAL</t>
        </is>
      </c>
      <c r="G1046" t="n">
        <v>6911102</v>
      </c>
      <c r="H1046" t="n">
        <v>1</v>
      </c>
      <c r="I1046" t="n">
        <v>1</v>
      </c>
      <c r="J1046" t="n">
        <v>8</v>
      </c>
      <c r="K1046" t="n">
        <v>8</v>
      </c>
      <c r="L1046" t="n">
        <v>8</v>
      </c>
      <c r="M1046" t="n">
        <v>8</v>
      </c>
      <c r="N1046" t="n">
        <v>8</v>
      </c>
      <c r="O1046" t="n">
        <v>40</v>
      </c>
      <c r="P1046" t="n">
        <v>8</v>
      </c>
      <c r="R1046" s="9" t="n">
        <v>0.08</v>
      </c>
      <c r="S1046" s="10" t="inlineStr">
        <is>
          <t>SÍ — integrante</t>
        </is>
      </c>
      <c r="T1046" s="11" t="inlineStr">
        <is>
          <t>B · INTEGRANTE</t>
        </is>
      </c>
      <c r="U1046" s="11" t="inlineStr">
        <is>
          <t>DEL BANCO (se hereda)</t>
        </is>
      </c>
      <c r="V1046" s="11" t="inlineStr">
        <is>
          <t>9117 · INMOBILIARIO / CONSTRUCCIÓN</t>
        </is>
      </c>
      <c r="W1046" s="12" t="n"/>
      <c r="X1046" s="12" t="n"/>
    </row>
    <row r="1047" ht="15" customHeight="1">
      <c r="C1047" t="inlineStr">
        <is>
          <t>Actividad económica / giro mercantil</t>
        </is>
      </c>
      <c r="D1047" t="inlineStr">
        <is>
          <t>F12</t>
        </is>
      </c>
      <c r="E1047" t="inlineStr">
        <is>
          <t>INHERENTE</t>
        </is>
      </c>
      <c r="F1047" t="inlineStr">
        <is>
          <t>COMPRAVENTA DE ARMAS DE FUEGO</t>
        </is>
      </c>
      <c r="G1047" t="n">
        <v>6991013</v>
      </c>
      <c r="H1047" t="n">
        <v>5</v>
      </c>
      <c r="I1047" t="n">
        <v>5</v>
      </c>
      <c r="J1047" t="n">
        <v>8</v>
      </c>
      <c r="K1047" t="n">
        <v>40</v>
      </c>
      <c r="L1047" t="n">
        <v>40</v>
      </c>
      <c r="M1047" t="n">
        <v>40</v>
      </c>
      <c r="N1047" t="n">
        <v>40</v>
      </c>
      <c r="O1047" t="n">
        <v>40</v>
      </c>
      <c r="P1047" t="n">
        <v>8</v>
      </c>
      <c r="Q1047" t="inlineStr">
        <is>
          <t>PROHIBITIVO</t>
        </is>
      </c>
      <c r="R1047" s="9" t="n">
        <v>0.08</v>
      </c>
      <c r="S1047" s="10" t="inlineStr">
        <is>
          <t>SÍ — integrante</t>
        </is>
      </c>
      <c r="T1047" s="11" t="inlineStr">
        <is>
          <t>B · INTEGRANTE</t>
        </is>
      </c>
      <c r="U1047" s="11" t="inlineStr">
        <is>
          <t>DEL BANCO (se hereda)</t>
        </is>
      </c>
      <c r="V1047" s="11" t="inlineStr">
        <is>
          <t>9113 · COMERCIO GENERAL</t>
        </is>
      </c>
      <c r="W1047" s="12" t="n"/>
      <c r="X1047" s="12" t="n"/>
    </row>
    <row r="1048" ht="15" customHeight="1">
      <c r="C1048" t="inlineStr">
        <is>
          <t>Actividad económica / giro mercantil</t>
        </is>
      </c>
      <c r="D1048" t="inlineStr">
        <is>
          <t>F12</t>
        </is>
      </c>
      <c r="E1048" t="inlineStr">
        <is>
          <t>INHERENTE</t>
        </is>
      </c>
      <c r="F1048" t="inlineStr">
        <is>
          <t>AGENCIAS DE RIFAS Y SORTEOS (QUINIELAS Y LOTERIA)</t>
        </is>
      </c>
      <c r="G1048" t="n">
        <v>6992011</v>
      </c>
      <c r="H1048" t="n">
        <v>5</v>
      </c>
      <c r="I1048" t="n">
        <v>5</v>
      </c>
      <c r="J1048" t="n">
        <v>8</v>
      </c>
      <c r="K1048" t="n">
        <v>40</v>
      </c>
      <c r="L1048" t="n">
        <v>40</v>
      </c>
      <c r="M1048" t="n">
        <v>40</v>
      </c>
      <c r="N1048" t="n">
        <v>40</v>
      </c>
      <c r="O1048" t="n">
        <v>40</v>
      </c>
      <c r="P1048" t="n">
        <v>8</v>
      </c>
      <c r="Q1048" t="inlineStr">
        <is>
          <t>DETERMINANTE</t>
        </is>
      </c>
      <c r="R1048" s="9" t="n">
        <v>0.08</v>
      </c>
      <c r="S1048" s="10" t="inlineStr">
        <is>
          <t>SÍ — integrante</t>
        </is>
      </c>
      <c r="T1048" s="11" t="inlineStr">
        <is>
          <t>B · INTEGRANTE</t>
        </is>
      </c>
      <c r="U1048" s="11" t="inlineStr">
        <is>
          <t>DEL BANCO (se hereda)</t>
        </is>
      </c>
      <c r="V1048" s="11" t="inlineStr">
        <is>
          <t>9120 · EFECTIVO INTENSIVO</t>
        </is>
      </c>
      <c r="W1048" s="12" t="n"/>
      <c r="X1048" s="12" t="n"/>
    </row>
    <row r="1049" ht="15" customHeight="1">
      <c r="C1049" t="inlineStr">
        <is>
          <t>Actividad económica / giro mercantil</t>
        </is>
      </c>
      <c r="D1049" t="inlineStr">
        <is>
          <t>F12</t>
        </is>
      </c>
      <c r="E1049" t="inlineStr">
        <is>
          <t>INHERENTE</t>
        </is>
      </c>
      <c r="F1049" t="inlineStr">
        <is>
          <t>COMPRAVENTA DE PRODUCTOS VETERINARIOS Y OTROS ARTICULOS PARA EL CUIDADO DE LOS ANIMALES</t>
        </is>
      </c>
      <c r="G1049" t="n">
        <v>6993019</v>
      </c>
      <c r="H1049" t="n">
        <v>2</v>
      </c>
      <c r="I1049" t="n">
        <v>2</v>
      </c>
      <c r="J1049" t="n">
        <v>8</v>
      </c>
      <c r="K1049" t="n">
        <v>16</v>
      </c>
      <c r="L1049" t="n">
        <v>16</v>
      </c>
      <c r="M1049" t="n">
        <v>16</v>
      </c>
      <c r="N1049" t="n">
        <v>16</v>
      </c>
      <c r="O1049" t="n">
        <v>40</v>
      </c>
      <c r="P1049" t="n">
        <v>8</v>
      </c>
      <c r="R1049" s="9" t="n">
        <v>0.08</v>
      </c>
      <c r="S1049" s="10" t="inlineStr">
        <is>
          <t>SÍ — integrante</t>
        </is>
      </c>
      <c r="T1049" s="11" t="inlineStr">
        <is>
          <t>B · INTEGRANTE</t>
        </is>
      </c>
      <c r="U1049" s="11" t="inlineStr">
        <is>
          <t>DEL BANCO (se hereda)</t>
        </is>
      </c>
      <c r="V1049" s="11" t="inlineStr">
        <is>
          <t>9112 · SERVICIOS PROFESIONALES</t>
        </is>
      </c>
      <c r="W1049" s="12" t="n"/>
      <c r="X1049" s="12" t="n"/>
    </row>
    <row r="1050" ht="15" customHeight="1">
      <c r="C1050" t="inlineStr">
        <is>
          <t>Actividad económica / giro mercantil</t>
        </is>
      </c>
      <c r="D1050" t="inlineStr">
        <is>
          <t>F12</t>
        </is>
      </c>
      <c r="E1050" t="inlineStr">
        <is>
          <t>INHERENTE</t>
        </is>
      </c>
      <c r="F1050" t="inlineStr">
        <is>
          <t>COMPRAVENTA DE DIAMANTES</t>
        </is>
      </c>
      <c r="G1050" t="n">
        <v>6999017</v>
      </c>
      <c r="H1050" t="n">
        <v>5</v>
      </c>
      <c r="I1050" t="n">
        <v>5</v>
      </c>
      <c r="J1050" t="n">
        <v>8</v>
      </c>
      <c r="K1050" t="n">
        <v>40</v>
      </c>
      <c r="L1050" t="n">
        <v>40</v>
      </c>
      <c r="M1050" t="n">
        <v>40</v>
      </c>
      <c r="N1050" t="n">
        <v>40</v>
      </c>
      <c r="O1050" t="n">
        <v>40</v>
      </c>
      <c r="P1050" t="n">
        <v>8</v>
      </c>
      <c r="Q1050" t="inlineStr">
        <is>
          <t>DETERMINANTE</t>
        </is>
      </c>
      <c r="R1050" s="9" t="n">
        <v>0.08</v>
      </c>
      <c r="S1050" s="10" t="inlineStr">
        <is>
          <t>SÍ — integrante</t>
        </is>
      </c>
      <c r="T1050" s="11" t="inlineStr">
        <is>
          <t>B · INTEGRANTE</t>
        </is>
      </c>
      <c r="U1050" s="11" t="inlineStr">
        <is>
          <t>DEL BANCO (se hereda)</t>
        </is>
      </c>
      <c r="V1050" s="11" t="inlineStr">
        <is>
          <t>9113 · COMERCIO GENERAL</t>
        </is>
      </c>
      <c r="W1050" s="12" t="n"/>
      <c r="X1050" s="12" t="n"/>
    </row>
    <row r="1051" ht="15" customHeight="1">
      <c r="C1051" t="inlineStr">
        <is>
          <t>Actividad económica / giro mercantil</t>
        </is>
      </c>
      <c r="D1051" t="inlineStr">
        <is>
          <t>F12</t>
        </is>
      </c>
      <c r="E1051" t="inlineStr">
        <is>
          <t>INHERENTE</t>
        </is>
      </c>
      <c r="F1051" t="inlineStr">
        <is>
          <t>COMPRAVENTA DE EQUIPOS Y APARATOS DE AIRE ACONDICIONADO</t>
        </is>
      </c>
      <c r="G1051" t="n">
        <v>6999025</v>
      </c>
      <c r="H1051" t="n">
        <v>2</v>
      </c>
      <c r="I1051" t="n">
        <v>2</v>
      </c>
      <c r="J1051" t="n">
        <v>8</v>
      </c>
      <c r="K1051" t="n">
        <v>16</v>
      </c>
      <c r="L1051" t="n">
        <v>16</v>
      </c>
      <c r="M1051" t="n">
        <v>16</v>
      </c>
      <c r="N1051" t="n">
        <v>16</v>
      </c>
      <c r="O1051" t="n">
        <v>40</v>
      </c>
      <c r="P1051" t="n">
        <v>8</v>
      </c>
      <c r="R1051" s="9" t="n">
        <v>0.08</v>
      </c>
      <c r="S1051" s="10" t="inlineStr">
        <is>
          <t>SÍ — integrante</t>
        </is>
      </c>
      <c r="T1051" s="11" t="inlineStr">
        <is>
          <t>B · INTEGRANTE</t>
        </is>
      </c>
      <c r="U1051" s="11" t="inlineStr">
        <is>
          <t>DEL BANCO (se hereda)</t>
        </is>
      </c>
      <c r="V1051" s="11" t="inlineStr">
        <is>
          <t>9113 · COMERCIO GENERAL</t>
        </is>
      </c>
      <c r="W1051" s="12" t="n"/>
      <c r="X1051" s="12" t="n"/>
    </row>
    <row r="1052" ht="15" customHeight="1">
      <c r="C1052" t="inlineStr">
        <is>
          <t>Actividad económica / giro mercantil</t>
        </is>
      </c>
      <c r="D1052" t="inlineStr">
        <is>
          <t>F12</t>
        </is>
      </c>
      <c r="E1052" t="inlineStr">
        <is>
          <t>INHERENTE</t>
        </is>
      </c>
      <c r="F1052" t="inlineStr">
        <is>
          <t>COMPRAVENTA DE JARCIERIA REATAS CANASTAS Y ARTICULOS TEJIDOS DE FIBRA</t>
        </is>
      </c>
      <c r="G1052" t="n">
        <v>6999033</v>
      </c>
      <c r="H1052" t="n">
        <v>2</v>
      </c>
      <c r="I1052" t="n">
        <v>2</v>
      </c>
      <c r="J1052" t="n">
        <v>8</v>
      </c>
      <c r="K1052" t="n">
        <v>16</v>
      </c>
      <c r="L1052" t="n">
        <v>16</v>
      </c>
      <c r="M1052" t="n">
        <v>16</v>
      </c>
      <c r="N1052" t="n">
        <v>16</v>
      </c>
      <c r="O1052" t="n">
        <v>40</v>
      </c>
      <c r="P1052" t="n">
        <v>8</v>
      </c>
      <c r="R1052" s="9" t="n">
        <v>0.08</v>
      </c>
      <c r="S1052" s="10" t="inlineStr">
        <is>
          <t>SÍ — integrante</t>
        </is>
      </c>
      <c r="T1052" s="11" t="inlineStr">
        <is>
          <t>B · INTEGRANTE</t>
        </is>
      </c>
      <c r="U1052" s="11" t="inlineStr">
        <is>
          <t>DEL BANCO (se hereda)</t>
        </is>
      </c>
      <c r="V1052" s="11" t="inlineStr">
        <is>
          <t>9113 · COMERCIO GENERAL</t>
        </is>
      </c>
      <c r="W1052" s="12" t="n"/>
      <c r="X1052" s="12" t="n"/>
    </row>
    <row r="1053" ht="15" customHeight="1">
      <c r="C1053" t="inlineStr">
        <is>
          <t>Actividad económica / giro mercantil</t>
        </is>
      </c>
      <c r="D1053" t="inlineStr">
        <is>
          <t>F12</t>
        </is>
      </c>
      <c r="E1053" t="inlineStr">
        <is>
          <t>INHERENTE</t>
        </is>
      </c>
      <c r="F1053" t="inlineStr">
        <is>
          <t>COMPRAVENTA DE OTROS ARTICULOS DE PLASTICO</t>
        </is>
      </c>
      <c r="G1053" t="n">
        <v>6999041</v>
      </c>
      <c r="H1053" t="n">
        <v>2</v>
      </c>
      <c r="I1053" t="n">
        <v>2</v>
      </c>
      <c r="J1053" t="n">
        <v>8</v>
      </c>
      <c r="K1053" t="n">
        <v>16</v>
      </c>
      <c r="L1053" t="n">
        <v>16</v>
      </c>
      <c r="M1053" t="n">
        <v>16</v>
      </c>
      <c r="N1053" t="n">
        <v>16</v>
      </c>
      <c r="O1053" t="n">
        <v>40</v>
      </c>
      <c r="P1053" t="n">
        <v>8</v>
      </c>
      <c r="R1053" s="9" t="n">
        <v>0.08</v>
      </c>
      <c r="S1053" s="10" t="inlineStr">
        <is>
          <t>SÍ — integrante</t>
        </is>
      </c>
      <c r="T1053" s="11" t="inlineStr">
        <is>
          <t>B · INTEGRANTE</t>
        </is>
      </c>
      <c r="U1053" s="11" t="inlineStr">
        <is>
          <t>DEL BANCO (se hereda)</t>
        </is>
      </c>
      <c r="V1053" s="11" t="inlineStr">
        <is>
          <t>9113 · COMERCIO GENERAL</t>
        </is>
      </c>
      <c r="W1053" s="12" t="n"/>
      <c r="X1053" s="12" t="n"/>
    </row>
    <row r="1054" ht="15" customHeight="1">
      <c r="C1054" t="inlineStr">
        <is>
          <t>Actividad económica / giro mercantil</t>
        </is>
      </c>
      <c r="D1054" t="inlineStr">
        <is>
          <t>F12</t>
        </is>
      </c>
      <c r="E1054" t="inlineStr">
        <is>
          <t>INHERENTE</t>
        </is>
      </c>
      <c r="F1054" t="inlineStr">
        <is>
          <t>USUARIOS MENORES POR OPERACIONES DE REPORTO</t>
        </is>
      </c>
      <c r="G1054" t="n">
        <v>6999059</v>
      </c>
      <c r="H1054" t="n">
        <v>1</v>
      </c>
      <c r="I1054" t="n">
        <v>1</v>
      </c>
      <c r="J1054" t="n">
        <v>8</v>
      </c>
      <c r="K1054" t="n">
        <v>8</v>
      </c>
      <c r="L1054" t="n">
        <v>8</v>
      </c>
      <c r="M1054" t="n">
        <v>8</v>
      </c>
      <c r="N1054" t="n">
        <v>8</v>
      </c>
      <c r="O1054" t="n">
        <v>40</v>
      </c>
      <c r="P1054" t="n">
        <v>8</v>
      </c>
      <c r="R1054" s="9" t="n">
        <v>0.08</v>
      </c>
      <c r="S1054" s="10" t="inlineStr">
        <is>
          <t>SÍ — integrante</t>
        </is>
      </c>
      <c r="T1054" s="11" t="inlineStr">
        <is>
          <t>B · INTEGRANTE</t>
        </is>
      </c>
      <c r="U1054" s="11" t="inlineStr">
        <is>
          <t>DEL BANCO (se hereda)</t>
        </is>
      </c>
      <c r="V1054" s="11" t="inlineStr">
        <is>
          <t>9154 · OTRAS ACTIVIDADES NO CLASIFICADAS</t>
        </is>
      </c>
      <c r="W1054" s="12" t="n"/>
      <c r="X1054" s="12" t="n"/>
    </row>
    <row r="1055" ht="15" customHeight="1">
      <c r="C1055" t="inlineStr">
        <is>
          <t>Actividad económica / giro mercantil</t>
        </is>
      </c>
      <c r="D1055" t="inlineStr">
        <is>
          <t>F12</t>
        </is>
      </c>
      <c r="E1055" t="inlineStr">
        <is>
          <t>INHERENTE</t>
        </is>
      </c>
      <c r="F1055" t="inlineStr">
        <is>
          <t>COMPRAVENTA DE OTROS PRODUCTOS DE HULE</t>
        </is>
      </c>
      <c r="G1055" t="n">
        <v>6999067</v>
      </c>
      <c r="H1055" t="n">
        <v>2</v>
      </c>
      <c r="I1055" t="n">
        <v>2</v>
      </c>
      <c r="J1055" t="n">
        <v>8</v>
      </c>
      <c r="K1055" t="n">
        <v>16</v>
      </c>
      <c r="L1055" t="n">
        <v>16</v>
      </c>
      <c r="M1055" t="n">
        <v>16</v>
      </c>
      <c r="N1055" t="n">
        <v>16</v>
      </c>
      <c r="O1055" t="n">
        <v>40</v>
      </c>
      <c r="P1055" t="n">
        <v>8</v>
      </c>
      <c r="R1055" s="9" t="n">
        <v>0.08</v>
      </c>
      <c r="S1055" s="10" t="inlineStr">
        <is>
          <t>SÍ — integrante</t>
        </is>
      </c>
      <c r="T1055" s="11" t="inlineStr">
        <is>
          <t>B · INTEGRANTE</t>
        </is>
      </c>
      <c r="U1055" s="11" t="inlineStr">
        <is>
          <t>DEL BANCO (se hereda)</t>
        </is>
      </c>
      <c r="V1055" s="11" t="inlineStr">
        <is>
          <t>9151 · SECTOR PRIMARIO (agropecuario, pesca, forestal, minería)</t>
        </is>
      </c>
      <c r="W1055" s="12" t="n"/>
      <c r="X1055" s="12" t="n"/>
    </row>
    <row r="1056" ht="15" customHeight="1">
      <c r="C1056" t="inlineStr">
        <is>
          <t>Actividad económica / giro mercantil</t>
        </is>
      </c>
      <c r="D1056" t="inlineStr">
        <is>
          <t>F12</t>
        </is>
      </c>
      <c r="E1056" t="inlineStr">
        <is>
          <t>INHERENTE</t>
        </is>
      </c>
      <c r="F1056" t="inlineStr">
        <is>
          <t>COMPRAVENTA DE VELAS Y VELADORAS</t>
        </is>
      </c>
      <c r="G1056" t="n">
        <v>6999075</v>
      </c>
      <c r="H1056" t="n">
        <v>2</v>
      </c>
      <c r="I1056" t="n">
        <v>2</v>
      </c>
      <c r="J1056" t="n">
        <v>8</v>
      </c>
      <c r="K1056" t="n">
        <v>16</v>
      </c>
      <c r="L1056" t="n">
        <v>16</v>
      </c>
      <c r="M1056" t="n">
        <v>16</v>
      </c>
      <c r="N1056" t="n">
        <v>16</v>
      </c>
      <c r="O1056" t="n">
        <v>40</v>
      </c>
      <c r="P1056" t="n">
        <v>8</v>
      </c>
      <c r="R1056" s="9" t="n">
        <v>0.08</v>
      </c>
      <c r="S1056" s="10" t="inlineStr">
        <is>
          <t>SÍ — integrante</t>
        </is>
      </c>
      <c r="T1056" s="11" t="inlineStr">
        <is>
          <t>B · INTEGRANTE</t>
        </is>
      </c>
      <c r="U1056" s="11" t="inlineStr">
        <is>
          <t>DEL BANCO (se hereda)</t>
        </is>
      </c>
      <c r="V1056" s="11" t="inlineStr">
        <is>
          <t>9113 · COMERCIO GENERAL</t>
        </is>
      </c>
      <c r="W1056" s="12" t="n"/>
      <c r="X1056" s="12" t="n"/>
    </row>
    <row r="1057" ht="15" customHeight="1">
      <c r="C1057" t="inlineStr">
        <is>
          <t>Actividad económica / giro mercantil</t>
        </is>
      </c>
      <c r="D1057" t="inlineStr">
        <is>
          <t>F12</t>
        </is>
      </c>
      <c r="E1057" t="inlineStr">
        <is>
          <t>INHERENTE</t>
        </is>
      </c>
      <c r="F1057" t="inlineStr">
        <is>
          <t>CREDITOS PERSONALES AL CONSUMO</t>
        </is>
      </c>
      <c r="G1057" t="n">
        <v>6999083</v>
      </c>
      <c r="H1057" t="n">
        <v>5</v>
      </c>
      <c r="I1057" t="n">
        <v>5</v>
      </c>
      <c r="J1057" t="n">
        <v>8</v>
      </c>
      <c r="K1057" t="n">
        <v>40</v>
      </c>
      <c r="L1057" t="n">
        <v>40</v>
      </c>
      <c r="M1057" t="n">
        <v>40</v>
      </c>
      <c r="N1057" t="n">
        <v>40</v>
      </c>
      <c r="O1057" t="n">
        <v>40</v>
      </c>
      <c r="P1057" t="n">
        <v>8</v>
      </c>
      <c r="Q1057" t="inlineStr">
        <is>
          <t>DETERMINANTE</t>
        </is>
      </c>
      <c r="R1057" s="9" t="n">
        <v>0.08</v>
      </c>
      <c r="S1057" s="10" t="inlineStr">
        <is>
          <t>SÍ — integrante</t>
        </is>
      </c>
      <c r="T1057" s="11" t="inlineStr">
        <is>
          <t>B · INTEGRANTE</t>
        </is>
      </c>
      <c r="U1057" s="11" t="inlineStr">
        <is>
          <t>DEL BANCO (se hereda)</t>
        </is>
      </c>
      <c r="V1057" s="11" t="inlineStr">
        <is>
          <t>9154 · OTRAS ACTIVIDADES NO CLASIFICADAS</t>
        </is>
      </c>
      <c r="W1057" s="12" t="n"/>
      <c r="X1057" s="12" t="n"/>
    </row>
    <row r="1058" ht="15" customHeight="1">
      <c r="C1058" t="inlineStr">
        <is>
          <t>Actividad económica / giro mercantil</t>
        </is>
      </c>
      <c r="D1058" t="inlineStr">
        <is>
          <t>F12</t>
        </is>
      </c>
      <c r="E1058" t="inlineStr">
        <is>
          <t>INHERENTE</t>
        </is>
      </c>
      <c r="F1058" t="inlineStr">
        <is>
          <t>PRESTAMOS AL PERSONAL DE LA INSTITUCION</t>
        </is>
      </c>
      <c r="G1058" t="n">
        <v>6999091</v>
      </c>
      <c r="H1058" t="n">
        <v>1</v>
      </c>
      <c r="I1058" t="n">
        <v>1</v>
      </c>
      <c r="J1058" t="n">
        <v>8</v>
      </c>
      <c r="K1058" t="n">
        <v>8</v>
      </c>
      <c r="L1058" t="n">
        <v>8</v>
      </c>
      <c r="M1058" t="n">
        <v>8</v>
      </c>
      <c r="N1058" t="n">
        <v>8</v>
      </c>
      <c r="O1058" t="n">
        <v>40</v>
      </c>
      <c r="P1058" t="n">
        <v>8</v>
      </c>
      <c r="R1058" s="9" t="n">
        <v>0.08</v>
      </c>
      <c r="S1058" s="10" t="inlineStr">
        <is>
          <t>SÍ — integrante</t>
        </is>
      </c>
      <c r="T1058" s="11" t="inlineStr">
        <is>
          <t>B · INTEGRANTE</t>
        </is>
      </c>
      <c r="U1058" s="11" t="inlineStr">
        <is>
          <t>DEL BANCO (se hereda)</t>
        </is>
      </c>
      <c r="V1058" s="11" t="inlineStr">
        <is>
          <t>9115 · SECTOR FINANCIERO REGULADO</t>
        </is>
      </c>
      <c r="W1058" s="12" t="n"/>
      <c r="X1058" s="12" t="n"/>
    </row>
    <row r="1059" ht="15" customHeight="1">
      <c r="C1059" t="inlineStr">
        <is>
          <t>Actividad económica / giro mercantil</t>
        </is>
      </c>
      <c r="D1059" t="inlineStr">
        <is>
          <t>F12</t>
        </is>
      </c>
      <c r="E1059" t="inlineStr">
        <is>
          <t>INHERENTE</t>
        </is>
      </c>
      <c r="F1059" t="inlineStr">
        <is>
          <t>COMPRAVENTA DE ARTICULOS NO CLASIFICADOS EN OTRA PARTE</t>
        </is>
      </c>
      <c r="G1059" t="n">
        <v>6999108</v>
      </c>
      <c r="H1059" t="n">
        <v>2</v>
      </c>
      <c r="I1059" t="n">
        <v>2</v>
      </c>
      <c r="J1059" t="n">
        <v>8</v>
      </c>
      <c r="K1059" t="n">
        <v>16</v>
      </c>
      <c r="L1059" t="n">
        <v>16</v>
      </c>
      <c r="M1059" t="n">
        <v>16</v>
      </c>
      <c r="N1059" t="n">
        <v>16</v>
      </c>
      <c r="O1059" t="n">
        <v>40</v>
      </c>
      <c r="P1059" t="n">
        <v>8</v>
      </c>
      <c r="R1059" s="9" t="n">
        <v>0.08</v>
      </c>
      <c r="S1059" s="10" t="inlineStr">
        <is>
          <t>SÍ — integrante</t>
        </is>
      </c>
      <c r="T1059" s="11" t="inlineStr">
        <is>
          <t>B · INTEGRANTE</t>
        </is>
      </c>
      <c r="U1059" s="11" t="inlineStr">
        <is>
          <t>DEL BANCO (se hereda)</t>
        </is>
      </c>
      <c r="V1059" s="11" t="inlineStr">
        <is>
          <t>9113 · COMERCIO GENERAL</t>
        </is>
      </c>
      <c r="W1059" s="12" t="n"/>
      <c r="X1059" s="12" t="n"/>
    </row>
    <row r="1060" ht="15" customHeight="1">
      <c r="C1060" t="inlineStr">
        <is>
          <t>Actividad económica / giro mercantil</t>
        </is>
      </c>
      <c r="D1060" t="inlineStr">
        <is>
          <t>F12</t>
        </is>
      </c>
      <c r="E1060" t="inlineStr">
        <is>
          <t>INHERENTE</t>
        </is>
      </c>
      <c r="F1060" t="inlineStr">
        <is>
          <t>TARJETA DE CREDITO</t>
        </is>
      </c>
      <c r="G1060" t="n">
        <v>6999116</v>
      </c>
      <c r="H1060" t="n">
        <v>3</v>
      </c>
      <c r="I1060" t="n">
        <v>3</v>
      </c>
      <c r="J1060" t="n">
        <v>8</v>
      </c>
      <c r="K1060" t="n">
        <v>24</v>
      </c>
      <c r="L1060" t="n">
        <v>24</v>
      </c>
      <c r="M1060" t="n">
        <v>24</v>
      </c>
      <c r="N1060" t="n">
        <v>24</v>
      </c>
      <c r="O1060" t="n">
        <v>40</v>
      </c>
      <c r="P1060" t="n">
        <v>8</v>
      </c>
      <c r="R1060" s="9" t="n">
        <v>0.08</v>
      </c>
      <c r="S1060" s="10" t="inlineStr">
        <is>
          <t>SÍ — integrante</t>
        </is>
      </c>
      <c r="T1060" s="11" t="inlineStr">
        <is>
          <t>B · INTEGRANTE</t>
        </is>
      </c>
      <c r="U1060" s="11" t="inlineStr">
        <is>
          <t>DEL BANCO (se hereda)</t>
        </is>
      </c>
      <c r="V1060" s="11" t="inlineStr">
        <is>
          <t>9154 · OTRAS ACTIVIDADES NO CLASIFICADAS</t>
        </is>
      </c>
      <c r="W1060" s="12" t="n"/>
      <c r="X1060" s="12" t="n"/>
    </row>
    <row r="1061" ht="15" customHeight="1">
      <c r="C1061" t="inlineStr">
        <is>
          <t>Actividad económica / giro mercantil</t>
        </is>
      </c>
      <c r="D1061" t="inlineStr">
        <is>
          <t>F12</t>
        </is>
      </c>
      <c r="E1061" t="inlineStr">
        <is>
          <t>INHERENTE</t>
        </is>
      </c>
      <c r="F1061" t="inlineStr">
        <is>
          <t>CREDITOS PARA ADQUISICION DE BIENES DE CONSUMO DURADERO</t>
        </is>
      </c>
      <c r="G1061" t="n">
        <v>6999124</v>
      </c>
      <c r="H1061" t="n">
        <v>5</v>
      </c>
      <c r="I1061" t="n">
        <v>5</v>
      </c>
      <c r="J1061" t="n">
        <v>8</v>
      </c>
      <c r="K1061" t="n">
        <v>40</v>
      </c>
      <c r="L1061" t="n">
        <v>40</v>
      </c>
      <c r="M1061" t="n">
        <v>40</v>
      </c>
      <c r="N1061" t="n">
        <v>40</v>
      </c>
      <c r="O1061" t="n">
        <v>40</v>
      </c>
      <c r="P1061" t="n">
        <v>8</v>
      </c>
      <c r="Q1061" t="inlineStr">
        <is>
          <t>DETERMINANTE</t>
        </is>
      </c>
      <c r="R1061" s="9" t="n">
        <v>0.08</v>
      </c>
      <c r="S1061" s="10" t="inlineStr">
        <is>
          <t>SÍ — integrante</t>
        </is>
      </c>
      <c r="T1061" s="11" t="inlineStr">
        <is>
          <t>B · INTEGRANTE</t>
        </is>
      </c>
      <c r="U1061" s="11" t="inlineStr">
        <is>
          <t>DEL BANCO (se hereda)</t>
        </is>
      </c>
      <c r="V1061" s="11" t="inlineStr">
        <is>
          <t>9154 · OTRAS ACTIVIDADES NO CLASIFICADAS</t>
        </is>
      </c>
      <c r="W1061" s="12" t="n"/>
      <c r="X1061" s="12" t="n"/>
    </row>
    <row r="1062" ht="15" customHeight="1">
      <c r="C1062" t="inlineStr">
        <is>
          <t>Actividad económica / giro mercantil</t>
        </is>
      </c>
      <c r="D1062" t="inlineStr">
        <is>
          <t>F12</t>
        </is>
      </c>
      <c r="E1062" t="inlineStr">
        <is>
          <t>INHERENTE</t>
        </is>
      </c>
      <c r="F1062" t="inlineStr">
        <is>
          <t>CONSUMOS PERSONALES</t>
        </is>
      </c>
      <c r="G1062" t="n">
        <v>6999132</v>
      </c>
      <c r="H1062" t="n">
        <v>1</v>
      </c>
      <c r="I1062" t="n">
        <v>1</v>
      </c>
      <c r="J1062" t="n">
        <v>8</v>
      </c>
      <c r="K1062" t="n">
        <v>8</v>
      </c>
      <c r="L1062" t="n">
        <v>8</v>
      </c>
      <c r="M1062" t="n">
        <v>8</v>
      </c>
      <c r="N1062" t="n">
        <v>8</v>
      </c>
      <c r="O1062" t="n">
        <v>40</v>
      </c>
      <c r="P1062" t="n">
        <v>8</v>
      </c>
      <c r="R1062" s="9" t="n">
        <v>0.08</v>
      </c>
      <c r="S1062" s="10" t="inlineStr">
        <is>
          <t>SÍ — integrante</t>
        </is>
      </c>
      <c r="T1062" s="11" t="inlineStr">
        <is>
          <t>B · INTEGRANTE</t>
        </is>
      </c>
      <c r="U1062" s="11" t="inlineStr">
        <is>
          <t>DEL BANCO (se hereda)</t>
        </is>
      </c>
      <c r="V1062" s="11" t="inlineStr">
        <is>
          <t>9154 · OTRAS ACTIVIDADES NO CLASIFICADAS</t>
        </is>
      </c>
      <c r="W1062" s="12" t="n"/>
      <c r="X1062" s="12" t="n"/>
    </row>
    <row r="1063" ht="15" customHeight="1">
      <c r="C1063" t="inlineStr">
        <is>
          <t>Actividad económica / giro mercantil</t>
        </is>
      </c>
      <c r="D1063" t="inlineStr">
        <is>
          <t>F12</t>
        </is>
      </c>
      <c r="E1063" t="inlineStr">
        <is>
          <t>INHERENTE</t>
        </is>
      </c>
      <c r="F1063" t="inlineStr">
        <is>
          <t>OPERACIONES DE ARRENDAMIENTO CAPITALIZABLE</t>
        </is>
      </c>
      <c r="G1063" t="n">
        <v>6999146</v>
      </c>
      <c r="H1063" t="n">
        <v>2</v>
      </c>
      <c r="I1063" t="n">
        <v>2</v>
      </c>
      <c r="J1063" t="n">
        <v>8</v>
      </c>
      <c r="K1063" t="n">
        <v>16</v>
      </c>
      <c r="L1063" t="n">
        <v>16</v>
      </c>
      <c r="M1063" t="n">
        <v>16</v>
      </c>
      <c r="N1063" t="n">
        <v>16</v>
      </c>
      <c r="O1063" t="n">
        <v>40</v>
      </c>
      <c r="P1063" t="n">
        <v>8</v>
      </c>
      <c r="R1063" s="9" t="n">
        <v>0.08</v>
      </c>
      <c r="S1063" s="10" t="inlineStr">
        <is>
          <t>SÍ — integrante</t>
        </is>
      </c>
      <c r="T1063" s="11" t="inlineStr">
        <is>
          <t>B · INTEGRANTE</t>
        </is>
      </c>
      <c r="U1063" s="11" t="inlineStr">
        <is>
          <t>DEL BANCO (se hereda)</t>
        </is>
      </c>
      <c r="V1063" s="11" t="inlineStr">
        <is>
          <t>9154 · OTRAS ACTIVIDADES NO CLASIFICADAS</t>
        </is>
      </c>
      <c r="W1063" s="12" t="n"/>
      <c r="X1063" s="12" t="n"/>
    </row>
    <row r="1064" ht="15" customHeight="1">
      <c r="C1064" t="inlineStr">
        <is>
          <t>Actividad económica / giro mercantil</t>
        </is>
      </c>
      <c r="D1064" t="inlineStr">
        <is>
          <t>F12</t>
        </is>
      </c>
      <c r="E1064" t="inlineStr">
        <is>
          <t>INHERENTE</t>
        </is>
      </c>
      <c r="F1064" t="inlineStr">
        <is>
          <t>OTROS CREDITOS AL CONSUMO</t>
        </is>
      </c>
      <c r="G1064" t="n">
        <v>6999158</v>
      </c>
      <c r="H1064" t="n">
        <v>4</v>
      </c>
      <c r="I1064" t="n">
        <v>4</v>
      </c>
      <c r="J1064" t="n">
        <v>8</v>
      </c>
      <c r="K1064" t="n">
        <v>32</v>
      </c>
      <c r="L1064" t="n">
        <v>32</v>
      </c>
      <c r="M1064" t="n">
        <v>32</v>
      </c>
      <c r="N1064" t="n">
        <v>32</v>
      </c>
      <c r="O1064" t="n">
        <v>40</v>
      </c>
      <c r="P1064" t="n">
        <v>8</v>
      </c>
      <c r="R1064" s="9" t="n">
        <v>0.08</v>
      </c>
      <c r="S1064" s="10" t="inlineStr">
        <is>
          <t>SÍ — integrante</t>
        </is>
      </c>
      <c r="T1064" s="11" t="inlineStr">
        <is>
          <t>B · INTEGRANTE</t>
        </is>
      </c>
      <c r="U1064" s="11" t="inlineStr">
        <is>
          <t>DEL BANCO (se hereda)</t>
        </is>
      </c>
      <c r="V1064" s="11" t="inlineStr">
        <is>
          <t>9154 · OTRAS ACTIVIDADES NO CLASIFICADAS</t>
        </is>
      </c>
      <c r="W1064" s="12" t="n"/>
      <c r="X1064" s="12" t="n"/>
    </row>
    <row r="1065" ht="15" customHeight="1">
      <c r="C1065" t="inlineStr">
        <is>
          <t>Actividad económica / giro mercantil</t>
        </is>
      </c>
      <c r="D1065" t="inlineStr">
        <is>
          <t>F12</t>
        </is>
      </c>
      <c r="E1065" t="inlineStr">
        <is>
          <t>INHERENTE</t>
        </is>
      </c>
      <c r="F1065" t="inlineStr">
        <is>
          <t>AUTOMOTRIZ</t>
        </is>
      </c>
      <c r="G1065" t="n">
        <v>6999166</v>
      </c>
      <c r="H1065" t="n">
        <v>2</v>
      </c>
      <c r="I1065" t="n">
        <v>2</v>
      </c>
      <c r="J1065" t="n">
        <v>8</v>
      </c>
      <c r="K1065" t="n">
        <v>16</v>
      </c>
      <c r="L1065" t="n">
        <v>16</v>
      </c>
      <c r="M1065" t="n">
        <v>16</v>
      </c>
      <c r="N1065" t="n">
        <v>16</v>
      </c>
      <c r="O1065" t="n">
        <v>40</v>
      </c>
      <c r="P1065" t="n">
        <v>8</v>
      </c>
      <c r="R1065" s="9" t="n">
        <v>0.08</v>
      </c>
      <c r="S1065" s="10" t="inlineStr">
        <is>
          <t>SÍ — integrante</t>
        </is>
      </c>
      <c r="T1065" s="11" t="inlineStr">
        <is>
          <t>B · INTEGRANTE</t>
        </is>
      </c>
      <c r="U1065" s="11" t="inlineStr">
        <is>
          <t>DEL BANCO (se hereda)</t>
        </is>
      </c>
      <c r="V1065" s="11" t="inlineStr">
        <is>
          <t>9152 · INDUSTRIA Y MANUFACTURA</t>
        </is>
      </c>
      <c r="W1065" s="12" t="n"/>
      <c r="X1065" s="12" t="n"/>
    </row>
    <row r="1066" ht="15" customHeight="1">
      <c r="C1066" t="inlineStr">
        <is>
          <t>Actividad económica / giro mercantil</t>
        </is>
      </c>
      <c r="D1066" t="inlineStr">
        <is>
          <t>F12</t>
        </is>
      </c>
      <c r="E1066" t="inlineStr">
        <is>
          <t>INHERENTE</t>
        </is>
      </c>
      <c r="F1066" t="inlineStr">
        <is>
          <t>ADQUISICION DE BIENES MUEBLES</t>
        </is>
      </c>
      <c r="G1066" t="n">
        <v>6999174</v>
      </c>
      <c r="H1066" t="n">
        <v>2</v>
      </c>
      <c r="I1066" t="n">
        <v>2</v>
      </c>
      <c r="J1066" t="n">
        <v>8</v>
      </c>
      <c r="K1066" t="n">
        <v>16</v>
      </c>
      <c r="L1066" t="n">
        <v>16</v>
      </c>
      <c r="M1066" t="n">
        <v>16</v>
      </c>
      <c r="N1066" t="n">
        <v>16</v>
      </c>
      <c r="O1066" t="n">
        <v>40</v>
      </c>
      <c r="P1066" t="n">
        <v>8</v>
      </c>
      <c r="R1066" s="9" t="n">
        <v>0.08</v>
      </c>
      <c r="S1066" s="10" t="inlineStr">
        <is>
          <t>SÍ — integrante</t>
        </is>
      </c>
      <c r="T1066" s="11" t="inlineStr">
        <is>
          <t>B · INTEGRANTE</t>
        </is>
      </c>
      <c r="U1066" s="11" t="inlineStr">
        <is>
          <t>DEL BANCO (se hereda)</t>
        </is>
      </c>
      <c r="V1066" s="11" t="inlineStr">
        <is>
          <t>9154 · OTRAS ACTIVIDADES NO CLASIFICADAS</t>
        </is>
      </c>
      <c r="W1066" s="12" t="n"/>
      <c r="X1066" s="12" t="n"/>
    </row>
    <row r="1067" ht="15" customHeight="1">
      <c r="C1067" t="inlineStr">
        <is>
          <t>Actividad económica / giro mercantil</t>
        </is>
      </c>
      <c r="D1067" t="inlineStr">
        <is>
          <t>F12</t>
        </is>
      </c>
      <c r="E1067" t="inlineStr">
        <is>
          <t>INHERENTE</t>
        </is>
      </c>
      <c r="F1067" t="inlineStr">
        <is>
          <t>USUARIOS MENORES COMERCIO</t>
        </is>
      </c>
      <c r="G1067" t="n">
        <v>6999900</v>
      </c>
      <c r="H1067" t="n">
        <v>2</v>
      </c>
      <c r="I1067" t="n">
        <v>2</v>
      </c>
      <c r="J1067" t="n">
        <v>8</v>
      </c>
      <c r="K1067" t="n">
        <v>16</v>
      </c>
      <c r="L1067" t="n">
        <v>16</v>
      </c>
      <c r="M1067" t="n">
        <v>16</v>
      </c>
      <c r="N1067" t="n">
        <v>16</v>
      </c>
      <c r="O1067" t="n">
        <v>40</v>
      </c>
      <c r="P1067" t="n">
        <v>8</v>
      </c>
      <c r="R1067" s="9" t="n">
        <v>0.08</v>
      </c>
      <c r="S1067" s="10" t="inlineStr">
        <is>
          <t>SÍ — integrante</t>
        </is>
      </c>
      <c r="T1067" s="11" t="inlineStr">
        <is>
          <t>B · INTEGRANTE</t>
        </is>
      </c>
      <c r="U1067" s="11" t="inlineStr">
        <is>
          <t>DEL BANCO (se hereda)</t>
        </is>
      </c>
      <c r="V1067" s="11" t="inlineStr">
        <is>
          <t>9113 · COMERCIO GENERAL</t>
        </is>
      </c>
      <c r="W1067" s="12" t="n"/>
      <c r="X1067" s="12" t="n"/>
    </row>
    <row r="1068" ht="15" customHeight="1">
      <c r="C1068" t="inlineStr">
        <is>
          <t>Actividad económica / giro mercantil</t>
        </is>
      </c>
      <c r="D1068" t="inlineStr">
        <is>
          <t>F12</t>
        </is>
      </c>
      <c r="E1068" t="inlineStr">
        <is>
          <t>INHERENTE</t>
        </is>
      </c>
      <c r="F1068" t="inlineStr">
        <is>
          <t>CARTERA DE COMERCIO DE ESTADOS ANALITICOS</t>
        </is>
      </c>
      <c r="G1068" t="n">
        <v>6999991</v>
      </c>
      <c r="H1068" t="n">
        <v>2</v>
      </c>
      <c r="I1068" t="n">
        <v>2</v>
      </c>
      <c r="J1068" t="n">
        <v>8</v>
      </c>
      <c r="K1068" t="n">
        <v>16</v>
      </c>
      <c r="L1068" t="n">
        <v>16</v>
      </c>
      <c r="M1068" t="n">
        <v>16</v>
      </c>
      <c r="N1068" t="n">
        <v>16</v>
      </c>
      <c r="O1068" t="n">
        <v>40</v>
      </c>
      <c r="P1068" t="n">
        <v>8</v>
      </c>
      <c r="R1068" s="9" t="n">
        <v>0.08</v>
      </c>
      <c r="S1068" s="10" t="inlineStr">
        <is>
          <t>SÍ — integrante</t>
        </is>
      </c>
      <c r="T1068" s="11" t="inlineStr">
        <is>
          <t>B · INTEGRANTE</t>
        </is>
      </c>
      <c r="U1068" s="11" t="inlineStr">
        <is>
          <t>DEL BANCO (se hereda)</t>
        </is>
      </c>
      <c r="V1068" s="11" t="inlineStr">
        <is>
          <t>9113 · COMERCIO GENERAL</t>
        </is>
      </c>
      <c r="W1068" s="12" t="n"/>
      <c r="X1068" s="12" t="n"/>
    </row>
    <row r="1069" ht="15" customHeight="1">
      <c r="C1069" t="inlineStr">
        <is>
          <t>Actividad económica / giro mercantil</t>
        </is>
      </c>
      <c r="D1069" t="inlineStr">
        <is>
          <t>F12</t>
        </is>
      </c>
      <c r="E1069" t="inlineStr">
        <is>
          <t>INHERENTE</t>
        </is>
      </c>
      <c r="F1069" t="inlineStr">
        <is>
          <t>CENTROS CAMBIARIOS</t>
        </is>
      </c>
      <c r="G1069" t="n">
        <v>6999992</v>
      </c>
      <c r="H1069" t="n">
        <v>5</v>
      </c>
      <c r="I1069" t="n">
        <v>5</v>
      </c>
      <c r="J1069" t="n">
        <v>8</v>
      </c>
      <c r="K1069" t="n">
        <v>40</v>
      </c>
      <c r="L1069" t="n">
        <v>40</v>
      </c>
      <c r="M1069" t="n">
        <v>40</v>
      </c>
      <c r="N1069" t="n">
        <v>40</v>
      </c>
      <c r="O1069" t="n">
        <v>40</v>
      </c>
      <c r="P1069" t="n">
        <v>8</v>
      </c>
      <c r="Q1069" t="inlineStr">
        <is>
          <t>DETERMINANTE</t>
        </is>
      </c>
      <c r="R1069" s="9" t="n">
        <v>0.08</v>
      </c>
      <c r="S1069" s="10" t="inlineStr">
        <is>
          <t>SÍ — integrante</t>
        </is>
      </c>
      <c r="T1069" s="11" t="inlineStr">
        <is>
          <t>B · INTEGRANTE</t>
        </is>
      </c>
      <c r="U1069" s="11" t="inlineStr">
        <is>
          <t>DEL BANCO (se hereda)</t>
        </is>
      </c>
      <c r="V1069" s="11" t="inlineStr">
        <is>
          <t>9154 · OTRAS ACTIVIDADES NO CLASIFICADAS</t>
        </is>
      </c>
      <c r="W1069" s="12" t="n"/>
      <c r="X1069" s="12" t="n"/>
    </row>
    <row r="1070" ht="15" customHeight="1">
      <c r="C1070" t="inlineStr">
        <is>
          <t>Actividad económica / giro mercantil</t>
        </is>
      </c>
      <c r="D1070" t="inlineStr">
        <is>
          <t>F12</t>
        </is>
      </c>
      <c r="E1070" t="inlineStr">
        <is>
          <t>INHERENTE</t>
        </is>
      </c>
      <c r="F1070" t="inlineStr">
        <is>
          <t>TRANSPORTE TERRESTRE</t>
        </is>
      </c>
      <c r="G1070" t="n">
        <v>7100001</v>
      </c>
      <c r="H1070" t="n">
        <v>1</v>
      </c>
      <c r="I1070" t="n">
        <v>1</v>
      </c>
      <c r="J1070" t="n">
        <v>8</v>
      </c>
      <c r="K1070" t="n">
        <v>8</v>
      </c>
      <c r="L1070" t="n">
        <v>8</v>
      </c>
      <c r="M1070" t="n">
        <v>8</v>
      </c>
      <c r="N1070" t="n">
        <v>8</v>
      </c>
      <c r="O1070" t="n">
        <v>40</v>
      </c>
      <c r="P1070" t="n">
        <v>8</v>
      </c>
      <c r="R1070" s="9" t="n">
        <v>0.08</v>
      </c>
      <c r="S1070" s="10" t="inlineStr">
        <is>
          <t>SÍ — integrante</t>
        </is>
      </c>
      <c r="T1070" s="11" t="inlineStr">
        <is>
          <t>B · INTEGRANTE</t>
        </is>
      </c>
      <c r="U1070" s="11" t="inlineStr">
        <is>
          <t>DEL BANCO (se hereda)</t>
        </is>
      </c>
      <c r="V1070" s="11" t="inlineStr">
        <is>
          <t>9154 · OTRAS ACTIVIDADES NO CLASIFICADAS</t>
        </is>
      </c>
      <c r="W1070" s="12" t="n"/>
      <c r="X1070" s="12" t="n"/>
    </row>
    <row r="1071" ht="15" customHeight="1">
      <c r="C1071" t="inlineStr">
        <is>
          <t>Actividad económica / giro mercantil</t>
        </is>
      </c>
      <c r="D1071" t="inlineStr">
        <is>
          <t>F12</t>
        </is>
      </c>
      <c r="E1071" t="inlineStr">
        <is>
          <t>INHERENTE</t>
        </is>
      </c>
      <c r="F1071" t="inlineStr">
        <is>
          <t>TRANSPORTE EN AUTOBUS URBANO Y SUBURBANO DE PASAJEROS</t>
        </is>
      </c>
      <c r="G1071" t="n">
        <v>7111016</v>
      </c>
      <c r="H1071" t="n">
        <v>1</v>
      </c>
      <c r="I1071" t="n">
        <v>1</v>
      </c>
      <c r="J1071" t="n">
        <v>8</v>
      </c>
      <c r="K1071" t="n">
        <v>8</v>
      </c>
      <c r="L1071" t="n">
        <v>8</v>
      </c>
      <c r="M1071" t="n">
        <v>8</v>
      </c>
      <c r="N1071" t="n">
        <v>8</v>
      </c>
      <c r="O1071" t="n">
        <v>40</v>
      </c>
      <c r="P1071" t="n">
        <v>8</v>
      </c>
      <c r="R1071" s="9" t="n">
        <v>0.08</v>
      </c>
      <c r="S1071" s="10" t="inlineStr">
        <is>
          <t>SÍ — integrante</t>
        </is>
      </c>
      <c r="T1071" s="11" t="inlineStr">
        <is>
          <t>B · INTEGRANTE</t>
        </is>
      </c>
      <c r="U1071" s="11" t="inlineStr">
        <is>
          <t>DEL BANCO (se hereda)</t>
        </is>
      </c>
      <c r="V1071" s="11" t="inlineStr">
        <is>
          <t>9154 · OTRAS ACTIVIDADES NO CLASIFICADAS</t>
        </is>
      </c>
      <c r="W1071" s="12" t="n"/>
      <c r="X1071" s="12" t="n"/>
    </row>
    <row r="1072" ht="15" customHeight="1">
      <c r="C1072" t="inlineStr">
        <is>
          <t>Actividad económica / giro mercantil</t>
        </is>
      </c>
      <c r="D1072" t="inlineStr">
        <is>
          <t>F12</t>
        </is>
      </c>
      <c r="E1072" t="inlineStr">
        <is>
          <t>INHERENTE</t>
        </is>
      </c>
      <c r="F1072" t="inlineStr">
        <is>
          <t>TRANSPORTE EN AUTOBUS FORANEO DE PASAJEROS</t>
        </is>
      </c>
      <c r="G1072" t="n">
        <v>7112014</v>
      </c>
      <c r="H1072" t="n">
        <v>1</v>
      </c>
      <c r="I1072" t="n">
        <v>1</v>
      </c>
      <c r="J1072" t="n">
        <v>8</v>
      </c>
      <c r="K1072" t="n">
        <v>8</v>
      </c>
      <c r="L1072" t="n">
        <v>8</v>
      </c>
      <c r="M1072" t="n">
        <v>8</v>
      </c>
      <c r="N1072" t="n">
        <v>8</v>
      </c>
      <c r="O1072" t="n">
        <v>40</v>
      </c>
      <c r="P1072" t="n">
        <v>8</v>
      </c>
      <c r="R1072" s="9" t="n">
        <v>0.08</v>
      </c>
      <c r="S1072" s="10" t="inlineStr">
        <is>
          <t>SÍ — integrante</t>
        </is>
      </c>
      <c r="T1072" s="11" t="inlineStr">
        <is>
          <t>B · INTEGRANTE</t>
        </is>
      </c>
      <c r="U1072" s="11" t="inlineStr">
        <is>
          <t>DEL BANCO (se hereda)</t>
        </is>
      </c>
      <c r="V1072" s="11" t="inlineStr">
        <is>
          <t>9154 · OTRAS ACTIVIDADES NO CLASIFICADAS</t>
        </is>
      </c>
      <c r="W1072" s="12" t="n"/>
      <c r="X1072" s="12" t="n"/>
    </row>
    <row r="1073" ht="15" customHeight="1">
      <c r="C1073" t="inlineStr">
        <is>
          <t>Actividad económica / giro mercantil</t>
        </is>
      </c>
      <c r="D1073" t="inlineStr">
        <is>
          <t>F12</t>
        </is>
      </c>
      <c r="E1073" t="inlineStr">
        <is>
          <t>INHERENTE</t>
        </is>
      </c>
      <c r="F1073" t="inlineStr">
        <is>
          <t>TRANSPORTE EN AUTOMOVIL DE RULETEO</t>
        </is>
      </c>
      <c r="G1073" t="n">
        <v>7113012</v>
      </c>
      <c r="H1073" t="n">
        <v>2</v>
      </c>
      <c r="I1073" t="n">
        <v>2</v>
      </c>
      <c r="J1073" t="n">
        <v>8</v>
      </c>
      <c r="K1073" t="n">
        <v>16</v>
      </c>
      <c r="L1073" t="n">
        <v>16</v>
      </c>
      <c r="M1073" t="n">
        <v>16</v>
      </c>
      <c r="N1073" t="n">
        <v>16</v>
      </c>
      <c r="O1073" t="n">
        <v>40</v>
      </c>
      <c r="P1073" t="n">
        <v>8</v>
      </c>
      <c r="R1073" s="9" t="n">
        <v>0.08</v>
      </c>
      <c r="S1073" s="10" t="inlineStr">
        <is>
          <t>SÍ — integrante</t>
        </is>
      </c>
      <c r="T1073" s="11" t="inlineStr">
        <is>
          <t>B · INTEGRANTE</t>
        </is>
      </c>
      <c r="U1073" s="11" t="inlineStr">
        <is>
          <t>DEL BANCO (se hereda)</t>
        </is>
      </c>
      <c r="V1073" s="11" t="inlineStr">
        <is>
          <t>9154 · OTRAS ACTIVIDADES NO CLASIFICADAS</t>
        </is>
      </c>
      <c r="W1073" s="12" t="n"/>
      <c r="X1073" s="12" t="n"/>
    </row>
    <row r="1074" ht="15" customHeight="1">
      <c r="C1074" t="inlineStr">
        <is>
          <t>Actividad económica / giro mercantil</t>
        </is>
      </c>
      <c r="D1074" t="inlineStr">
        <is>
          <t>F12</t>
        </is>
      </c>
      <c r="E1074" t="inlineStr">
        <is>
          <t>INHERENTE</t>
        </is>
      </c>
      <c r="F1074" t="inlineStr">
        <is>
          <t>TRANSPORTE EN AUTOMOVILES DE SITIO Y TURISMO</t>
        </is>
      </c>
      <c r="G1074" t="n">
        <v>7114010</v>
      </c>
      <c r="H1074" t="n">
        <v>2</v>
      </c>
      <c r="I1074" t="n">
        <v>2</v>
      </c>
      <c r="J1074" t="n">
        <v>8</v>
      </c>
      <c r="K1074" t="n">
        <v>16</v>
      </c>
      <c r="L1074" t="n">
        <v>16</v>
      </c>
      <c r="M1074" t="n">
        <v>16</v>
      </c>
      <c r="N1074" t="n">
        <v>16</v>
      </c>
      <c r="O1074" t="n">
        <v>40</v>
      </c>
      <c r="P1074" t="n">
        <v>8</v>
      </c>
      <c r="R1074" s="9" t="n">
        <v>0.08</v>
      </c>
      <c r="S1074" s="10" t="inlineStr">
        <is>
          <t>SÍ — integrante</t>
        </is>
      </c>
      <c r="T1074" s="11" t="inlineStr">
        <is>
          <t>B · INTEGRANTE</t>
        </is>
      </c>
      <c r="U1074" s="11" t="inlineStr">
        <is>
          <t>DEL BANCO (se hereda)</t>
        </is>
      </c>
      <c r="V1074" s="11" t="inlineStr">
        <is>
          <t>9154 · OTRAS ACTIVIDADES NO CLASIFICADAS</t>
        </is>
      </c>
      <c r="W1074" s="12" t="n"/>
      <c r="X1074" s="12" t="n"/>
    </row>
    <row r="1075" ht="15" customHeight="1">
      <c r="C1075" t="inlineStr">
        <is>
          <t>Actividad económica / giro mercantil</t>
        </is>
      </c>
      <c r="D1075" t="inlineStr">
        <is>
          <t>F12</t>
        </is>
      </c>
      <c r="E1075" t="inlineStr">
        <is>
          <t>INHERENTE</t>
        </is>
      </c>
      <c r="F1075" t="inlineStr">
        <is>
          <t>TRANSPORTE EN AUTOMOVIL DE RUTA FIJA</t>
        </is>
      </c>
      <c r="G1075" t="n">
        <v>7115018</v>
      </c>
      <c r="H1075" t="n">
        <v>2</v>
      </c>
      <c r="I1075" t="n">
        <v>2</v>
      </c>
      <c r="J1075" t="n">
        <v>8</v>
      </c>
      <c r="K1075" t="n">
        <v>16</v>
      </c>
      <c r="L1075" t="n">
        <v>16</v>
      </c>
      <c r="M1075" t="n">
        <v>16</v>
      </c>
      <c r="N1075" t="n">
        <v>16</v>
      </c>
      <c r="O1075" t="n">
        <v>40</v>
      </c>
      <c r="P1075" t="n">
        <v>8</v>
      </c>
      <c r="R1075" s="9" t="n">
        <v>0.08</v>
      </c>
      <c r="S1075" s="10" t="inlineStr">
        <is>
          <t>SÍ — integrante</t>
        </is>
      </c>
      <c r="T1075" s="11" t="inlineStr">
        <is>
          <t>B · INTEGRANTE</t>
        </is>
      </c>
      <c r="U1075" s="11" t="inlineStr">
        <is>
          <t>DEL BANCO (se hereda)</t>
        </is>
      </c>
      <c r="V1075" s="11" t="inlineStr">
        <is>
          <t>9154 · OTRAS ACTIVIDADES NO CLASIFICADAS</t>
        </is>
      </c>
      <c r="W1075" s="12" t="n"/>
      <c r="X1075" s="12" t="n"/>
    </row>
    <row r="1076" ht="15" customHeight="1">
      <c r="C1076" t="inlineStr">
        <is>
          <t>Actividad económica / giro mercantil</t>
        </is>
      </c>
      <c r="D1076" t="inlineStr">
        <is>
          <t>F12</t>
        </is>
      </c>
      <c r="E1076" t="inlineStr">
        <is>
          <t>INHERENTE</t>
        </is>
      </c>
      <c r="F1076" t="inlineStr">
        <is>
          <t>AUTOTRANSPORTE ESCOLAR TURISTICO EN AUTOBUS Y OTROS ESPECIALIZADOS EXCEPTO AMBULANCIAS</t>
        </is>
      </c>
      <c r="G1076" t="n">
        <v>7119010</v>
      </c>
      <c r="H1076" t="n">
        <v>1</v>
      </c>
      <c r="I1076" t="n">
        <v>1</v>
      </c>
      <c r="J1076" t="n">
        <v>8</v>
      </c>
      <c r="K1076" t="n">
        <v>8</v>
      </c>
      <c r="L1076" t="n">
        <v>8</v>
      </c>
      <c r="M1076" t="n">
        <v>8</v>
      </c>
      <c r="N1076" t="n">
        <v>8</v>
      </c>
      <c r="O1076" t="n">
        <v>40</v>
      </c>
      <c r="P1076" t="n">
        <v>8</v>
      </c>
      <c r="R1076" s="9" t="n">
        <v>0.08</v>
      </c>
      <c r="S1076" s="10" t="inlineStr">
        <is>
          <t>SÍ — integrante</t>
        </is>
      </c>
      <c r="T1076" s="11" t="inlineStr">
        <is>
          <t>B · INTEGRANTE</t>
        </is>
      </c>
      <c r="U1076" s="11" t="inlineStr">
        <is>
          <t>DEL BANCO (se hereda)</t>
        </is>
      </c>
      <c r="V1076" s="11" t="inlineStr">
        <is>
          <t>9154 · OTRAS ACTIVIDADES NO CLASIFICADAS</t>
        </is>
      </c>
      <c r="W1076" s="12" t="n"/>
      <c r="X1076" s="12" t="n"/>
    </row>
    <row r="1077" ht="15" customHeight="1">
      <c r="C1077" t="inlineStr">
        <is>
          <t>Actividad económica / giro mercantil</t>
        </is>
      </c>
      <c r="D1077" t="inlineStr">
        <is>
          <t>F12</t>
        </is>
      </c>
      <c r="E1077" t="inlineStr">
        <is>
          <t>INHERENTE</t>
        </is>
      </c>
      <c r="F1077" t="inlineStr">
        <is>
          <t>AUTOTRANSPORTE DE MATERIALES DE CONSTRUCCION</t>
        </is>
      </c>
      <c r="G1077" t="n">
        <v>7121015</v>
      </c>
      <c r="H1077" t="n">
        <v>2</v>
      </c>
      <c r="I1077" t="n">
        <v>2</v>
      </c>
      <c r="J1077" t="n">
        <v>8</v>
      </c>
      <c r="K1077" t="n">
        <v>16</v>
      </c>
      <c r="L1077" t="n">
        <v>16</v>
      </c>
      <c r="M1077" t="n">
        <v>16</v>
      </c>
      <c r="N1077" t="n">
        <v>16</v>
      </c>
      <c r="O1077" t="n">
        <v>40</v>
      </c>
      <c r="P1077" t="n">
        <v>8</v>
      </c>
      <c r="R1077" s="9" t="n">
        <v>0.08</v>
      </c>
      <c r="S1077" s="10" t="inlineStr">
        <is>
          <t>SÍ — integrante</t>
        </is>
      </c>
      <c r="T1077" s="11" t="inlineStr">
        <is>
          <t>B · INTEGRANTE</t>
        </is>
      </c>
      <c r="U1077" s="11" t="inlineStr">
        <is>
          <t>DEL BANCO (se hereda)</t>
        </is>
      </c>
      <c r="V1077" s="11" t="inlineStr">
        <is>
          <t>9117 · INMOBILIARIO / CONSTRUCCIÓN</t>
        </is>
      </c>
      <c r="W1077" s="12" t="n"/>
      <c r="X1077" s="12" t="n"/>
    </row>
    <row r="1078" ht="15" customHeight="1">
      <c r="C1078" t="inlineStr">
        <is>
          <t>Actividad económica / giro mercantil</t>
        </is>
      </c>
      <c r="D1078" t="inlineStr">
        <is>
          <t>F12</t>
        </is>
      </c>
      <c r="E1078" t="inlineStr">
        <is>
          <t>INHERENTE</t>
        </is>
      </c>
      <c r="F1078" t="inlineStr">
        <is>
          <t>AGENCIA DE MUDANZAS</t>
        </is>
      </c>
      <c r="G1078" t="n">
        <v>7122013</v>
      </c>
      <c r="H1078" t="n">
        <v>2</v>
      </c>
      <c r="I1078" t="n">
        <v>2</v>
      </c>
      <c r="J1078" t="n">
        <v>8</v>
      </c>
      <c r="K1078" t="n">
        <v>16</v>
      </c>
      <c r="L1078" t="n">
        <v>16</v>
      </c>
      <c r="M1078" t="n">
        <v>16</v>
      </c>
      <c r="N1078" t="n">
        <v>16</v>
      </c>
      <c r="O1078" t="n">
        <v>40</v>
      </c>
      <c r="P1078" t="n">
        <v>8</v>
      </c>
      <c r="R1078" s="9" t="n">
        <v>0.08</v>
      </c>
      <c r="S1078" s="10" t="inlineStr">
        <is>
          <t>SÍ — integrante</t>
        </is>
      </c>
      <c r="T1078" s="11" t="inlineStr">
        <is>
          <t>B · INTEGRANTE</t>
        </is>
      </c>
      <c r="U1078" s="11" t="inlineStr">
        <is>
          <t>DEL BANCO (se hereda)</t>
        </is>
      </c>
      <c r="V1078" s="11" t="inlineStr">
        <is>
          <t>9154 · OTRAS ACTIVIDADES NO CLASIFICADAS</t>
        </is>
      </c>
      <c r="W1078" s="12" t="n"/>
      <c r="X1078" s="12" t="n"/>
    </row>
    <row r="1079" ht="15" customHeight="1">
      <c r="C1079" t="inlineStr">
        <is>
          <t>Actividad económica / giro mercantil</t>
        </is>
      </c>
      <c r="D1079" t="inlineStr">
        <is>
          <t>F12</t>
        </is>
      </c>
      <c r="E1079" t="inlineStr">
        <is>
          <t>INHERENTE</t>
        </is>
      </c>
      <c r="F1079" t="inlineStr">
        <is>
          <t>AUTOTRANSPORTE DE CARGA DE PRODUCTOS ESPECIFICOS</t>
        </is>
      </c>
      <c r="G1079" t="n">
        <v>7123011</v>
      </c>
      <c r="H1079" t="n">
        <v>2</v>
      </c>
      <c r="I1079" t="n">
        <v>2</v>
      </c>
      <c r="J1079" t="n">
        <v>8</v>
      </c>
      <c r="K1079" t="n">
        <v>16</v>
      </c>
      <c r="L1079" t="n">
        <v>16</v>
      </c>
      <c r="M1079" t="n">
        <v>16</v>
      </c>
      <c r="N1079" t="n">
        <v>16</v>
      </c>
      <c r="O1079" t="n">
        <v>40</v>
      </c>
      <c r="P1079" t="n">
        <v>8</v>
      </c>
      <c r="R1079" s="9" t="n">
        <v>0.08</v>
      </c>
      <c r="S1079" s="10" t="inlineStr">
        <is>
          <t>SÍ — integrante</t>
        </is>
      </c>
      <c r="T1079" s="11" t="inlineStr">
        <is>
          <t>B · INTEGRANTE</t>
        </is>
      </c>
      <c r="U1079" s="11" t="inlineStr">
        <is>
          <t>DEL BANCO (se hereda)</t>
        </is>
      </c>
      <c r="V1079" s="11" t="inlineStr">
        <is>
          <t>9152 · INDUSTRIA Y MANUFACTURA</t>
        </is>
      </c>
      <c r="W1079" s="12" t="n"/>
      <c r="X1079" s="12" t="n"/>
    </row>
    <row r="1080" ht="15" customHeight="1">
      <c r="C1080" t="inlineStr">
        <is>
          <t>Actividad económica / giro mercantil</t>
        </is>
      </c>
      <c r="D1080" t="inlineStr">
        <is>
          <t>F12</t>
        </is>
      </c>
      <c r="E1080" t="inlineStr">
        <is>
          <t>INHERENTE</t>
        </is>
      </c>
      <c r="F1080" t="inlineStr">
        <is>
          <t>TRANSPORTE DE CARGA FORANEA</t>
        </is>
      </c>
      <c r="G1080" t="n">
        <v>7129019</v>
      </c>
      <c r="H1080" t="n">
        <v>1</v>
      </c>
      <c r="I1080" t="n">
        <v>1</v>
      </c>
      <c r="J1080" t="n">
        <v>8</v>
      </c>
      <c r="K1080" t="n">
        <v>8</v>
      </c>
      <c r="L1080" t="n">
        <v>8</v>
      </c>
      <c r="M1080" t="n">
        <v>8</v>
      </c>
      <c r="N1080" t="n">
        <v>8</v>
      </c>
      <c r="O1080" t="n">
        <v>40</v>
      </c>
      <c r="P1080" t="n">
        <v>8</v>
      </c>
      <c r="R1080" s="9" t="n">
        <v>0.08</v>
      </c>
      <c r="S1080" s="10" t="inlineStr">
        <is>
          <t>SÍ — integrante</t>
        </is>
      </c>
      <c r="T1080" s="11" t="inlineStr">
        <is>
          <t>B · INTEGRANTE</t>
        </is>
      </c>
      <c r="U1080" s="11" t="inlineStr">
        <is>
          <t>DEL BANCO (se hereda)</t>
        </is>
      </c>
      <c r="V1080" s="11" t="inlineStr">
        <is>
          <t>9154 · OTRAS ACTIVIDADES NO CLASIFICADAS</t>
        </is>
      </c>
      <c r="W1080" s="12" t="n"/>
      <c r="X1080" s="12" t="n"/>
    </row>
    <row r="1081" ht="15" customHeight="1">
      <c r="C1081" t="inlineStr">
        <is>
          <t>Actividad económica / giro mercantil</t>
        </is>
      </c>
      <c r="D1081" t="inlineStr">
        <is>
          <t>F12</t>
        </is>
      </c>
      <c r="E1081" t="inlineStr">
        <is>
          <t>INHERENTE</t>
        </is>
      </c>
      <c r="F1081" t="inlineStr">
        <is>
          <t>USUARIOS MENORES TRANSPORTES</t>
        </is>
      </c>
      <c r="G1081" t="n">
        <v>7129902</v>
      </c>
      <c r="H1081" t="n">
        <v>1</v>
      </c>
      <c r="I1081" t="n">
        <v>1</v>
      </c>
      <c r="J1081" t="n">
        <v>8</v>
      </c>
      <c r="K1081" t="n">
        <v>8</v>
      </c>
      <c r="L1081" t="n">
        <v>8</v>
      </c>
      <c r="M1081" t="n">
        <v>8</v>
      </c>
      <c r="N1081" t="n">
        <v>8</v>
      </c>
      <c r="O1081" t="n">
        <v>40</v>
      </c>
      <c r="P1081" t="n">
        <v>8</v>
      </c>
      <c r="R1081" s="9" t="n">
        <v>0.08</v>
      </c>
      <c r="S1081" s="10" t="inlineStr">
        <is>
          <t>SÍ — integrante</t>
        </is>
      </c>
      <c r="T1081" s="11" t="inlineStr">
        <is>
          <t>B · INTEGRANTE</t>
        </is>
      </c>
      <c r="U1081" s="11" t="inlineStr">
        <is>
          <t>DEL BANCO (se hereda)</t>
        </is>
      </c>
      <c r="V1081" s="11" t="inlineStr">
        <is>
          <t>9154 · OTRAS ACTIVIDADES NO CLASIFICADAS</t>
        </is>
      </c>
      <c r="W1081" s="12" t="n"/>
      <c r="X1081" s="12" t="n"/>
    </row>
    <row r="1082" ht="15" customHeight="1">
      <c r="C1082" t="inlineStr">
        <is>
          <t>Actividad económica / giro mercantil</t>
        </is>
      </c>
      <c r="D1082" t="inlineStr">
        <is>
          <t>F12</t>
        </is>
      </c>
      <c r="E1082" t="inlineStr">
        <is>
          <t>INHERENTE</t>
        </is>
      </c>
      <c r="F1082" t="inlineStr">
        <is>
          <t>CARTERA DE TRANSPORTES DE ESTADOS ANALITICOS</t>
        </is>
      </c>
      <c r="G1082" t="n">
        <v>7129910</v>
      </c>
      <c r="H1082" t="n">
        <v>2</v>
      </c>
      <c r="I1082" t="n">
        <v>2</v>
      </c>
      <c r="J1082" t="n">
        <v>8</v>
      </c>
      <c r="K1082" t="n">
        <v>16</v>
      </c>
      <c r="L1082" t="n">
        <v>16</v>
      </c>
      <c r="M1082" t="n">
        <v>16</v>
      </c>
      <c r="N1082" t="n">
        <v>16</v>
      </c>
      <c r="O1082" t="n">
        <v>40</v>
      </c>
      <c r="P1082" t="n">
        <v>8</v>
      </c>
      <c r="R1082" s="9" t="n">
        <v>0.08</v>
      </c>
      <c r="S1082" s="10" t="inlineStr">
        <is>
          <t>SÍ — integrante</t>
        </is>
      </c>
      <c r="T1082" s="11" t="inlineStr">
        <is>
          <t>B · INTEGRANTE</t>
        </is>
      </c>
      <c r="U1082" s="11" t="inlineStr">
        <is>
          <t>DEL BANCO (se hereda)</t>
        </is>
      </c>
      <c r="V1082" s="11" t="inlineStr">
        <is>
          <t>9154 · OTRAS ACTIVIDADES NO CLASIFICADAS</t>
        </is>
      </c>
      <c r="W1082" s="12" t="n"/>
      <c r="X1082" s="12" t="n"/>
    </row>
    <row r="1083" ht="15" customHeight="1">
      <c r="C1083" t="inlineStr">
        <is>
          <t>Actividad económica / giro mercantil</t>
        </is>
      </c>
      <c r="D1083" t="inlineStr">
        <is>
          <t>F12</t>
        </is>
      </c>
      <c r="E1083" t="inlineStr">
        <is>
          <t>INHERENTE</t>
        </is>
      </c>
      <c r="F1083" t="inlineStr">
        <is>
          <t>FERROCARRILES</t>
        </is>
      </c>
      <c r="G1083" t="n">
        <v>7131014</v>
      </c>
      <c r="H1083" t="n">
        <v>1</v>
      </c>
      <c r="I1083" t="n">
        <v>1</v>
      </c>
      <c r="J1083" t="n">
        <v>8</v>
      </c>
      <c r="K1083" t="n">
        <v>8</v>
      </c>
      <c r="L1083" t="n">
        <v>8</v>
      </c>
      <c r="M1083" t="n">
        <v>8</v>
      </c>
      <c r="N1083" t="n">
        <v>8</v>
      </c>
      <c r="O1083" t="n">
        <v>40</v>
      </c>
      <c r="P1083" t="n">
        <v>8</v>
      </c>
      <c r="R1083" s="9" t="n">
        <v>0.08</v>
      </c>
      <c r="S1083" s="10" t="inlineStr">
        <is>
          <t>SÍ — integrante</t>
        </is>
      </c>
      <c r="T1083" s="11" t="inlineStr">
        <is>
          <t>B · INTEGRANTE</t>
        </is>
      </c>
      <c r="U1083" s="11" t="inlineStr">
        <is>
          <t>DEL BANCO (se hereda)</t>
        </is>
      </c>
      <c r="V1083" s="11" t="inlineStr">
        <is>
          <t>9154 · OTRAS ACTIVIDADES NO CLASIFICADAS</t>
        </is>
      </c>
      <c r="W1083" s="12" t="n"/>
      <c r="X1083" s="12" t="n"/>
    </row>
    <row r="1084" ht="15" customHeight="1">
      <c r="C1084" t="inlineStr">
        <is>
          <t>Actividad económica / giro mercantil</t>
        </is>
      </c>
      <c r="D1084" t="inlineStr">
        <is>
          <t>F12</t>
        </is>
      </c>
      <c r="E1084" t="inlineStr">
        <is>
          <t>INHERENTE</t>
        </is>
      </c>
      <c r="F1084" t="inlineStr">
        <is>
          <t>TRANVIAS Y TROLEBUSES</t>
        </is>
      </c>
      <c r="G1084" t="n">
        <v>7132012</v>
      </c>
      <c r="H1084" t="n">
        <v>1</v>
      </c>
      <c r="I1084" t="n">
        <v>1</v>
      </c>
      <c r="J1084" t="n">
        <v>8</v>
      </c>
      <c r="K1084" t="n">
        <v>8</v>
      </c>
      <c r="L1084" t="n">
        <v>8</v>
      </c>
      <c r="M1084" t="n">
        <v>8</v>
      </c>
      <c r="N1084" t="n">
        <v>8</v>
      </c>
      <c r="O1084" t="n">
        <v>40</v>
      </c>
      <c r="P1084" t="n">
        <v>8</v>
      </c>
      <c r="R1084" s="9" t="n">
        <v>0.08</v>
      </c>
      <c r="S1084" s="10" t="inlineStr">
        <is>
          <t>SÍ — integrante</t>
        </is>
      </c>
      <c r="T1084" s="11" t="inlineStr">
        <is>
          <t>B · INTEGRANTE</t>
        </is>
      </c>
      <c r="U1084" s="11" t="inlineStr">
        <is>
          <t>DEL BANCO (se hereda)</t>
        </is>
      </c>
      <c r="V1084" s="11" t="inlineStr">
        <is>
          <t>9154 · OTRAS ACTIVIDADES NO CLASIFICADAS</t>
        </is>
      </c>
      <c r="W1084" s="12" t="n"/>
      <c r="X1084" s="12" t="n"/>
    </row>
    <row r="1085" ht="15" customHeight="1">
      <c r="C1085" t="inlineStr">
        <is>
          <t>Actividad económica / giro mercantil</t>
        </is>
      </c>
      <c r="D1085" t="inlineStr">
        <is>
          <t>F12</t>
        </is>
      </c>
      <c r="E1085" t="inlineStr">
        <is>
          <t>INHERENTE</t>
        </is>
      </c>
      <c r="F1085" t="inlineStr">
        <is>
          <t>TRANSPORTE EN FERROCARRIL URBANO (METRO)</t>
        </is>
      </c>
      <c r="G1085" t="n">
        <v>7133010</v>
      </c>
      <c r="H1085" t="n">
        <v>4</v>
      </c>
      <c r="I1085" t="n">
        <v>4</v>
      </c>
      <c r="J1085" t="n">
        <v>8</v>
      </c>
      <c r="K1085" t="n">
        <v>32</v>
      </c>
      <c r="L1085" t="n">
        <v>32</v>
      </c>
      <c r="M1085" t="n">
        <v>32</v>
      </c>
      <c r="N1085" t="n">
        <v>32</v>
      </c>
      <c r="O1085" t="n">
        <v>40</v>
      </c>
      <c r="P1085" t="n">
        <v>8</v>
      </c>
      <c r="R1085" s="9" t="n">
        <v>0.08</v>
      </c>
      <c r="S1085" s="10" t="inlineStr">
        <is>
          <t>SÍ — integrante</t>
        </is>
      </c>
      <c r="T1085" s="11" t="inlineStr">
        <is>
          <t>B · INTEGRANTE</t>
        </is>
      </c>
      <c r="U1085" s="11" t="inlineStr">
        <is>
          <t>DEL BANCO (se hereda)</t>
        </is>
      </c>
      <c r="V1085" s="11" t="inlineStr">
        <is>
          <t>9154 · OTRAS ACTIVIDADES NO CLASIFICADAS</t>
        </is>
      </c>
      <c r="W1085" s="12" t="n"/>
      <c r="X1085" s="12" t="n"/>
    </row>
    <row r="1086" ht="15" customHeight="1">
      <c r="C1086" t="inlineStr">
        <is>
          <t>Actividad económica / giro mercantil</t>
        </is>
      </c>
      <c r="D1086" t="inlineStr">
        <is>
          <t>F12</t>
        </is>
      </c>
      <c r="E1086" t="inlineStr">
        <is>
          <t>INHERENTE</t>
        </is>
      </c>
      <c r="F1086" t="inlineStr">
        <is>
          <t>TRANSPORTE POR DUCTOS</t>
        </is>
      </c>
      <c r="G1086" t="n">
        <v>7191018</v>
      </c>
      <c r="H1086" t="n">
        <v>1</v>
      </c>
      <c r="I1086" t="n">
        <v>1</v>
      </c>
      <c r="J1086" t="n">
        <v>8</v>
      </c>
      <c r="K1086" t="n">
        <v>8</v>
      </c>
      <c r="L1086" t="n">
        <v>8</v>
      </c>
      <c r="M1086" t="n">
        <v>8</v>
      </c>
      <c r="N1086" t="n">
        <v>8</v>
      </c>
      <c r="O1086" t="n">
        <v>40</v>
      </c>
      <c r="P1086" t="n">
        <v>8</v>
      </c>
      <c r="R1086" s="9" t="n">
        <v>0.08</v>
      </c>
      <c r="S1086" s="10" t="inlineStr">
        <is>
          <t>SÍ — integrante</t>
        </is>
      </c>
      <c r="T1086" s="11" t="inlineStr">
        <is>
          <t>B · INTEGRANTE</t>
        </is>
      </c>
      <c r="U1086" s="11" t="inlineStr">
        <is>
          <t>DEL BANCO (se hereda)</t>
        </is>
      </c>
      <c r="V1086" s="11" t="inlineStr">
        <is>
          <t>9154 · OTRAS ACTIVIDADES NO CLASIFICADAS</t>
        </is>
      </c>
      <c r="W1086" s="12" t="n"/>
      <c r="X1086" s="12" t="n"/>
    </row>
    <row r="1087" ht="15" customHeight="1">
      <c r="C1087" t="inlineStr">
        <is>
          <t>Actividad económica / giro mercantil</t>
        </is>
      </c>
      <c r="D1087" t="inlineStr">
        <is>
          <t>F12</t>
        </is>
      </c>
      <c r="E1087" t="inlineStr">
        <is>
          <t>INHERENTE</t>
        </is>
      </c>
      <c r="F1087" t="inlineStr">
        <is>
          <t>TRANSPORTE POR AGUA</t>
        </is>
      </c>
      <c r="G1087" t="n">
        <v>7200009</v>
      </c>
      <c r="H1087" t="n">
        <v>1</v>
      </c>
      <c r="I1087" t="n">
        <v>1</v>
      </c>
      <c r="J1087" t="n">
        <v>8</v>
      </c>
      <c r="K1087" t="n">
        <v>8</v>
      </c>
      <c r="L1087" t="n">
        <v>8</v>
      </c>
      <c r="M1087" t="n">
        <v>8</v>
      </c>
      <c r="N1087" t="n">
        <v>8</v>
      </c>
      <c r="O1087" t="n">
        <v>40</v>
      </c>
      <c r="P1087" t="n">
        <v>8</v>
      </c>
      <c r="R1087" s="9" t="n">
        <v>0.08</v>
      </c>
      <c r="S1087" s="10" t="inlineStr">
        <is>
          <t>SÍ — integrante</t>
        </is>
      </c>
      <c r="T1087" s="11" t="inlineStr">
        <is>
          <t>B · INTEGRANTE</t>
        </is>
      </c>
      <c r="U1087" s="11" t="inlineStr">
        <is>
          <t>DEL BANCO (se hereda)</t>
        </is>
      </c>
      <c r="V1087" s="11" t="inlineStr">
        <is>
          <t>9154 · OTRAS ACTIVIDADES NO CLASIFICADAS</t>
        </is>
      </c>
      <c r="W1087" s="12" t="n"/>
      <c r="X1087" s="12" t="n"/>
    </row>
    <row r="1088" ht="15" customHeight="1">
      <c r="C1088" t="inlineStr">
        <is>
          <t>Actividad económica / giro mercantil</t>
        </is>
      </c>
      <c r="D1088" t="inlineStr">
        <is>
          <t>F12</t>
        </is>
      </c>
      <c r="E1088" t="inlineStr">
        <is>
          <t>INHERENTE</t>
        </is>
      </c>
      <c r="F1088" t="inlineStr">
        <is>
          <t>AGENCIA DE VAPORES Y BUQUES</t>
        </is>
      </c>
      <c r="G1088" t="n">
        <v>7211014</v>
      </c>
      <c r="H1088" t="n">
        <v>1</v>
      </c>
      <c r="I1088" t="n">
        <v>1</v>
      </c>
      <c r="J1088" t="n">
        <v>8</v>
      </c>
      <c r="K1088" t="n">
        <v>8</v>
      </c>
      <c r="L1088" t="n">
        <v>8</v>
      </c>
      <c r="M1088" t="n">
        <v>8</v>
      </c>
      <c r="N1088" t="n">
        <v>8</v>
      </c>
      <c r="O1088" t="n">
        <v>40</v>
      </c>
      <c r="P1088" t="n">
        <v>8</v>
      </c>
      <c r="R1088" s="9" t="n">
        <v>0.08</v>
      </c>
      <c r="S1088" s="10" t="inlineStr">
        <is>
          <t>SÍ — integrante</t>
        </is>
      </c>
      <c r="T1088" s="11" t="inlineStr">
        <is>
          <t>B · INTEGRANTE</t>
        </is>
      </c>
      <c r="U1088" s="11" t="inlineStr">
        <is>
          <t>DEL BANCO (se hereda)</t>
        </is>
      </c>
      <c r="V1088" s="11" t="inlineStr">
        <is>
          <t>9154 · OTRAS ACTIVIDADES NO CLASIFICADAS</t>
        </is>
      </c>
      <c r="W1088" s="12" t="n"/>
      <c r="X1088" s="12" t="n"/>
    </row>
    <row r="1089" ht="15" customHeight="1">
      <c r="C1089" t="inlineStr">
        <is>
          <t>Actividad económica / giro mercantil</t>
        </is>
      </c>
      <c r="D1089" t="inlineStr">
        <is>
          <t>F12</t>
        </is>
      </c>
      <c r="E1089" t="inlineStr">
        <is>
          <t>INHERENTE</t>
        </is>
      </c>
      <c r="F1089" t="inlineStr">
        <is>
          <t>TRANSPORTES MARITIMOS DE CABOTAJE</t>
        </is>
      </c>
      <c r="G1089" t="n">
        <v>7212012</v>
      </c>
      <c r="H1089" t="n">
        <v>1</v>
      </c>
      <c r="I1089" t="n">
        <v>1</v>
      </c>
      <c r="J1089" t="n">
        <v>8</v>
      </c>
      <c r="K1089" t="n">
        <v>8</v>
      </c>
      <c r="L1089" t="n">
        <v>8</v>
      </c>
      <c r="M1089" t="n">
        <v>8</v>
      </c>
      <c r="N1089" t="n">
        <v>8</v>
      </c>
      <c r="O1089" t="n">
        <v>40</v>
      </c>
      <c r="P1089" t="n">
        <v>8</v>
      </c>
      <c r="R1089" s="9" t="n">
        <v>0.08</v>
      </c>
      <c r="S1089" s="10" t="inlineStr">
        <is>
          <t>SÍ — integrante</t>
        </is>
      </c>
      <c r="T1089" s="11" t="inlineStr">
        <is>
          <t>B · INTEGRANTE</t>
        </is>
      </c>
      <c r="U1089" s="11" t="inlineStr">
        <is>
          <t>DEL BANCO (se hereda)</t>
        </is>
      </c>
      <c r="V1089" s="11" t="inlineStr">
        <is>
          <t>9154 · OTRAS ACTIVIDADES NO CLASIFICADAS</t>
        </is>
      </c>
      <c r="W1089" s="12" t="n"/>
      <c r="X1089" s="12" t="n"/>
    </row>
    <row r="1090" ht="15" customHeight="1">
      <c r="C1090" t="inlineStr">
        <is>
          <t>Actividad económica / giro mercantil</t>
        </is>
      </c>
      <c r="D1090" t="inlineStr">
        <is>
          <t>F12</t>
        </is>
      </c>
      <c r="E1090" t="inlineStr">
        <is>
          <t>INHERENTE</t>
        </is>
      </c>
      <c r="F1090" t="inlineStr">
        <is>
          <t>TRANSPORTE FLUVIAL Y LACUSTRE</t>
        </is>
      </c>
      <c r="G1090" t="n">
        <v>7291016</v>
      </c>
      <c r="H1090" t="n">
        <v>1</v>
      </c>
      <c r="I1090" t="n">
        <v>1</v>
      </c>
      <c r="J1090" t="n">
        <v>8</v>
      </c>
      <c r="K1090" t="n">
        <v>8</v>
      </c>
      <c r="L1090" t="n">
        <v>8</v>
      </c>
      <c r="M1090" t="n">
        <v>8</v>
      </c>
      <c r="N1090" t="n">
        <v>8</v>
      </c>
      <c r="O1090" t="n">
        <v>40</v>
      </c>
      <c r="P1090" t="n">
        <v>8</v>
      </c>
      <c r="R1090" s="9" t="n">
        <v>0.08</v>
      </c>
      <c r="S1090" s="10" t="inlineStr">
        <is>
          <t>SÍ — integrante</t>
        </is>
      </c>
      <c r="T1090" s="11" t="inlineStr">
        <is>
          <t>B · INTEGRANTE</t>
        </is>
      </c>
      <c r="U1090" s="11" t="inlineStr">
        <is>
          <t>DEL BANCO (se hereda)</t>
        </is>
      </c>
      <c r="V1090" s="11" t="inlineStr">
        <is>
          <t>9154 · OTRAS ACTIVIDADES NO CLASIFICADAS</t>
        </is>
      </c>
      <c r="W1090" s="12" t="n"/>
      <c r="X1090" s="12" t="n"/>
    </row>
    <row r="1091" ht="15" customHeight="1">
      <c r="C1091" t="inlineStr">
        <is>
          <t>Actividad económica / giro mercantil</t>
        </is>
      </c>
      <c r="D1091" t="inlineStr">
        <is>
          <t>F12</t>
        </is>
      </c>
      <c r="E1091" t="inlineStr">
        <is>
          <t>INHERENTE</t>
        </is>
      </c>
      <c r="F1091" t="inlineStr">
        <is>
          <t>CARGA Y ESTIBA PORTUARIA</t>
        </is>
      </c>
      <c r="G1091" t="n">
        <v>7299010</v>
      </c>
      <c r="H1091" t="n">
        <v>2</v>
      </c>
      <c r="I1091" t="n">
        <v>2</v>
      </c>
      <c r="J1091" t="n">
        <v>8</v>
      </c>
      <c r="K1091" t="n">
        <v>16</v>
      </c>
      <c r="L1091" t="n">
        <v>16</v>
      </c>
      <c r="M1091" t="n">
        <v>16</v>
      </c>
      <c r="N1091" t="n">
        <v>16</v>
      </c>
      <c r="O1091" t="n">
        <v>40</v>
      </c>
      <c r="P1091" t="n">
        <v>8</v>
      </c>
      <c r="R1091" s="9" t="n">
        <v>0.08</v>
      </c>
      <c r="S1091" s="10" t="inlineStr">
        <is>
          <t>SÍ — integrante</t>
        </is>
      </c>
      <c r="T1091" s="11" t="inlineStr">
        <is>
          <t>B · INTEGRANTE</t>
        </is>
      </c>
      <c r="U1091" s="11" t="inlineStr">
        <is>
          <t>DEL BANCO (se hereda)</t>
        </is>
      </c>
      <c r="V1091" s="11" t="inlineStr">
        <is>
          <t>9154 · OTRAS ACTIVIDADES NO CLASIFICADAS</t>
        </is>
      </c>
      <c r="W1091" s="12" t="n"/>
      <c r="X1091" s="12" t="n"/>
    </row>
    <row r="1092" ht="15" customHeight="1">
      <c r="C1092" t="inlineStr">
        <is>
          <t>Actividad económica / giro mercantil</t>
        </is>
      </c>
      <c r="D1092" t="inlineStr">
        <is>
          <t>F12</t>
        </is>
      </c>
      <c r="E1092" t="inlineStr">
        <is>
          <t>INHERENTE</t>
        </is>
      </c>
      <c r="F1092" t="inlineStr">
        <is>
          <t>TRANSPORTE AÉREO</t>
        </is>
      </c>
      <c r="G1092" t="n">
        <v>7300007</v>
      </c>
      <c r="H1092" t="n">
        <v>1</v>
      </c>
      <c r="I1092" t="n">
        <v>1</v>
      </c>
      <c r="J1092" t="n">
        <v>8</v>
      </c>
      <c r="K1092" t="n">
        <v>8</v>
      </c>
      <c r="L1092" t="n">
        <v>8</v>
      </c>
      <c r="M1092" t="n">
        <v>8</v>
      </c>
      <c r="N1092" t="n">
        <v>8</v>
      </c>
      <c r="O1092" t="n">
        <v>40</v>
      </c>
      <c r="P1092" t="n">
        <v>8</v>
      </c>
      <c r="R1092" s="9" t="n">
        <v>0.08</v>
      </c>
      <c r="S1092" s="10" t="inlineStr">
        <is>
          <t>SÍ — integrante</t>
        </is>
      </c>
      <c r="T1092" s="11" t="inlineStr">
        <is>
          <t>B · INTEGRANTE</t>
        </is>
      </c>
      <c r="U1092" s="11" t="inlineStr">
        <is>
          <t>DEL BANCO (se hereda)</t>
        </is>
      </c>
      <c r="V1092" s="11" t="inlineStr">
        <is>
          <t>9154 · OTRAS ACTIVIDADES NO CLASIFICADAS</t>
        </is>
      </c>
      <c r="W1092" s="12" t="n"/>
      <c r="X1092" s="12" t="n"/>
    </row>
    <row r="1093" ht="15" customHeight="1">
      <c r="C1093" t="inlineStr">
        <is>
          <t>Actividad económica / giro mercantil</t>
        </is>
      </c>
      <c r="D1093" t="inlineStr">
        <is>
          <t>F12</t>
        </is>
      </c>
      <c r="E1093" t="inlineStr">
        <is>
          <t>INHERENTE</t>
        </is>
      </c>
      <c r="F1093" t="inlineStr">
        <is>
          <t>TRANSPORTACION AEREA DE PASAJEROS</t>
        </is>
      </c>
      <c r="G1093" t="n">
        <v>7311012</v>
      </c>
      <c r="H1093" t="n">
        <v>1</v>
      </c>
      <c r="I1093" t="n">
        <v>1</v>
      </c>
      <c r="J1093" t="n">
        <v>8</v>
      </c>
      <c r="K1093" t="n">
        <v>8</v>
      </c>
      <c r="L1093" t="n">
        <v>8</v>
      </c>
      <c r="M1093" t="n">
        <v>8</v>
      </c>
      <c r="N1093" t="n">
        <v>8</v>
      </c>
      <c r="O1093" t="n">
        <v>40</v>
      </c>
      <c r="P1093" t="n">
        <v>8</v>
      </c>
      <c r="R1093" s="9" t="n">
        <v>0.08</v>
      </c>
      <c r="S1093" s="10" t="inlineStr">
        <is>
          <t>SÍ — integrante</t>
        </is>
      </c>
      <c r="T1093" s="11" t="inlineStr">
        <is>
          <t>B · INTEGRANTE</t>
        </is>
      </c>
      <c r="U1093" s="11" t="inlineStr">
        <is>
          <t>DEL BANCO (se hereda)</t>
        </is>
      </c>
      <c r="V1093" s="11" t="inlineStr">
        <is>
          <t>9154 · OTRAS ACTIVIDADES NO CLASIFICADAS</t>
        </is>
      </c>
      <c r="W1093" s="12" t="n"/>
      <c r="X1093" s="12" t="n"/>
    </row>
    <row r="1094" ht="15" customHeight="1">
      <c r="C1094" t="inlineStr">
        <is>
          <t>Actividad económica / giro mercantil</t>
        </is>
      </c>
      <c r="D1094" t="inlineStr">
        <is>
          <t>F12</t>
        </is>
      </c>
      <c r="E1094" t="inlineStr">
        <is>
          <t>INHERENTE</t>
        </is>
      </c>
      <c r="F1094" t="inlineStr">
        <is>
          <t>SERVICIOS RELACIONADOS CON EL TRANSPORTE EN AERONAVES CON MATRICULA EXTRANJERA</t>
        </is>
      </c>
      <c r="G1094" t="n">
        <v>7312010</v>
      </c>
      <c r="H1094" t="n">
        <v>1</v>
      </c>
      <c r="I1094" t="n">
        <v>1</v>
      </c>
      <c r="J1094" t="n">
        <v>8</v>
      </c>
      <c r="K1094" t="n">
        <v>8</v>
      </c>
      <c r="L1094" t="n">
        <v>8</v>
      </c>
      <c r="M1094" t="n">
        <v>8</v>
      </c>
      <c r="N1094" t="n">
        <v>8</v>
      </c>
      <c r="O1094" t="n">
        <v>40</v>
      </c>
      <c r="P1094" t="n">
        <v>8</v>
      </c>
      <c r="R1094" s="9" t="n">
        <v>0.08</v>
      </c>
      <c r="S1094" s="10" t="inlineStr">
        <is>
          <t>SÍ — integrante</t>
        </is>
      </c>
      <c r="T1094" s="11" t="inlineStr">
        <is>
          <t>B · INTEGRANTE</t>
        </is>
      </c>
      <c r="U1094" s="11" t="inlineStr">
        <is>
          <t>DEL BANCO (se hereda)</t>
        </is>
      </c>
      <c r="V1094" s="11" t="inlineStr">
        <is>
          <t>9154 · OTRAS ACTIVIDADES NO CLASIFICADAS</t>
        </is>
      </c>
      <c r="W1094" s="12" t="n"/>
      <c r="X1094" s="12" t="n"/>
    </row>
    <row r="1095" ht="15" customHeight="1">
      <c r="C1095" t="inlineStr">
        <is>
          <t>Actividad económica / giro mercantil</t>
        </is>
      </c>
      <c r="D1095" t="inlineStr">
        <is>
          <t>F12</t>
        </is>
      </c>
      <c r="E1095" t="inlineStr">
        <is>
          <t>INHERENTE</t>
        </is>
      </c>
      <c r="F1095" t="inlineStr">
        <is>
          <t>SERVICIOS CONEXOS AL TRANSPORTE</t>
        </is>
      </c>
      <c r="G1095" t="n">
        <v>7400005</v>
      </c>
      <c r="H1095" t="n">
        <v>1</v>
      </c>
      <c r="I1095" t="n">
        <v>1</v>
      </c>
      <c r="J1095" t="n">
        <v>8</v>
      </c>
      <c r="K1095" t="n">
        <v>8</v>
      </c>
      <c r="L1095" t="n">
        <v>8</v>
      </c>
      <c r="M1095" t="n">
        <v>8</v>
      </c>
      <c r="N1095" t="n">
        <v>8</v>
      </c>
      <c r="O1095" t="n">
        <v>40</v>
      </c>
      <c r="P1095" t="n">
        <v>8</v>
      </c>
      <c r="R1095" s="9" t="n">
        <v>0.08</v>
      </c>
      <c r="S1095" s="10" t="inlineStr">
        <is>
          <t>SÍ — integrante</t>
        </is>
      </c>
      <c r="T1095" s="11" t="inlineStr">
        <is>
          <t>B · INTEGRANTE</t>
        </is>
      </c>
      <c r="U1095" s="11" t="inlineStr">
        <is>
          <t>DEL BANCO (se hereda)</t>
        </is>
      </c>
      <c r="V1095" s="11" t="inlineStr">
        <is>
          <t>9154 · OTRAS ACTIVIDADES NO CLASIFICADAS</t>
        </is>
      </c>
      <c r="W1095" s="12" t="n"/>
      <c r="X1095" s="12" t="n"/>
    </row>
    <row r="1096" ht="15" customHeight="1">
      <c r="C1096" t="inlineStr">
        <is>
          <t>Actividad económica / giro mercantil</t>
        </is>
      </c>
      <c r="D1096" t="inlineStr">
        <is>
          <t>F12</t>
        </is>
      </c>
      <c r="E1096" t="inlineStr">
        <is>
          <t>INHERENTE</t>
        </is>
      </c>
      <c r="F1096" t="inlineStr">
        <is>
          <t>ADMINISTRACION DE CAMINOS PUENTES Y SERVICIOS AUXILIARES</t>
        </is>
      </c>
      <c r="G1096" t="n">
        <v>7411010</v>
      </c>
      <c r="H1096" t="n">
        <v>2</v>
      </c>
      <c r="I1096" t="n">
        <v>2</v>
      </c>
      <c r="J1096" t="n">
        <v>8</v>
      </c>
      <c r="K1096" t="n">
        <v>16</v>
      </c>
      <c r="L1096" t="n">
        <v>16</v>
      </c>
      <c r="M1096" t="n">
        <v>16</v>
      </c>
      <c r="N1096" t="n">
        <v>16</v>
      </c>
      <c r="O1096" t="n">
        <v>40</v>
      </c>
      <c r="P1096" t="n">
        <v>8</v>
      </c>
      <c r="R1096" s="9" t="n">
        <v>0.08</v>
      </c>
      <c r="S1096" s="10" t="inlineStr">
        <is>
          <t>SÍ — integrante</t>
        </is>
      </c>
      <c r="T1096" s="11" t="inlineStr">
        <is>
          <t>B · INTEGRANTE</t>
        </is>
      </c>
      <c r="U1096" s="11" t="inlineStr">
        <is>
          <t>DEL BANCO (se hereda)</t>
        </is>
      </c>
      <c r="V1096" s="11" t="inlineStr">
        <is>
          <t>9154 · OTRAS ACTIVIDADES NO CLASIFICADAS</t>
        </is>
      </c>
      <c r="W1096" s="12" t="n"/>
      <c r="X1096" s="12" t="n"/>
    </row>
    <row r="1097" ht="15" customHeight="1">
      <c r="C1097" t="inlineStr">
        <is>
          <t>Actividad económica / giro mercantil</t>
        </is>
      </c>
      <c r="D1097" t="inlineStr">
        <is>
          <t>F12</t>
        </is>
      </c>
      <c r="E1097" t="inlineStr">
        <is>
          <t>INHERENTE</t>
        </is>
      </c>
      <c r="F1097" t="inlineStr">
        <is>
          <t>AEROPUERTO CIVIL</t>
        </is>
      </c>
      <c r="G1097" t="n">
        <v>7412018</v>
      </c>
      <c r="H1097" t="n">
        <v>2</v>
      </c>
      <c r="I1097" t="n">
        <v>2</v>
      </c>
      <c r="J1097" t="n">
        <v>8</v>
      </c>
      <c r="K1097" t="n">
        <v>16</v>
      </c>
      <c r="L1097" t="n">
        <v>16</v>
      </c>
      <c r="M1097" t="n">
        <v>16</v>
      </c>
      <c r="N1097" t="n">
        <v>16</v>
      </c>
      <c r="O1097" t="n">
        <v>40</v>
      </c>
      <c r="P1097" t="n">
        <v>8</v>
      </c>
      <c r="R1097" s="9" t="n">
        <v>0.08</v>
      </c>
      <c r="S1097" s="10" t="inlineStr">
        <is>
          <t>SÍ — integrante</t>
        </is>
      </c>
      <c r="T1097" s="11" t="inlineStr">
        <is>
          <t>B · INTEGRANTE</t>
        </is>
      </c>
      <c r="U1097" s="11" t="inlineStr">
        <is>
          <t>DEL BANCO (se hereda)</t>
        </is>
      </c>
      <c r="V1097" s="11" t="inlineStr">
        <is>
          <t>9154 · OTRAS ACTIVIDADES NO CLASIFICADAS</t>
        </is>
      </c>
      <c r="W1097" s="12" t="n"/>
      <c r="X1097" s="12" t="n"/>
    </row>
    <row r="1098" ht="15" customHeight="1">
      <c r="C1098" t="inlineStr">
        <is>
          <t>Actividad económica / giro mercantil</t>
        </is>
      </c>
      <c r="D1098" t="inlineStr">
        <is>
          <t>F12</t>
        </is>
      </c>
      <c r="E1098" t="inlineStr">
        <is>
          <t>INHERENTE</t>
        </is>
      </c>
      <c r="F1098" t="inlineStr">
        <is>
          <t>ADMINISTRACION DE PUERTOS MARITIMOS LACUSTRES Y FLUVIALES</t>
        </is>
      </c>
      <c r="G1098" t="n">
        <v>7413016</v>
      </c>
      <c r="H1098" t="n">
        <v>2</v>
      </c>
      <c r="I1098" t="n">
        <v>2</v>
      </c>
      <c r="J1098" t="n">
        <v>8</v>
      </c>
      <c r="K1098" t="n">
        <v>16</v>
      </c>
      <c r="L1098" t="n">
        <v>16</v>
      </c>
      <c r="M1098" t="n">
        <v>16</v>
      </c>
      <c r="N1098" t="n">
        <v>16</v>
      </c>
      <c r="O1098" t="n">
        <v>40</v>
      </c>
      <c r="P1098" t="n">
        <v>8</v>
      </c>
      <c r="R1098" s="9" t="n">
        <v>0.08</v>
      </c>
      <c r="S1098" s="10" t="inlineStr">
        <is>
          <t>SÍ — integrante</t>
        </is>
      </c>
      <c r="T1098" s="11" t="inlineStr">
        <is>
          <t>B · INTEGRANTE</t>
        </is>
      </c>
      <c r="U1098" s="11" t="inlineStr">
        <is>
          <t>DEL BANCO (se hereda)</t>
        </is>
      </c>
      <c r="V1098" s="11" t="inlineStr">
        <is>
          <t>9154 · OTRAS ACTIVIDADES NO CLASIFICADAS</t>
        </is>
      </c>
      <c r="W1098" s="12" t="n"/>
      <c r="X1098" s="12" t="n"/>
    </row>
    <row r="1099" ht="15" customHeight="1">
      <c r="C1099" t="inlineStr">
        <is>
          <t>Actividad económica / giro mercantil</t>
        </is>
      </c>
      <c r="D1099" t="inlineStr">
        <is>
          <t>F12</t>
        </is>
      </c>
      <c r="E1099" t="inlineStr">
        <is>
          <t>INHERENTE</t>
        </is>
      </c>
      <c r="F1099" t="inlineStr">
        <is>
          <t>ADMINISTRACION DE CENTRALES CAMIONERAS Y SERVICIOS AUXILIARES</t>
        </is>
      </c>
      <c r="G1099" t="n">
        <v>7414014</v>
      </c>
      <c r="H1099" t="n">
        <v>2</v>
      </c>
      <c r="I1099" t="n">
        <v>2</v>
      </c>
      <c r="J1099" t="n">
        <v>8</v>
      </c>
      <c r="K1099" t="n">
        <v>16</v>
      </c>
      <c r="L1099" t="n">
        <v>16</v>
      </c>
      <c r="M1099" t="n">
        <v>16</v>
      </c>
      <c r="N1099" t="n">
        <v>16</v>
      </c>
      <c r="O1099" t="n">
        <v>40</v>
      </c>
      <c r="P1099" t="n">
        <v>8</v>
      </c>
      <c r="R1099" s="9" t="n">
        <v>0.08</v>
      </c>
      <c r="S1099" s="10" t="inlineStr">
        <is>
          <t>SÍ — integrante</t>
        </is>
      </c>
      <c r="T1099" s="11" t="inlineStr">
        <is>
          <t>B · INTEGRANTE</t>
        </is>
      </c>
      <c r="U1099" s="11" t="inlineStr">
        <is>
          <t>DEL BANCO (se hereda)</t>
        </is>
      </c>
      <c r="V1099" s="11" t="inlineStr">
        <is>
          <t>9154 · OTRAS ACTIVIDADES NO CLASIFICADAS</t>
        </is>
      </c>
      <c r="W1099" s="12" t="n"/>
      <c r="X1099" s="12" t="n"/>
    </row>
    <row r="1100" ht="15" customHeight="1">
      <c r="C1100" t="inlineStr">
        <is>
          <t>Actividad económica / giro mercantil</t>
        </is>
      </c>
      <c r="D1100" t="inlineStr">
        <is>
          <t>F12</t>
        </is>
      </c>
      <c r="E1100" t="inlineStr">
        <is>
          <t>INHERENTE</t>
        </is>
      </c>
      <c r="F1100" t="inlineStr">
        <is>
          <t>SERVICIOS RELACIONADOS CON EL TRANSPORTE EN GENERAL</t>
        </is>
      </c>
      <c r="G1100" t="n">
        <v>7500003</v>
      </c>
      <c r="H1100" t="n">
        <v>1</v>
      </c>
      <c r="I1100" t="n">
        <v>1</v>
      </c>
      <c r="J1100" t="n">
        <v>8</v>
      </c>
      <c r="K1100" t="n">
        <v>8</v>
      </c>
      <c r="L1100" t="n">
        <v>8</v>
      </c>
      <c r="M1100" t="n">
        <v>8</v>
      </c>
      <c r="N1100" t="n">
        <v>8</v>
      </c>
      <c r="O1100" t="n">
        <v>40</v>
      </c>
      <c r="P1100" t="n">
        <v>8</v>
      </c>
      <c r="R1100" s="9" t="n">
        <v>0.08</v>
      </c>
      <c r="S1100" s="10" t="inlineStr">
        <is>
          <t>SÍ — integrante</t>
        </is>
      </c>
      <c r="T1100" s="11" t="inlineStr">
        <is>
          <t>B · INTEGRANTE</t>
        </is>
      </c>
      <c r="U1100" s="11" t="inlineStr">
        <is>
          <t>DEL BANCO (se hereda)</t>
        </is>
      </c>
      <c r="V1100" s="11" t="inlineStr">
        <is>
          <t>9154 · OTRAS ACTIVIDADES NO CLASIFICADAS</t>
        </is>
      </c>
      <c r="W1100" s="12" t="n"/>
      <c r="X1100" s="12" t="n"/>
    </row>
    <row r="1101" ht="15" customHeight="1">
      <c r="C1101" t="inlineStr">
        <is>
          <t>Actividad económica / giro mercantil</t>
        </is>
      </c>
      <c r="D1101" t="inlineStr">
        <is>
          <t>F12</t>
        </is>
      </c>
      <c r="E1101" t="inlineStr">
        <is>
          <t>INHERENTE</t>
        </is>
      </c>
      <c r="F1101" t="inlineStr">
        <is>
          <t>SERVICIOS DE ALMACENAMIENTO Y REFRIGERACION</t>
        </is>
      </c>
      <c r="G1101" t="n">
        <v>7511018</v>
      </c>
      <c r="H1101" t="n">
        <v>1</v>
      </c>
      <c r="I1101" t="n">
        <v>1</v>
      </c>
      <c r="J1101" t="n">
        <v>8</v>
      </c>
      <c r="K1101" t="n">
        <v>8</v>
      </c>
      <c r="L1101" t="n">
        <v>8</v>
      </c>
      <c r="M1101" t="n">
        <v>8</v>
      </c>
      <c r="N1101" t="n">
        <v>8</v>
      </c>
      <c r="O1101" t="n">
        <v>40</v>
      </c>
      <c r="P1101" t="n">
        <v>8</v>
      </c>
      <c r="R1101" s="9" t="n">
        <v>0.08</v>
      </c>
      <c r="S1101" s="10" t="inlineStr">
        <is>
          <t>SÍ — integrante</t>
        </is>
      </c>
      <c r="T1101" s="11" t="inlineStr">
        <is>
          <t>B · INTEGRANTE</t>
        </is>
      </c>
      <c r="U1101" s="11" t="inlineStr">
        <is>
          <t>DEL BANCO (se hereda)</t>
        </is>
      </c>
      <c r="V1101" s="11" t="inlineStr">
        <is>
          <t>9154 · OTRAS ACTIVIDADES NO CLASIFICADAS</t>
        </is>
      </c>
      <c r="W1101" s="12" t="n"/>
      <c r="X1101" s="12" t="n"/>
    </row>
    <row r="1102" ht="15" customHeight="1">
      <c r="C1102" t="inlineStr">
        <is>
          <t>Actividad económica / giro mercantil</t>
        </is>
      </c>
      <c r="D1102" t="inlineStr">
        <is>
          <t>F12</t>
        </is>
      </c>
      <c r="E1102" t="inlineStr">
        <is>
          <t>INHERENTE</t>
        </is>
      </c>
      <c r="F1102" t="inlineStr">
        <is>
          <t>AGENCIA DE TURISMO</t>
        </is>
      </c>
      <c r="G1102" t="n">
        <v>7512016</v>
      </c>
      <c r="H1102" t="n">
        <v>5</v>
      </c>
      <c r="I1102" t="n">
        <v>5</v>
      </c>
      <c r="J1102" t="n">
        <v>8</v>
      </c>
      <c r="K1102" t="n">
        <v>40</v>
      </c>
      <c r="L1102" t="n">
        <v>40</v>
      </c>
      <c r="M1102" t="n">
        <v>40</v>
      </c>
      <c r="N1102" t="n">
        <v>40</v>
      </c>
      <c r="O1102" t="n">
        <v>40</v>
      </c>
      <c r="P1102" t="n">
        <v>8</v>
      </c>
      <c r="Q1102" t="inlineStr">
        <is>
          <t>DETERMINANTE</t>
        </is>
      </c>
      <c r="R1102" s="9" t="n">
        <v>0.08</v>
      </c>
      <c r="S1102" s="10" t="inlineStr">
        <is>
          <t>SÍ — integrante</t>
        </is>
      </c>
      <c r="T1102" s="11" t="inlineStr">
        <is>
          <t>B · INTEGRANTE</t>
        </is>
      </c>
      <c r="U1102" s="11" t="inlineStr">
        <is>
          <t>DEL BANCO (se hereda)</t>
        </is>
      </c>
      <c r="V1102" s="11" t="inlineStr">
        <is>
          <t>9154 · OTRAS ACTIVIDADES NO CLASIFICADAS</t>
        </is>
      </c>
      <c r="W1102" s="12" t="n"/>
      <c r="X1102" s="12" t="n"/>
    </row>
    <row r="1103" ht="15" customHeight="1">
      <c r="C1103" t="inlineStr">
        <is>
          <t>Actividad económica / giro mercantil</t>
        </is>
      </c>
      <c r="D1103" t="inlineStr">
        <is>
          <t>F12</t>
        </is>
      </c>
      <c r="E1103" t="inlineStr">
        <is>
          <t>INHERENTE</t>
        </is>
      </c>
      <c r="F1103" t="inlineStr">
        <is>
          <t>AGENCIA ADUANAL</t>
        </is>
      </c>
      <c r="G1103" t="n">
        <v>7513014</v>
      </c>
      <c r="H1103" t="n">
        <v>5</v>
      </c>
      <c r="I1103" t="n">
        <v>5</v>
      </c>
      <c r="J1103" t="n">
        <v>8</v>
      </c>
      <c r="K1103" t="n">
        <v>40</v>
      </c>
      <c r="L1103" t="n">
        <v>40</v>
      </c>
      <c r="M1103" t="n">
        <v>40</v>
      </c>
      <c r="N1103" t="n">
        <v>40</v>
      </c>
      <c r="O1103" t="n">
        <v>40</v>
      </c>
      <c r="P1103" t="n">
        <v>8</v>
      </c>
      <c r="Q1103" t="inlineStr">
        <is>
          <t>DETERMINANTE</t>
        </is>
      </c>
      <c r="R1103" s="9" t="n">
        <v>0.08</v>
      </c>
      <c r="S1103" s="10" t="inlineStr">
        <is>
          <t>SÍ — integrante</t>
        </is>
      </c>
      <c r="T1103" s="11" t="inlineStr">
        <is>
          <t>B · INTEGRANTE</t>
        </is>
      </c>
      <c r="U1103" s="11" t="inlineStr">
        <is>
          <t>DEL BANCO (se hereda)</t>
        </is>
      </c>
      <c r="V1103" s="11" t="inlineStr">
        <is>
          <t>9119 · COMERCIO EXTERIOR</t>
        </is>
      </c>
      <c r="W1103" s="12" t="n"/>
      <c r="X1103" s="12" t="n"/>
    </row>
    <row r="1104" ht="15" customHeight="1">
      <c r="C1104" t="inlineStr">
        <is>
          <t>Actividad económica / giro mercantil</t>
        </is>
      </c>
      <c r="D1104" t="inlineStr">
        <is>
          <t>F12</t>
        </is>
      </c>
      <c r="E1104" t="inlineStr">
        <is>
          <t>INHERENTE</t>
        </is>
      </c>
      <c r="F1104" t="inlineStr">
        <is>
          <t>SERVICIOS DE BASCULA Y DE GRUA PARA VEHICULOS</t>
        </is>
      </c>
      <c r="G1104" t="n">
        <v>7514012</v>
      </c>
      <c r="H1104" t="n">
        <v>1</v>
      </c>
      <c r="I1104" t="n">
        <v>1</v>
      </c>
      <c r="J1104" t="n">
        <v>8</v>
      </c>
      <c r="K1104" t="n">
        <v>8</v>
      </c>
      <c r="L1104" t="n">
        <v>8</v>
      </c>
      <c r="M1104" t="n">
        <v>8</v>
      </c>
      <c r="N1104" t="n">
        <v>8</v>
      </c>
      <c r="O1104" t="n">
        <v>40</v>
      </c>
      <c r="P1104" t="n">
        <v>8</v>
      </c>
      <c r="R1104" s="9" t="n">
        <v>0.08</v>
      </c>
      <c r="S1104" s="10" t="inlineStr">
        <is>
          <t>SÍ — integrante</t>
        </is>
      </c>
      <c r="T1104" s="11" t="inlineStr">
        <is>
          <t>B · INTEGRANTE</t>
        </is>
      </c>
      <c r="U1104" s="11" t="inlineStr">
        <is>
          <t>DEL BANCO (se hereda)</t>
        </is>
      </c>
      <c r="V1104" s="11" t="inlineStr">
        <is>
          <t>9154 · OTRAS ACTIVIDADES NO CLASIFICADAS</t>
        </is>
      </c>
      <c r="W1104" s="12" t="n"/>
      <c r="X1104" s="12" t="n"/>
    </row>
    <row r="1105" ht="15" customHeight="1">
      <c r="C1105" t="inlineStr">
        <is>
          <t>Actividad económica / giro mercantil</t>
        </is>
      </c>
      <c r="D1105" t="inlineStr">
        <is>
          <t>F12</t>
        </is>
      </c>
      <c r="E1105" t="inlineStr">
        <is>
          <t>INHERENTE</t>
        </is>
      </c>
      <c r="F1105" t="inlineStr">
        <is>
          <t>AGENCIA DE FERROCARRIL</t>
        </is>
      </c>
      <c r="G1105" t="n">
        <v>7519012</v>
      </c>
      <c r="H1105" t="n">
        <v>1</v>
      </c>
      <c r="I1105" t="n">
        <v>1</v>
      </c>
      <c r="J1105" t="n">
        <v>8</v>
      </c>
      <c r="K1105" t="n">
        <v>8</v>
      </c>
      <c r="L1105" t="n">
        <v>8</v>
      </c>
      <c r="M1105" t="n">
        <v>8</v>
      </c>
      <c r="N1105" t="n">
        <v>8</v>
      </c>
      <c r="O1105" t="n">
        <v>40</v>
      </c>
      <c r="P1105" t="n">
        <v>8</v>
      </c>
      <c r="R1105" s="9" t="n">
        <v>0.08</v>
      </c>
      <c r="S1105" s="10" t="inlineStr">
        <is>
          <t>SÍ — integrante</t>
        </is>
      </c>
      <c r="T1105" s="11" t="inlineStr">
        <is>
          <t>B · INTEGRANTE</t>
        </is>
      </c>
      <c r="U1105" s="11" t="inlineStr">
        <is>
          <t>DEL BANCO (se hereda)</t>
        </is>
      </c>
      <c r="V1105" s="11" t="inlineStr">
        <is>
          <t>9154 · OTRAS ACTIVIDADES NO CLASIFICADAS</t>
        </is>
      </c>
      <c r="W1105" s="12" t="n"/>
      <c r="X1105" s="12" t="n"/>
    </row>
    <row r="1106" ht="15" customHeight="1">
      <c r="C1106" t="inlineStr">
        <is>
          <t>Actividad económica / giro mercantil</t>
        </is>
      </c>
      <c r="D1106" t="inlineStr">
        <is>
          <t>F12</t>
        </is>
      </c>
      <c r="E1106" t="inlineStr">
        <is>
          <t>INHERENTE</t>
        </is>
      </c>
      <c r="F1106" t="inlineStr">
        <is>
          <t>ALQUILER DE LANCHAS Y VELEROS</t>
        </is>
      </c>
      <c r="G1106" t="n">
        <v>7519020</v>
      </c>
      <c r="H1106" t="n">
        <v>4</v>
      </c>
      <c r="I1106" t="n">
        <v>4</v>
      </c>
      <c r="J1106" t="n">
        <v>8</v>
      </c>
      <c r="K1106" t="n">
        <v>32</v>
      </c>
      <c r="L1106" t="n">
        <v>32</v>
      </c>
      <c r="M1106" t="n">
        <v>32</v>
      </c>
      <c r="N1106" t="n">
        <v>32</v>
      </c>
      <c r="O1106" t="n">
        <v>40</v>
      </c>
      <c r="P1106" t="n">
        <v>8</v>
      </c>
      <c r="R1106" s="9" t="n">
        <v>0.08</v>
      </c>
      <c r="S1106" s="10" t="inlineStr">
        <is>
          <t>SÍ — integrante</t>
        </is>
      </c>
      <c r="T1106" s="11" t="inlineStr">
        <is>
          <t>B · INTEGRANTE</t>
        </is>
      </c>
      <c r="U1106" s="11" t="inlineStr">
        <is>
          <t>DEL BANCO (se hereda)</t>
        </is>
      </c>
      <c r="V1106" s="11" t="inlineStr">
        <is>
          <t>9154 · OTRAS ACTIVIDADES NO CLASIFICADAS</t>
        </is>
      </c>
      <c r="W1106" s="12" t="n"/>
      <c r="X1106" s="12" t="n"/>
    </row>
    <row r="1107" ht="15" customHeight="1">
      <c r="C1107" t="inlineStr">
        <is>
          <t>Actividad económica / giro mercantil</t>
        </is>
      </c>
      <c r="D1107" t="inlineStr">
        <is>
          <t>F12</t>
        </is>
      </c>
      <c r="E1107" t="inlineStr">
        <is>
          <t>INHERENTE</t>
        </is>
      </c>
      <c r="F1107" t="inlineStr">
        <is>
          <t>RENTA DE VEHICULOS AEREOS</t>
        </is>
      </c>
      <c r="G1107" t="n">
        <v>7519038</v>
      </c>
      <c r="H1107" t="n">
        <v>1</v>
      </c>
      <c r="I1107" t="n">
        <v>1</v>
      </c>
      <c r="J1107" t="n">
        <v>8</v>
      </c>
      <c r="K1107" t="n">
        <v>8</v>
      </c>
      <c r="L1107" t="n">
        <v>8</v>
      </c>
      <c r="M1107" t="n">
        <v>8</v>
      </c>
      <c r="N1107" t="n">
        <v>8</v>
      </c>
      <c r="O1107" t="n">
        <v>40</v>
      </c>
      <c r="P1107" t="n">
        <v>8</v>
      </c>
      <c r="R1107" s="9" t="n">
        <v>0.08</v>
      </c>
      <c r="S1107" s="10" t="inlineStr">
        <is>
          <t>SÍ — integrante</t>
        </is>
      </c>
      <c r="T1107" s="11" t="inlineStr">
        <is>
          <t>B · INTEGRANTE</t>
        </is>
      </c>
      <c r="U1107" s="11" t="inlineStr">
        <is>
          <t>DEL BANCO (se hereda)</t>
        </is>
      </c>
      <c r="V1107" s="11" t="inlineStr">
        <is>
          <t>9154 · OTRAS ACTIVIDADES NO CLASIFICADAS</t>
        </is>
      </c>
      <c r="W1107" s="12" t="n"/>
      <c r="X1107" s="12" t="n"/>
    </row>
    <row r="1108" ht="15" customHeight="1">
      <c r="C1108" t="inlineStr">
        <is>
          <t>Actividad económica / giro mercantil</t>
        </is>
      </c>
      <c r="D1108" t="inlineStr">
        <is>
          <t>F12</t>
        </is>
      </c>
      <c r="E1108" t="inlineStr">
        <is>
          <t>INHERENTE</t>
        </is>
      </c>
      <c r="F1108" t="inlineStr">
        <is>
          <t>COMUNICACIONES</t>
        </is>
      </c>
      <c r="G1108" t="n">
        <v>7600001</v>
      </c>
      <c r="H1108" t="n">
        <v>1</v>
      </c>
      <c r="I1108" t="n">
        <v>1</v>
      </c>
      <c r="J1108" t="n">
        <v>8</v>
      </c>
      <c r="K1108" t="n">
        <v>8</v>
      </c>
      <c r="L1108" t="n">
        <v>8</v>
      </c>
      <c r="M1108" t="n">
        <v>8</v>
      </c>
      <c r="N1108" t="n">
        <v>8</v>
      </c>
      <c r="O1108" t="n">
        <v>40</v>
      </c>
      <c r="P1108" t="n">
        <v>8</v>
      </c>
      <c r="R1108" s="9" t="n">
        <v>0.08</v>
      </c>
      <c r="S1108" s="10" t="inlineStr">
        <is>
          <t>SÍ — integrante</t>
        </is>
      </c>
      <c r="T1108" s="11" t="inlineStr">
        <is>
          <t>B · INTEGRANTE</t>
        </is>
      </c>
      <c r="U1108" s="11" t="inlineStr">
        <is>
          <t>DEL BANCO (se hereda)</t>
        </is>
      </c>
      <c r="V1108" s="11" t="inlineStr">
        <is>
          <t>9154 · OTRAS ACTIVIDADES NO CLASIFICADAS</t>
        </is>
      </c>
      <c r="W1108" s="12" t="n"/>
      <c r="X1108" s="12" t="n"/>
    </row>
    <row r="1109" ht="15" customHeight="1">
      <c r="C1109" t="inlineStr">
        <is>
          <t>Actividad económica / giro mercantil</t>
        </is>
      </c>
      <c r="D1109" t="inlineStr">
        <is>
          <t>F12</t>
        </is>
      </c>
      <c r="E1109" t="inlineStr">
        <is>
          <t>INHERENTE</t>
        </is>
      </c>
      <c r="F1109" t="inlineStr">
        <is>
          <t>EMPRESA DE TELEFONOS</t>
        </is>
      </c>
      <c r="G1109" t="n">
        <v>7611016</v>
      </c>
      <c r="H1109" t="n">
        <v>1</v>
      </c>
      <c r="I1109" t="n">
        <v>1</v>
      </c>
      <c r="J1109" t="n">
        <v>8</v>
      </c>
      <c r="K1109" t="n">
        <v>8</v>
      </c>
      <c r="L1109" t="n">
        <v>8</v>
      </c>
      <c r="M1109" t="n">
        <v>8</v>
      </c>
      <c r="N1109" t="n">
        <v>8</v>
      </c>
      <c r="O1109" t="n">
        <v>40</v>
      </c>
      <c r="P1109" t="n">
        <v>8</v>
      </c>
      <c r="R1109" s="9" t="n">
        <v>0.08</v>
      </c>
      <c r="S1109" s="10" t="inlineStr">
        <is>
          <t>SÍ — integrante</t>
        </is>
      </c>
      <c r="T1109" s="11" t="inlineStr">
        <is>
          <t>B · INTEGRANTE</t>
        </is>
      </c>
      <c r="U1109" s="11" t="inlineStr">
        <is>
          <t>DEL BANCO (se hereda)</t>
        </is>
      </c>
      <c r="V1109" s="11" t="inlineStr">
        <is>
          <t>9154 · OTRAS ACTIVIDADES NO CLASIFICADAS</t>
        </is>
      </c>
      <c r="W1109" s="12" t="n"/>
      <c r="X1109" s="12" t="n"/>
    </row>
    <row r="1110" ht="15" customHeight="1">
      <c r="C1110" t="inlineStr">
        <is>
          <t>Actividad económica / giro mercantil</t>
        </is>
      </c>
      <c r="D1110" t="inlineStr">
        <is>
          <t>F12</t>
        </is>
      </c>
      <c r="E1110" t="inlineStr">
        <is>
          <t>INHERENTE</t>
        </is>
      </c>
      <c r="F1110" t="inlineStr">
        <is>
          <t>EMPRESA DE TELEGRAFOS</t>
        </is>
      </c>
      <c r="G1110" t="n">
        <v>7612014</v>
      </c>
      <c r="H1110" t="n">
        <v>1</v>
      </c>
      <c r="I1110" t="n">
        <v>1</v>
      </c>
      <c r="J1110" t="n">
        <v>8</v>
      </c>
      <c r="K1110" t="n">
        <v>8</v>
      </c>
      <c r="L1110" t="n">
        <v>8</v>
      </c>
      <c r="M1110" t="n">
        <v>8</v>
      </c>
      <c r="N1110" t="n">
        <v>8</v>
      </c>
      <c r="O1110" t="n">
        <v>40</v>
      </c>
      <c r="P1110" t="n">
        <v>8</v>
      </c>
      <c r="R1110" s="9" t="n">
        <v>0.08</v>
      </c>
      <c r="S1110" s="10" t="inlineStr">
        <is>
          <t>SÍ — integrante</t>
        </is>
      </c>
      <c r="T1110" s="11" t="inlineStr">
        <is>
          <t>B · INTEGRANTE</t>
        </is>
      </c>
      <c r="U1110" s="11" t="inlineStr">
        <is>
          <t>DEL BANCO (se hereda)</t>
        </is>
      </c>
      <c r="V1110" s="11" t="inlineStr">
        <is>
          <t>9154 · OTRAS ACTIVIDADES NO CLASIFICADAS</t>
        </is>
      </c>
      <c r="W1110" s="12" t="n"/>
      <c r="X1110" s="12" t="n"/>
    </row>
    <row r="1111" ht="15" customHeight="1">
      <c r="C1111" t="inlineStr">
        <is>
          <t>Actividad económica / giro mercantil</t>
        </is>
      </c>
      <c r="D1111" t="inlineStr">
        <is>
          <t>F12</t>
        </is>
      </c>
      <c r="E1111" t="inlineStr">
        <is>
          <t>INHERENTE</t>
        </is>
      </c>
      <c r="F1111" t="inlineStr">
        <is>
          <t>OTROS SERVS. DE TELECOMUNICACIONES (EXCEPTO RADIO.</t>
        </is>
      </c>
      <c r="G1111" t="n">
        <v>7613004</v>
      </c>
      <c r="H1111" t="n">
        <v>1</v>
      </c>
      <c r="I1111" t="n">
        <v>1</v>
      </c>
      <c r="J1111" t="n">
        <v>8</v>
      </c>
      <c r="K1111" t="n">
        <v>8</v>
      </c>
      <c r="L1111" t="n">
        <v>8</v>
      </c>
      <c r="M1111" t="n">
        <v>8</v>
      </c>
      <c r="N1111" t="n">
        <v>8</v>
      </c>
      <c r="O1111" t="n">
        <v>40</v>
      </c>
      <c r="P1111" t="n">
        <v>8</v>
      </c>
      <c r="R1111" s="9" t="n">
        <v>0.08</v>
      </c>
      <c r="S1111" s="10" t="inlineStr">
        <is>
          <t>SÍ — integrante</t>
        </is>
      </c>
      <c r="T1111" s="11" t="inlineStr">
        <is>
          <t>B · INTEGRANTE</t>
        </is>
      </c>
      <c r="U1111" s="11" t="inlineStr">
        <is>
          <t>DEL BANCO (se hereda)</t>
        </is>
      </c>
      <c r="V1111" s="11" t="inlineStr">
        <is>
          <t>9154 · OTRAS ACTIVIDADES NO CLASIFICADAS</t>
        </is>
      </c>
      <c r="W1111" s="12" t="n"/>
      <c r="X1111" s="12" t="n"/>
    </row>
    <row r="1112" ht="15" customHeight="1">
      <c r="C1112" t="inlineStr">
        <is>
          <t>Actividad económica / giro mercantil</t>
        </is>
      </c>
      <c r="D1112" t="inlineStr">
        <is>
          <t>F12</t>
        </is>
      </c>
      <c r="E1112" t="inlineStr">
        <is>
          <t>INHERENTE</t>
        </is>
      </c>
      <c r="F1112" t="inlineStr">
        <is>
          <t>OTROS SERVICIOS DE TELECOMUNICACIONES (EXCEPTO RADIODIFUSION Y TELEVISION)</t>
        </is>
      </c>
      <c r="G1112" t="n">
        <v>7613012</v>
      </c>
      <c r="H1112" t="n">
        <v>1</v>
      </c>
      <c r="I1112" t="n">
        <v>1</v>
      </c>
      <c r="J1112" t="n">
        <v>8</v>
      </c>
      <c r="K1112" t="n">
        <v>8</v>
      </c>
      <c r="L1112" t="n">
        <v>8</v>
      </c>
      <c r="M1112" t="n">
        <v>8</v>
      </c>
      <c r="N1112" t="n">
        <v>8</v>
      </c>
      <c r="O1112" t="n">
        <v>40</v>
      </c>
      <c r="P1112" t="n">
        <v>8</v>
      </c>
      <c r="R1112" s="9" t="n">
        <v>0.08</v>
      </c>
      <c r="S1112" s="10" t="inlineStr">
        <is>
          <t>SÍ — integrante</t>
        </is>
      </c>
      <c r="T1112" s="11" t="inlineStr">
        <is>
          <t>B · INTEGRANTE</t>
        </is>
      </c>
      <c r="U1112" s="11" t="inlineStr">
        <is>
          <t>DEL BANCO (se hereda)</t>
        </is>
      </c>
      <c r="V1112" s="11" t="inlineStr">
        <is>
          <t>9154 · OTRAS ACTIVIDADES NO CLASIFICADAS</t>
        </is>
      </c>
      <c r="W1112" s="12" t="n"/>
      <c r="X1112" s="12" t="n"/>
    </row>
    <row r="1113" ht="15" customHeight="1">
      <c r="C1113" t="inlineStr">
        <is>
          <t>Actividad económica / giro mercantil</t>
        </is>
      </c>
      <c r="D1113" t="inlineStr">
        <is>
          <t>F12</t>
        </is>
      </c>
      <c r="E1113" t="inlineStr">
        <is>
          <t>INHERENTE</t>
        </is>
      </c>
      <c r="F1113" t="inlineStr">
        <is>
          <t>MENORES COMUNICACIONES</t>
        </is>
      </c>
      <c r="G1113" t="n">
        <v>7613905</v>
      </c>
      <c r="H1113" t="n">
        <v>1</v>
      </c>
      <c r="I1113" t="n">
        <v>1</v>
      </c>
      <c r="J1113" t="n">
        <v>8</v>
      </c>
      <c r="K1113" t="n">
        <v>8</v>
      </c>
      <c r="L1113" t="n">
        <v>8</v>
      </c>
      <c r="M1113" t="n">
        <v>8</v>
      </c>
      <c r="N1113" t="n">
        <v>8</v>
      </c>
      <c r="O1113" t="n">
        <v>40</v>
      </c>
      <c r="P1113" t="n">
        <v>8</v>
      </c>
      <c r="R1113" s="9" t="n">
        <v>0.08</v>
      </c>
      <c r="S1113" s="10" t="inlineStr">
        <is>
          <t>SÍ — integrante</t>
        </is>
      </c>
      <c r="T1113" s="11" t="inlineStr">
        <is>
          <t>B · INTEGRANTE</t>
        </is>
      </c>
      <c r="U1113" s="11" t="inlineStr">
        <is>
          <t>DEL BANCO (se hereda)</t>
        </is>
      </c>
      <c r="V1113" s="11" t="inlineStr">
        <is>
          <t>9154 · OTRAS ACTIVIDADES NO CLASIFICADAS</t>
        </is>
      </c>
      <c r="W1113" s="12" t="n"/>
      <c r="X1113" s="12" t="n"/>
    </row>
    <row r="1114" ht="15" customHeight="1">
      <c r="C1114" t="inlineStr">
        <is>
          <t>Actividad económica / giro mercantil</t>
        </is>
      </c>
      <c r="D1114" t="inlineStr">
        <is>
          <t>F12</t>
        </is>
      </c>
      <c r="E1114" t="inlineStr">
        <is>
          <t>INHERENTE</t>
        </is>
      </c>
      <c r="F1114" t="inlineStr">
        <is>
          <t>CARTERA DE COMUNICACIONES DE ESTADOS ANALITICOS</t>
        </is>
      </c>
      <c r="G1114" t="n">
        <v>7613913</v>
      </c>
      <c r="H1114" t="n">
        <v>2</v>
      </c>
      <c r="I1114" t="n">
        <v>2</v>
      </c>
      <c r="J1114" t="n">
        <v>8</v>
      </c>
      <c r="K1114" t="n">
        <v>16</v>
      </c>
      <c r="L1114" t="n">
        <v>16</v>
      </c>
      <c r="M1114" t="n">
        <v>16</v>
      </c>
      <c r="N1114" t="n">
        <v>16</v>
      </c>
      <c r="O1114" t="n">
        <v>40</v>
      </c>
      <c r="P1114" t="n">
        <v>8</v>
      </c>
      <c r="R1114" s="9" t="n">
        <v>0.08</v>
      </c>
      <c r="S1114" s="10" t="inlineStr">
        <is>
          <t>SÍ — integrante</t>
        </is>
      </c>
      <c r="T1114" s="11" t="inlineStr">
        <is>
          <t>B · INTEGRANTE</t>
        </is>
      </c>
      <c r="U1114" s="11" t="inlineStr">
        <is>
          <t>DEL BANCO (se hereda)</t>
        </is>
      </c>
      <c r="V1114" s="11" t="inlineStr">
        <is>
          <t>9154 · OTRAS ACTIVIDADES NO CLASIFICADAS</t>
        </is>
      </c>
      <c r="W1114" s="12" t="n"/>
      <c r="X1114" s="12" t="n"/>
    </row>
    <row r="1115" ht="15" customHeight="1">
      <c r="C1115" t="inlineStr">
        <is>
          <t>Actividad económica / giro mercantil</t>
        </is>
      </c>
      <c r="D1115" t="inlineStr">
        <is>
          <t>F12</t>
        </is>
      </c>
      <c r="E1115" t="inlineStr">
        <is>
          <t>INHERENTE</t>
        </is>
      </c>
      <c r="F1115" t="inlineStr">
        <is>
          <t>SERVICIOS POSTALES</t>
        </is>
      </c>
      <c r="G1115" t="n">
        <v>7614010</v>
      </c>
      <c r="H1115" t="n">
        <v>1</v>
      </c>
      <c r="I1115" t="n">
        <v>1</v>
      </c>
      <c r="J1115" t="n">
        <v>8</v>
      </c>
      <c r="K1115" t="n">
        <v>8</v>
      </c>
      <c r="L1115" t="n">
        <v>8</v>
      </c>
      <c r="M1115" t="n">
        <v>8</v>
      </c>
      <c r="N1115" t="n">
        <v>8</v>
      </c>
      <c r="O1115" t="n">
        <v>40</v>
      </c>
      <c r="P1115" t="n">
        <v>8</v>
      </c>
      <c r="R1115" s="9" t="n">
        <v>0.08</v>
      </c>
      <c r="S1115" s="10" t="inlineStr">
        <is>
          <t>SÍ — integrante</t>
        </is>
      </c>
      <c r="T1115" s="11" t="inlineStr">
        <is>
          <t>B · INTEGRANTE</t>
        </is>
      </c>
      <c r="U1115" s="11" t="inlineStr">
        <is>
          <t>DEL BANCO (se hereda)</t>
        </is>
      </c>
      <c r="V1115" s="11" t="inlineStr">
        <is>
          <t>9154 · OTRAS ACTIVIDADES NO CLASIFICADAS</t>
        </is>
      </c>
      <c r="W1115" s="12" t="n"/>
      <c r="X1115" s="12" t="n"/>
    </row>
    <row r="1116" ht="15" customHeight="1">
      <c r="C1116" t="inlineStr">
        <is>
          <t>Actividad económica / giro mercantil</t>
        </is>
      </c>
      <c r="D1116" t="inlineStr">
        <is>
          <t>F12</t>
        </is>
      </c>
      <c r="E1116" t="inlineStr">
        <is>
          <t>INHERENTE</t>
        </is>
      </c>
      <c r="F1116" t="inlineStr">
        <is>
          <t>SERVICIOS DE INSTITUCIONES DE CRÉDITO, ORGANIZACIONES AUXILIARES E INSTITUCIONES DE SEGUROS Y FIANZAS</t>
        </is>
      </c>
      <c r="G1116" t="n">
        <v>8100000</v>
      </c>
      <c r="H1116" t="n">
        <v>2</v>
      </c>
      <c r="I1116" t="n">
        <v>2</v>
      </c>
      <c r="J1116" t="n">
        <v>8</v>
      </c>
      <c r="K1116" t="n">
        <v>16</v>
      </c>
      <c r="L1116" t="n">
        <v>16</v>
      </c>
      <c r="M1116" t="n">
        <v>16</v>
      </c>
      <c r="N1116" t="n">
        <v>16</v>
      </c>
      <c r="O1116" t="n">
        <v>40</v>
      </c>
      <c r="P1116" t="n">
        <v>8</v>
      </c>
      <c r="R1116" s="9" t="n">
        <v>0.08</v>
      </c>
      <c r="S1116" s="10" t="inlineStr">
        <is>
          <t>SÍ — integrante</t>
        </is>
      </c>
      <c r="T1116" s="11" t="inlineStr">
        <is>
          <t>B · INTEGRANTE</t>
        </is>
      </c>
      <c r="U1116" s="11" t="inlineStr">
        <is>
          <t>DEL BANCO (se hereda)</t>
        </is>
      </c>
      <c r="V1116" s="11" t="inlineStr">
        <is>
          <t>9118 · ENTIDAD AUXILIAR DEL CRÉDITO</t>
        </is>
      </c>
      <c r="W1116" s="12" t="n"/>
      <c r="X1116" s="12" t="n"/>
    </row>
    <row r="1117" ht="15" customHeight="1">
      <c r="C1117" t="inlineStr">
        <is>
          <t>Actividad económica / giro mercantil</t>
        </is>
      </c>
      <c r="D1117" t="inlineStr">
        <is>
          <t>F12</t>
        </is>
      </c>
      <c r="E1117" t="inlineStr">
        <is>
          <t>INHERENTE</t>
        </is>
      </c>
      <c r="F1117" t="inlineStr">
        <is>
          <t>SERVICIOS DE LA BANCA NACIONAL</t>
        </is>
      </c>
      <c r="G1117" t="n">
        <v>8113011</v>
      </c>
      <c r="H1117" t="n">
        <v>5</v>
      </c>
      <c r="I1117" t="n">
        <v>5</v>
      </c>
      <c r="J1117" t="n">
        <v>8</v>
      </c>
      <c r="K1117" t="n">
        <v>40</v>
      </c>
      <c r="L1117" t="n">
        <v>40</v>
      </c>
      <c r="M1117" t="n">
        <v>40</v>
      </c>
      <c r="N1117" t="n">
        <v>40</v>
      </c>
      <c r="O1117" t="n">
        <v>40</v>
      </c>
      <c r="P1117" t="n">
        <v>8</v>
      </c>
      <c r="R1117" s="9" t="n">
        <v>0.08</v>
      </c>
      <c r="S1117" s="10" t="inlineStr">
        <is>
          <t>SÍ — integrante</t>
        </is>
      </c>
      <c r="T1117" s="11" t="inlineStr">
        <is>
          <t>B · INTEGRANTE</t>
        </is>
      </c>
      <c r="U1117" s="11" t="inlineStr">
        <is>
          <t>DEL BANCO (se hereda)</t>
        </is>
      </c>
      <c r="V1117" s="11" t="inlineStr">
        <is>
          <t>9154 · OTRAS ACTIVIDADES NO CLASIFICADAS</t>
        </is>
      </c>
      <c r="W1117" s="12" t="n"/>
      <c r="X1117" s="12" t="n"/>
    </row>
    <row r="1118" ht="15" customHeight="1">
      <c r="C1118" t="inlineStr">
        <is>
          <t>Actividad económica / giro mercantil</t>
        </is>
      </c>
      <c r="D1118" t="inlineStr">
        <is>
          <t>F12</t>
        </is>
      </c>
      <c r="E1118" t="inlineStr">
        <is>
          <t>INHERENTE</t>
        </is>
      </c>
      <c r="F1118" t="inlineStr">
        <is>
          <t>SERVICIOS DE LA BANCA NACIONAL POR OPERACIONES DE CALL MONEY</t>
        </is>
      </c>
      <c r="G1118" t="n">
        <v>8113029</v>
      </c>
      <c r="H1118" t="n">
        <v>5</v>
      </c>
      <c r="I1118" t="n">
        <v>5</v>
      </c>
      <c r="J1118" t="n">
        <v>8</v>
      </c>
      <c r="K1118" t="n">
        <v>40</v>
      </c>
      <c r="L1118" t="n">
        <v>40</v>
      </c>
      <c r="M1118" t="n">
        <v>40</v>
      </c>
      <c r="N1118" t="n">
        <v>40</v>
      </c>
      <c r="O1118" t="n">
        <v>40</v>
      </c>
      <c r="P1118" t="n">
        <v>8</v>
      </c>
      <c r="R1118" s="9" t="n">
        <v>0.08</v>
      </c>
      <c r="S1118" s="10" t="inlineStr">
        <is>
          <t>SÍ — integrante</t>
        </is>
      </c>
      <c r="T1118" s="11" t="inlineStr">
        <is>
          <t>B · INTEGRANTE</t>
        </is>
      </c>
      <c r="U1118" s="11" t="inlineStr">
        <is>
          <t>DEL BANCO (se hereda)</t>
        </is>
      </c>
      <c r="V1118" s="11" t="inlineStr">
        <is>
          <t>9154 · OTRAS ACTIVIDADES NO CLASIFICADAS</t>
        </is>
      </c>
      <c r="W1118" s="12" t="n"/>
      <c r="X1118" s="12" t="n"/>
    </row>
    <row r="1119" ht="15" customHeight="1">
      <c r="C1119" t="inlineStr">
        <is>
          <t>Actividad económica / giro mercantil</t>
        </is>
      </c>
      <c r="D1119" t="inlineStr">
        <is>
          <t>F12</t>
        </is>
      </c>
      <c r="E1119" t="inlineStr">
        <is>
          <t>INHERENTE</t>
        </is>
      </c>
      <c r="F1119" t="inlineStr">
        <is>
          <t>MENORES BANCA DESARROLLO</t>
        </is>
      </c>
      <c r="G1119" t="n">
        <v>8113128</v>
      </c>
      <c r="H1119" t="n">
        <v>4</v>
      </c>
      <c r="I1119" t="n">
        <v>4</v>
      </c>
      <c r="J1119" t="n">
        <v>8</v>
      </c>
      <c r="K1119" t="n">
        <v>32</v>
      </c>
      <c r="L1119" t="n">
        <v>32</v>
      </c>
      <c r="M1119" t="n">
        <v>32</v>
      </c>
      <c r="N1119" t="n">
        <v>32</v>
      </c>
      <c r="O1119" t="n">
        <v>40</v>
      </c>
      <c r="P1119" t="n">
        <v>8</v>
      </c>
      <c r="R1119" s="9" t="n">
        <v>0.08</v>
      </c>
      <c r="S1119" s="10" t="inlineStr">
        <is>
          <t>SÍ — integrante</t>
        </is>
      </c>
      <c r="T1119" s="11" t="inlineStr">
        <is>
          <t>B · INTEGRANTE</t>
        </is>
      </c>
      <c r="U1119" s="11" t="inlineStr">
        <is>
          <t>DEL BANCO (se hereda)</t>
        </is>
      </c>
      <c r="V1119" s="11" t="inlineStr">
        <is>
          <t>9154 · OTRAS ACTIVIDADES NO CLASIFICADAS</t>
        </is>
      </c>
      <c r="W1119" s="12" t="n"/>
      <c r="X1119" s="12" t="n"/>
    </row>
    <row r="1120" ht="15" customHeight="1">
      <c r="C1120" t="inlineStr">
        <is>
          <t>Actividad económica / giro mercantil</t>
        </is>
      </c>
      <c r="D1120" t="inlineStr">
        <is>
          <t>F12</t>
        </is>
      </c>
      <c r="E1120" t="inlineStr">
        <is>
          <t>INHERENTE</t>
        </is>
      </c>
      <c r="F1120" t="inlineStr">
        <is>
          <t>SERVICIOS DE FONDOS Y FIDEICOMISOS DE FOMENTO ECONOMICO</t>
        </is>
      </c>
      <c r="G1120" t="n">
        <v>8114019</v>
      </c>
      <c r="H1120" t="n">
        <v>1</v>
      </c>
      <c r="I1120" t="n">
        <v>1</v>
      </c>
      <c r="J1120" t="n">
        <v>8</v>
      </c>
      <c r="K1120" t="n">
        <v>8</v>
      </c>
      <c r="L1120" t="n">
        <v>8</v>
      </c>
      <c r="M1120" t="n">
        <v>8</v>
      </c>
      <c r="N1120" t="n">
        <v>8</v>
      </c>
      <c r="O1120" t="n">
        <v>40</v>
      </c>
      <c r="P1120" t="n">
        <v>8</v>
      </c>
      <c r="R1120" s="9" t="n">
        <v>0.08</v>
      </c>
      <c r="S1120" s="10" t="inlineStr">
        <is>
          <t>SÍ — integrante</t>
        </is>
      </c>
      <c r="T1120" s="11" t="inlineStr">
        <is>
          <t>B · INTEGRANTE</t>
        </is>
      </c>
      <c r="U1120" s="11" t="inlineStr">
        <is>
          <t>DEL BANCO (se hereda)</t>
        </is>
      </c>
      <c r="V1120" s="11" t="inlineStr">
        <is>
          <t>9154 · OTRAS ACTIVIDADES NO CLASIFICADAS</t>
        </is>
      </c>
      <c r="W1120" s="12" t="n"/>
      <c r="X1120" s="12" t="n"/>
    </row>
    <row r="1121" ht="15" customHeight="1">
      <c r="C1121" t="inlineStr">
        <is>
          <t>Actividad económica / giro mercantil</t>
        </is>
      </c>
      <c r="D1121" t="inlineStr">
        <is>
          <t>F12</t>
        </is>
      </c>
      <c r="E1121" t="inlineStr">
        <is>
          <t>INHERENTE</t>
        </is>
      </c>
      <c r="F1121" t="inlineStr">
        <is>
          <t>SERVICIOS DE LA BANCA PRIVADA Y MIXTA MULTIPLE</t>
        </is>
      </c>
      <c r="G1121" t="n">
        <v>8123010</v>
      </c>
      <c r="H1121" t="n">
        <v>5</v>
      </c>
      <c r="I1121" t="n">
        <v>5</v>
      </c>
      <c r="J1121" t="n">
        <v>8</v>
      </c>
      <c r="K1121" t="n">
        <v>40</v>
      </c>
      <c r="L1121" t="n">
        <v>40</v>
      </c>
      <c r="M1121" t="n">
        <v>40</v>
      </c>
      <c r="N1121" t="n">
        <v>40</v>
      </c>
      <c r="O1121" t="n">
        <v>40</v>
      </c>
      <c r="P1121" t="n">
        <v>8</v>
      </c>
      <c r="R1121" s="9" t="n">
        <v>0.08</v>
      </c>
      <c r="S1121" s="10" t="inlineStr">
        <is>
          <t>SÍ — integrante</t>
        </is>
      </c>
      <c r="T1121" s="11" t="inlineStr">
        <is>
          <t>B · INTEGRANTE</t>
        </is>
      </c>
      <c r="U1121" s="11" t="inlineStr">
        <is>
          <t>DEL BANCO (se hereda)</t>
        </is>
      </c>
      <c r="V1121" s="11" t="inlineStr">
        <is>
          <t>9154 · OTRAS ACTIVIDADES NO CLASIFICADAS</t>
        </is>
      </c>
      <c r="W1121" s="12" t="n"/>
      <c r="X1121" s="12" t="n"/>
    </row>
    <row r="1122" ht="15" customHeight="1">
      <c r="C1122" t="inlineStr">
        <is>
          <t>Actividad económica / giro mercantil</t>
        </is>
      </c>
      <c r="D1122" t="inlineStr">
        <is>
          <t>F12</t>
        </is>
      </c>
      <c r="E1122" t="inlineStr">
        <is>
          <t>INHERENTE</t>
        </is>
      </c>
      <c r="F1122" t="inlineStr">
        <is>
          <t>SERVICIOS DE LA BANCA PRIVADA ESPECIALIZADA</t>
        </is>
      </c>
      <c r="G1122" t="n">
        <v>8123028</v>
      </c>
      <c r="H1122" t="n">
        <v>5</v>
      </c>
      <c r="I1122" t="n">
        <v>5</v>
      </c>
      <c r="J1122" t="n">
        <v>8</v>
      </c>
      <c r="K1122" t="n">
        <v>40</v>
      </c>
      <c r="L1122" t="n">
        <v>40</v>
      </c>
      <c r="M1122" t="n">
        <v>40</v>
      </c>
      <c r="N1122" t="n">
        <v>40</v>
      </c>
      <c r="O1122" t="n">
        <v>40</v>
      </c>
      <c r="P1122" t="n">
        <v>8</v>
      </c>
      <c r="R1122" s="9" t="n">
        <v>0.08</v>
      </c>
      <c r="S1122" s="10" t="inlineStr">
        <is>
          <t>SÍ — integrante</t>
        </is>
      </c>
      <c r="T1122" s="11" t="inlineStr">
        <is>
          <t>B · INTEGRANTE</t>
        </is>
      </c>
      <c r="U1122" s="11" t="inlineStr">
        <is>
          <t>DEL BANCO (se hereda)</t>
        </is>
      </c>
      <c r="V1122" s="11" t="inlineStr">
        <is>
          <t>9154 · OTRAS ACTIVIDADES NO CLASIFICADAS</t>
        </is>
      </c>
      <c r="W1122" s="12" t="n"/>
      <c r="X1122" s="12" t="n"/>
    </row>
    <row r="1123" ht="15" customHeight="1">
      <c r="C1123" t="inlineStr">
        <is>
          <t>Actividad económica / giro mercantil</t>
        </is>
      </c>
      <c r="D1123" t="inlineStr">
        <is>
          <t>F12</t>
        </is>
      </c>
      <c r="E1123" t="inlineStr">
        <is>
          <t>INHERENTE</t>
        </is>
      </c>
      <c r="F1123" t="inlineStr">
        <is>
          <t>SERVICIOS DE LA BANCA PRIVADA Y MIXTA MULTIPLE POR OPERACIONES DE CALL MONEY</t>
        </is>
      </c>
      <c r="G1123" t="n">
        <v>8123036</v>
      </c>
      <c r="H1123" t="n">
        <v>5</v>
      </c>
      <c r="I1123" t="n">
        <v>5</v>
      </c>
      <c r="J1123" t="n">
        <v>8</v>
      </c>
      <c r="K1123" t="n">
        <v>40</v>
      </c>
      <c r="L1123" t="n">
        <v>40</v>
      </c>
      <c r="M1123" t="n">
        <v>40</v>
      </c>
      <c r="N1123" t="n">
        <v>40</v>
      </c>
      <c r="O1123" t="n">
        <v>40</v>
      </c>
      <c r="P1123" t="n">
        <v>8</v>
      </c>
      <c r="R1123" s="9" t="n">
        <v>0.08</v>
      </c>
      <c r="S1123" s="10" t="inlineStr">
        <is>
          <t>SÍ — integrante</t>
        </is>
      </c>
      <c r="T1123" s="11" t="inlineStr">
        <is>
          <t>B · INTEGRANTE</t>
        </is>
      </c>
      <c r="U1123" s="11" t="inlineStr">
        <is>
          <t>DEL BANCO (se hereda)</t>
        </is>
      </c>
      <c r="V1123" s="11" t="inlineStr">
        <is>
          <t>9154 · OTRAS ACTIVIDADES NO CLASIFICADAS</t>
        </is>
      </c>
      <c r="W1123" s="12" t="n"/>
      <c r="X1123" s="12" t="n"/>
    </row>
    <row r="1124" ht="15" customHeight="1">
      <c r="C1124" t="inlineStr">
        <is>
          <t>Actividad económica / giro mercantil</t>
        </is>
      </c>
      <c r="D1124" t="inlineStr">
        <is>
          <t>F12</t>
        </is>
      </c>
      <c r="E1124" t="inlineStr">
        <is>
          <t>INHERENTE</t>
        </is>
      </c>
      <c r="F1124" t="inlineStr">
        <is>
          <t>SERVICIOS DE LA BANCA PRIVADA ESPECIALIZADA POR OP</t>
        </is>
      </c>
      <c r="G1124" t="n">
        <v>8123044</v>
      </c>
      <c r="H1124" t="n">
        <v>5</v>
      </c>
      <c r="I1124" t="n">
        <v>5</v>
      </c>
      <c r="J1124" t="n">
        <v>8</v>
      </c>
      <c r="K1124" t="n">
        <v>40</v>
      </c>
      <c r="L1124" t="n">
        <v>40</v>
      </c>
      <c r="M1124" t="n">
        <v>40</v>
      </c>
      <c r="N1124" t="n">
        <v>40</v>
      </c>
      <c r="O1124" t="n">
        <v>40</v>
      </c>
      <c r="P1124" t="n">
        <v>8</v>
      </c>
      <c r="R1124" s="9" t="n">
        <v>0.08</v>
      </c>
      <c r="S1124" s="10" t="inlineStr">
        <is>
          <t>SÍ — integrante</t>
        </is>
      </c>
      <c r="T1124" s="11" t="inlineStr">
        <is>
          <t>B · INTEGRANTE</t>
        </is>
      </c>
      <c r="U1124" s="11" t="inlineStr">
        <is>
          <t>DEL BANCO (se hereda)</t>
        </is>
      </c>
      <c r="V1124" s="11" t="inlineStr">
        <is>
          <t>9154 · OTRAS ACTIVIDADES NO CLASIFICADAS</t>
        </is>
      </c>
      <c r="W1124" s="12" t="n"/>
      <c r="X1124" s="12" t="n"/>
    </row>
    <row r="1125" ht="15" customHeight="1">
      <c r="C1125" t="inlineStr">
        <is>
          <t>Actividad económica / giro mercantil</t>
        </is>
      </c>
      <c r="D1125" t="inlineStr">
        <is>
          <t>F12</t>
        </is>
      </c>
      <c r="E1125" t="inlineStr">
        <is>
          <t>INHERENTE</t>
        </is>
      </c>
      <c r="F1125" t="inlineStr">
        <is>
          <t>SOCIEDADES DE AHORRO Y PRESTAMO</t>
        </is>
      </c>
      <c r="G1125" t="n">
        <v>8123052</v>
      </c>
      <c r="H1125" t="n">
        <v>5</v>
      </c>
      <c r="I1125" t="n">
        <v>5</v>
      </c>
      <c r="J1125" t="n">
        <v>8</v>
      </c>
      <c r="K1125" t="n">
        <v>40</v>
      </c>
      <c r="L1125" t="n">
        <v>40</v>
      </c>
      <c r="M1125" t="n">
        <v>40</v>
      </c>
      <c r="N1125" t="n">
        <v>40</v>
      </c>
      <c r="O1125" t="n">
        <v>40</v>
      </c>
      <c r="P1125" t="n">
        <v>8</v>
      </c>
      <c r="Q1125" t="inlineStr">
        <is>
          <t>DETERMINANTE</t>
        </is>
      </c>
      <c r="R1125" s="9" t="n">
        <v>0.08</v>
      </c>
      <c r="S1125" s="10" t="inlineStr">
        <is>
          <t>SÍ — integrante</t>
        </is>
      </c>
      <c r="T1125" s="11" t="inlineStr">
        <is>
          <t>B · INTEGRANTE</t>
        </is>
      </c>
      <c r="U1125" s="11" t="inlineStr">
        <is>
          <t>DEL BANCO (se hereda)</t>
        </is>
      </c>
      <c r="V1125" s="11" t="inlineStr">
        <is>
          <t>9118 · ENTIDAD AUXILIAR DEL CRÉDITO</t>
        </is>
      </c>
      <c r="W1125" s="12" t="n"/>
      <c r="X1125" s="12" t="n"/>
    </row>
    <row r="1126" ht="15" customHeight="1">
      <c r="C1126" t="inlineStr">
        <is>
          <t>Actividad económica / giro mercantil</t>
        </is>
      </c>
      <c r="D1126" t="inlineStr">
        <is>
          <t>F12</t>
        </is>
      </c>
      <c r="E1126" t="inlineStr">
        <is>
          <t>INHERENTE</t>
        </is>
      </c>
      <c r="F1126" t="inlineStr">
        <is>
          <t>SOCIEDADES DE AHORRO Y CREDITO POPULAR</t>
        </is>
      </c>
      <c r="G1126" t="n">
        <v>8123060</v>
      </c>
      <c r="H1126" t="n">
        <v>5</v>
      </c>
      <c r="I1126" t="n">
        <v>5</v>
      </c>
      <c r="J1126" t="n">
        <v>8</v>
      </c>
      <c r="K1126" t="n">
        <v>40</v>
      </c>
      <c r="L1126" t="n">
        <v>40</v>
      </c>
      <c r="M1126" t="n">
        <v>40</v>
      </c>
      <c r="N1126" t="n">
        <v>40</v>
      </c>
      <c r="O1126" t="n">
        <v>40</v>
      </c>
      <c r="P1126" t="n">
        <v>8</v>
      </c>
      <c r="Q1126" t="inlineStr">
        <is>
          <t>DETERMINANTE</t>
        </is>
      </c>
      <c r="R1126" s="9" t="n">
        <v>0.08</v>
      </c>
      <c r="S1126" s="10" t="inlineStr">
        <is>
          <t>SÍ — integrante</t>
        </is>
      </c>
      <c r="T1126" s="11" t="inlineStr">
        <is>
          <t>B · INTEGRANTE</t>
        </is>
      </c>
      <c r="U1126" s="11" t="inlineStr">
        <is>
          <t>DEL BANCO (se hereda)</t>
        </is>
      </c>
      <c r="V1126" s="11" t="inlineStr">
        <is>
          <t>9118 · ENTIDAD AUXILIAR DEL CRÉDITO</t>
        </is>
      </c>
      <c r="W1126" s="12" t="n"/>
      <c r="X1126" s="12" t="n"/>
    </row>
    <row r="1127" ht="15" customHeight="1">
      <c r="C1127" t="inlineStr">
        <is>
          <t>Actividad económica / giro mercantil</t>
        </is>
      </c>
      <c r="D1127" t="inlineStr">
        <is>
          <t>F12</t>
        </is>
      </c>
      <c r="E1127" t="inlineStr">
        <is>
          <t>INHERENTE</t>
        </is>
      </c>
      <c r="F1127" t="inlineStr">
        <is>
          <t>SOCIEDADES FINANCIERAS DE OBJETO LIMITADO</t>
        </is>
      </c>
      <c r="G1127" t="n">
        <v>8123078</v>
      </c>
      <c r="H1127" t="n">
        <v>1</v>
      </c>
      <c r="I1127" t="n">
        <v>1</v>
      </c>
      <c r="J1127" t="n">
        <v>8</v>
      </c>
      <c r="K1127" t="n">
        <v>8</v>
      </c>
      <c r="L1127" t="n">
        <v>8</v>
      </c>
      <c r="M1127" t="n">
        <v>8</v>
      </c>
      <c r="N1127" t="n">
        <v>8</v>
      </c>
      <c r="O1127" t="n">
        <v>40</v>
      </c>
      <c r="P1127" t="n">
        <v>8</v>
      </c>
      <c r="R1127" s="9" t="n">
        <v>0.08</v>
      </c>
      <c r="S1127" s="10" t="inlineStr">
        <is>
          <t>SÍ — integrante</t>
        </is>
      </c>
      <c r="T1127" s="11" t="inlineStr">
        <is>
          <t>B · INTEGRANTE</t>
        </is>
      </c>
      <c r="U1127" s="11" t="inlineStr">
        <is>
          <t>DEL BANCO (se hereda)</t>
        </is>
      </c>
      <c r="V1127" s="11" t="inlineStr">
        <is>
          <t>9115 · SECTOR FINANCIERO REGULADO</t>
        </is>
      </c>
      <c r="W1127" s="12" t="n"/>
      <c r="X1127" s="12" t="n"/>
    </row>
    <row r="1128" ht="15" customHeight="1">
      <c r="C1128" t="inlineStr">
        <is>
          <t>Actividad económica / giro mercantil</t>
        </is>
      </c>
      <c r="D1128" t="inlineStr">
        <is>
          <t>F12</t>
        </is>
      </c>
      <c r="E1128" t="inlineStr">
        <is>
          <t>INHERENTE</t>
        </is>
      </c>
      <c r="F1128" t="inlineStr">
        <is>
          <t>SOCIEDADES FINANCIERAS DE OBJETO MULTIPLE REGULADAS</t>
        </is>
      </c>
      <c r="G1128" t="n">
        <v>8123086</v>
      </c>
      <c r="H1128" t="n">
        <v>5</v>
      </c>
      <c r="I1128" t="n">
        <v>5</v>
      </c>
      <c r="J1128" t="n">
        <v>8</v>
      </c>
      <c r="K1128" t="n">
        <v>40</v>
      </c>
      <c r="L1128" t="n">
        <v>40</v>
      </c>
      <c r="M1128" t="n">
        <v>40</v>
      </c>
      <c r="N1128" t="n">
        <v>40</v>
      </c>
      <c r="O1128" t="n">
        <v>40</v>
      </c>
      <c r="P1128" t="n">
        <v>8</v>
      </c>
      <c r="R1128" s="9" t="n">
        <v>0.08</v>
      </c>
      <c r="S1128" s="10" t="inlineStr">
        <is>
          <t>SÍ — integrante</t>
        </is>
      </c>
      <c r="T1128" s="11" t="inlineStr">
        <is>
          <t>B · INTEGRANTE</t>
        </is>
      </c>
      <c r="U1128" s="11" t="inlineStr">
        <is>
          <t>DEL BANCO (se hereda)</t>
        </is>
      </c>
      <c r="V1128" s="11" t="inlineStr">
        <is>
          <t>9115 · SECTOR FINANCIERO REGULADO</t>
        </is>
      </c>
      <c r="W1128" s="12" t="n"/>
      <c r="X1128" s="12" t="n"/>
    </row>
    <row r="1129" ht="15" customHeight="1">
      <c r="C1129" t="inlineStr">
        <is>
          <t>Actividad económica / giro mercantil</t>
        </is>
      </c>
      <c r="D1129" t="inlineStr">
        <is>
          <t>F12</t>
        </is>
      </c>
      <c r="E1129" t="inlineStr">
        <is>
          <t>INHERENTE</t>
        </is>
      </c>
      <c r="F1129" t="inlineStr">
        <is>
          <t>SOCIEDADES FINANCIERAS DE OBJETO MULTIPLE NO REGULADAS</t>
        </is>
      </c>
      <c r="G1129" t="n">
        <v>8123094</v>
      </c>
      <c r="H1129" t="n">
        <v>5</v>
      </c>
      <c r="I1129" t="n">
        <v>5</v>
      </c>
      <c r="J1129" t="n">
        <v>8</v>
      </c>
      <c r="K1129" t="n">
        <v>40</v>
      </c>
      <c r="L1129" t="n">
        <v>40</v>
      </c>
      <c r="M1129" t="n">
        <v>40</v>
      </c>
      <c r="N1129" t="n">
        <v>40</v>
      </c>
      <c r="O1129" t="n">
        <v>40</v>
      </c>
      <c r="P1129" t="n">
        <v>8</v>
      </c>
      <c r="Q1129" t="inlineStr">
        <is>
          <t>DETERMINANTE</t>
        </is>
      </c>
      <c r="R1129" s="9" t="n">
        <v>0.08</v>
      </c>
      <c r="S1129" s="10" t="inlineStr">
        <is>
          <t>SÍ — integrante</t>
        </is>
      </c>
      <c r="T1129" s="11" t="inlineStr">
        <is>
          <t>B · INTEGRANTE</t>
        </is>
      </c>
      <c r="U1129" s="11" t="inlineStr">
        <is>
          <t>DEL BANCO (se hereda)</t>
        </is>
      </c>
      <c r="V1129" s="11" t="inlineStr">
        <is>
          <t>9115 · SECTOR FINANCIERO REGULADO</t>
        </is>
      </c>
      <c r="W1129" s="12" t="n"/>
      <c r="X1129" s="12" t="n"/>
    </row>
    <row r="1130" ht="15" customHeight="1">
      <c r="C1130" t="inlineStr">
        <is>
          <t>Actividad económica / giro mercantil</t>
        </is>
      </c>
      <c r="D1130" t="inlineStr">
        <is>
          <t>F12</t>
        </is>
      </c>
      <c r="E1130" t="inlineStr">
        <is>
          <t>INHERENTE</t>
        </is>
      </c>
      <c r="F1130" t="inlineStr">
        <is>
          <t>USUARIOS MENORES BANCA COMERCIAL</t>
        </is>
      </c>
      <c r="G1130" t="n">
        <v>8123143</v>
      </c>
      <c r="H1130" t="n">
        <v>4</v>
      </c>
      <c r="I1130" t="n">
        <v>4</v>
      </c>
      <c r="J1130" t="n">
        <v>8</v>
      </c>
      <c r="K1130" t="n">
        <v>32</v>
      </c>
      <c r="L1130" t="n">
        <v>32</v>
      </c>
      <c r="M1130" t="n">
        <v>32</v>
      </c>
      <c r="N1130" t="n">
        <v>32</v>
      </c>
      <c r="O1130" t="n">
        <v>40</v>
      </c>
      <c r="P1130" t="n">
        <v>8</v>
      </c>
      <c r="R1130" s="9" t="n">
        <v>0.08</v>
      </c>
      <c r="S1130" s="10" t="inlineStr">
        <is>
          <t>SÍ — integrante</t>
        </is>
      </c>
      <c r="T1130" s="11" t="inlineStr">
        <is>
          <t>B · INTEGRANTE</t>
        </is>
      </c>
      <c r="U1130" s="11" t="inlineStr">
        <is>
          <t>DEL BANCO (se hereda)</t>
        </is>
      </c>
      <c r="V1130" s="11" t="inlineStr">
        <is>
          <t>9114 · INSTITUCIÓN DE CRÉDITO (BANCO)</t>
        </is>
      </c>
      <c r="W1130" s="12" t="n"/>
      <c r="X1130" s="12" t="n"/>
    </row>
    <row r="1131" ht="15" customHeight="1">
      <c r="C1131" t="inlineStr">
        <is>
          <t>Actividad económica / giro mercantil</t>
        </is>
      </c>
      <c r="D1131" t="inlineStr">
        <is>
          <t>F12</t>
        </is>
      </c>
      <c r="E1131" t="inlineStr">
        <is>
          <t>INHERENTE</t>
        </is>
      </c>
      <c r="F1131" t="inlineStr">
        <is>
          <t>USUARIOS MENORES DE SERVICIOS BANCARIOS</t>
        </is>
      </c>
      <c r="G1131" t="n">
        <v>8123903</v>
      </c>
      <c r="H1131" t="n">
        <v>2</v>
      </c>
      <c r="I1131" t="n">
        <v>2</v>
      </c>
      <c r="J1131" t="n">
        <v>8</v>
      </c>
      <c r="K1131" t="n">
        <v>16</v>
      </c>
      <c r="L1131" t="n">
        <v>16</v>
      </c>
      <c r="M1131" t="n">
        <v>16</v>
      </c>
      <c r="N1131" t="n">
        <v>16</v>
      </c>
      <c r="O1131" t="n">
        <v>40</v>
      </c>
      <c r="P1131" t="n">
        <v>8</v>
      </c>
      <c r="R1131" s="9" t="n">
        <v>0.08</v>
      </c>
      <c r="S1131" s="10" t="inlineStr">
        <is>
          <t>SÍ — integrante</t>
        </is>
      </c>
      <c r="T1131" s="11" t="inlineStr">
        <is>
          <t>B · INTEGRANTE</t>
        </is>
      </c>
      <c r="U1131" s="11" t="inlineStr">
        <is>
          <t>DEL BANCO (se hereda)</t>
        </is>
      </c>
      <c r="V1131" s="11" t="inlineStr">
        <is>
          <t>9154 · OTRAS ACTIVIDADES NO CLASIFICADAS</t>
        </is>
      </c>
      <c r="W1131" s="12" t="n"/>
      <c r="X1131" s="12" t="n"/>
    </row>
    <row r="1132" ht="15" customHeight="1">
      <c r="C1132" t="inlineStr">
        <is>
          <t>Actividad económica / giro mercantil</t>
        </is>
      </c>
      <c r="D1132" t="inlineStr">
        <is>
          <t>F12</t>
        </is>
      </c>
      <c r="E1132" t="inlineStr">
        <is>
          <t>INHERENTE</t>
        </is>
      </c>
      <c r="F1132" t="inlineStr">
        <is>
          <t>CARTERA DE SERVICIOS BANCARIOS DE ESTADOS ANALITIC</t>
        </is>
      </c>
      <c r="G1132" t="n">
        <v>8123911</v>
      </c>
      <c r="H1132" t="n">
        <v>2</v>
      </c>
      <c r="I1132" t="n">
        <v>2</v>
      </c>
      <c r="J1132" t="n">
        <v>8</v>
      </c>
      <c r="K1132" t="n">
        <v>16</v>
      </c>
      <c r="L1132" t="n">
        <v>16</v>
      </c>
      <c r="M1132" t="n">
        <v>16</v>
      </c>
      <c r="N1132" t="n">
        <v>16</v>
      </c>
      <c r="O1132" t="n">
        <v>40</v>
      </c>
      <c r="P1132" t="n">
        <v>8</v>
      </c>
      <c r="R1132" s="9" t="n">
        <v>0.08</v>
      </c>
      <c r="S1132" s="10" t="inlineStr">
        <is>
          <t>SÍ — integrante</t>
        </is>
      </c>
      <c r="T1132" s="11" t="inlineStr">
        <is>
          <t>B · INTEGRANTE</t>
        </is>
      </c>
      <c r="U1132" s="11" t="inlineStr">
        <is>
          <t>DEL BANCO (se hereda)</t>
        </is>
      </c>
      <c r="V1132" s="11" t="inlineStr">
        <is>
          <t>9154 · OTRAS ACTIVIDADES NO CLASIFICADAS</t>
        </is>
      </c>
      <c r="W1132" s="12" t="n"/>
      <c r="X1132" s="12" t="n"/>
    </row>
    <row r="1133" ht="15" customHeight="1">
      <c r="C1133" t="inlineStr">
        <is>
          <t>Actividad económica / giro mercantil</t>
        </is>
      </c>
      <c r="D1133" t="inlineStr">
        <is>
          <t>F12</t>
        </is>
      </c>
      <c r="E1133" t="inlineStr">
        <is>
          <t>INHERENTE</t>
        </is>
      </c>
      <c r="F1133" t="inlineStr">
        <is>
          <t>ALMACENES DE DEPOSITO NACIONALES</t>
        </is>
      </c>
      <c r="G1133" t="n">
        <v>8131013</v>
      </c>
      <c r="H1133" t="n">
        <v>4</v>
      </c>
      <c r="I1133" t="n">
        <v>4</v>
      </c>
      <c r="J1133" t="n">
        <v>8</v>
      </c>
      <c r="K1133" t="n">
        <v>32</v>
      </c>
      <c r="L1133" t="n">
        <v>32</v>
      </c>
      <c r="M1133" t="n">
        <v>32</v>
      </c>
      <c r="N1133" t="n">
        <v>32</v>
      </c>
      <c r="O1133" t="n">
        <v>40</v>
      </c>
      <c r="P1133" t="n">
        <v>8</v>
      </c>
      <c r="R1133" s="9" t="n">
        <v>0.08</v>
      </c>
      <c r="S1133" s="10" t="inlineStr">
        <is>
          <t>SÍ — integrante</t>
        </is>
      </c>
      <c r="T1133" s="11" t="inlineStr">
        <is>
          <t>B · INTEGRANTE</t>
        </is>
      </c>
      <c r="U1133" s="11" t="inlineStr">
        <is>
          <t>DEL BANCO (se hereda)</t>
        </is>
      </c>
      <c r="V1133" s="11" t="inlineStr">
        <is>
          <t>9154 · OTRAS ACTIVIDADES NO CLASIFICADAS</t>
        </is>
      </c>
      <c r="W1133" s="12" t="n"/>
      <c r="X1133" s="12" t="n"/>
    </row>
    <row r="1134" ht="15" customHeight="1">
      <c r="C1134" t="inlineStr">
        <is>
          <t>Actividad económica / giro mercantil</t>
        </is>
      </c>
      <c r="D1134" t="inlineStr">
        <is>
          <t>F12</t>
        </is>
      </c>
      <c r="E1134" t="inlineStr">
        <is>
          <t>INHERENTE</t>
        </is>
      </c>
      <c r="F1134" t="inlineStr">
        <is>
          <t>ALMACENES DE DEPOSITO PRIVADOS</t>
        </is>
      </c>
      <c r="G1134" t="n">
        <v>8131021</v>
      </c>
      <c r="H1134" t="n">
        <v>4</v>
      </c>
      <c r="I1134" t="n">
        <v>4</v>
      </c>
      <c r="J1134" t="n">
        <v>8</v>
      </c>
      <c r="K1134" t="n">
        <v>32</v>
      </c>
      <c r="L1134" t="n">
        <v>32</v>
      </c>
      <c r="M1134" t="n">
        <v>32</v>
      </c>
      <c r="N1134" t="n">
        <v>32</v>
      </c>
      <c r="O1134" t="n">
        <v>40</v>
      </c>
      <c r="P1134" t="n">
        <v>8</v>
      </c>
      <c r="R1134" s="9" t="n">
        <v>0.08</v>
      </c>
      <c r="S1134" s="10" t="inlineStr">
        <is>
          <t>SÍ — integrante</t>
        </is>
      </c>
      <c r="T1134" s="11" t="inlineStr">
        <is>
          <t>B · INTEGRANTE</t>
        </is>
      </c>
      <c r="U1134" s="11" t="inlineStr">
        <is>
          <t>DEL BANCO (se hereda)</t>
        </is>
      </c>
      <c r="V1134" s="11" t="inlineStr">
        <is>
          <t>9154 · OTRAS ACTIVIDADES NO CLASIFICADAS</t>
        </is>
      </c>
      <c r="W1134" s="12" t="n"/>
      <c r="X1134" s="12" t="n"/>
    </row>
    <row r="1135" ht="15" customHeight="1">
      <c r="C1135" t="inlineStr">
        <is>
          <t>Actividad económica / giro mercantil</t>
        </is>
      </c>
      <c r="D1135" t="inlineStr">
        <is>
          <t>F12</t>
        </is>
      </c>
      <c r="E1135" t="inlineStr">
        <is>
          <t>INHERENTE</t>
        </is>
      </c>
      <c r="F1135" t="inlineStr">
        <is>
          <t>UNIONES DE CREDITO NACIONALES</t>
        </is>
      </c>
      <c r="G1135" t="n">
        <v>8132011</v>
      </c>
      <c r="H1135" t="n">
        <v>3</v>
      </c>
      <c r="I1135" t="n">
        <v>3</v>
      </c>
      <c r="J1135" t="n">
        <v>8</v>
      </c>
      <c r="K1135" t="n">
        <v>24</v>
      </c>
      <c r="L1135" t="n">
        <v>24</v>
      </c>
      <c r="M1135" t="n">
        <v>24</v>
      </c>
      <c r="N1135" t="n">
        <v>24</v>
      </c>
      <c r="O1135" t="n">
        <v>40</v>
      </c>
      <c r="P1135" t="n">
        <v>8</v>
      </c>
      <c r="R1135" s="9" t="n">
        <v>0.08</v>
      </c>
      <c r="S1135" s="10" t="inlineStr">
        <is>
          <t>SÍ — integrante</t>
        </is>
      </c>
      <c r="T1135" s="11" t="inlineStr">
        <is>
          <t>B · INTEGRANTE</t>
        </is>
      </c>
      <c r="U1135" s="11" t="inlineStr">
        <is>
          <t>DEL BANCO (se hereda)</t>
        </is>
      </c>
      <c r="V1135" s="11" t="inlineStr">
        <is>
          <t>9118 · ENTIDAD AUXILIAR DEL CRÉDITO</t>
        </is>
      </c>
      <c r="W1135" s="12" t="n"/>
      <c r="X1135" s="12" t="n"/>
    </row>
    <row r="1136" ht="15" customHeight="1">
      <c r="C1136" t="inlineStr">
        <is>
          <t>Actividad económica / giro mercantil</t>
        </is>
      </c>
      <c r="D1136" t="inlineStr">
        <is>
          <t>F12</t>
        </is>
      </c>
      <c r="E1136" t="inlineStr">
        <is>
          <t>INHERENTE</t>
        </is>
      </c>
      <c r="F1136" t="inlineStr">
        <is>
          <t>UNIONES DE CREDITO PRIVADAS</t>
        </is>
      </c>
      <c r="G1136" t="n">
        <v>8132029</v>
      </c>
      <c r="H1136" t="n">
        <v>3</v>
      </c>
      <c r="I1136" t="n">
        <v>3</v>
      </c>
      <c r="J1136" t="n">
        <v>8</v>
      </c>
      <c r="K1136" t="n">
        <v>24</v>
      </c>
      <c r="L1136" t="n">
        <v>24</v>
      </c>
      <c r="M1136" t="n">
        <v>24</v>
      </c>
      <c r="N1136" t="n">
        <v>24</v>
      </c>
      <c r="O1136" t="n">
        <v>40</v>
      </c>
      <c r="P1136" t="n">
        <v>8</v>
      </c>
      <c r="R1136" s="9" t="n">
        <v>0.08</v>
      </c>
      <c r="S1136" s="10" t="inlineStr">
        <is>
          <t>SÍ — integrante</t>
        </is>
      </c>
      <c r="T1136" s="11" t="inlineStr">
        <is>
          <t>B · INTEGRANTE</t>
        </is>
      </c>
      <c r="U1136" s="11" t="inlineStr">
        <is>
          <t>DEL BANCO (se hereda)</t>
        </is>
      </c>
      <c r="V1136" s="11" t="inlineStr">
        <is>
          <t>9118 · ENTIDAD AUXILIAR DEL CRÉDITO</t>
        </is>
      </c>
      <c r="W1136" s="12" t="n"/>
      <c r="X1136" s="12" t="n"/>
    </row>
    <row r="1137" ht="15" customHeight="1">
      <c r="C1137" t="inlineStr">
        <is>
          <t>Actividad económica / giro mercantil</t>
        </is>
      </c>
      <c r="D1137" t="inlineStr">
        <is>
          <t>F12</t>
        </is>
      </c>
      <c r="E1137" t="inlineStr">
        <is>
          <t>INHERENTE</t>
        </is>
      </c>
      <c r="F1137" t="inlineStr">
        <is>
          <t>COMPAÑIAS DE FIANZAS NACIONALES</t>
        </is>
      </c>
      <c r="G1137" t="n">
        <v>8133019</v>
      </c>
      <c r="H1137" t="n">
        <v>2</v>
      </c>
      <c r="I1137" t="n">
        <v>2</v>
      </c>
      <c r="J1137" t="n">
        <v>8</v>
      </c>
      <c r="K1137" t="n">
        <v>16</v>
      </c>
      <c r="L1137" t="n">
        <v>16</v>
      </c>
      <c r="M1137" t="n">
        <v>16</v>
      </c>
      <c r="N1137" t="n">
        <v>16</v>
      </c>
      <c r="O1137" t="n">
        <v>40</v>
      </c>
      <c r="P1137" t="n">
        <v>8</v>
      </c>
      <c r="R1137" s="9" t="n">
        <v>0.08</v>
      </c>
      <c r="S1137" s="10" t="inlineStr">
        <is>
          <t>SÍ — integrante</t>
        </is>
      </c>
      <c r="T1137" s="11" t="inlineStr">
        <is>
          <t>B · INTEGRANTE</t>
        </is>
      </c>
      <c r="U1137" s="11" t="inlineStr">
        <is>
          <t>DEL BANCO (se hereda)</t>
        </is>
      </c>
      <c r="V1137" s="11" t="inlineStr">
        <is>
          <t>9118 · ENTIDAD AUXILIAR DEL CRÉDITO</t>
        </is>
      </c>
      <c r="W1137" s="12" t="n"/>
      <c r="X1137" s="12" t="n"/>
    </row>
    <row r="1138" ht="15" customHeight="1">
      <c r="C1138" t="inlineStr">
        <is>
          <t>Actividad económica / giro mercantil</t>
        </is>
      </c>
      <c r="D1138" t="inlineStr">
        <is>
          <t>F12</t>
        </is>
      </c>
      <c r="E1138" t="inlineStr">
        <is>
          <t>INHERENTE</t>
        </is>
      </c>
      <c r="F1138" t="inlineStr">
        <is>
          <t>COMPAÑIAS DE FIANZAS PRIVADAS</t>
        </is>
      </c>
      <c r="G1138" t="n">
        <v>8133027</v>
      </c>
      <c r="H1138" t="n">
        <v>2</v>
      </c>
      <c r="I1138" t="n">
        <v>2</v>
      </c>
      <c r="J1138" t="n">
        <v>8</v>
      </c>
      <c r="K1138" t="n">
        <v>16</v>
      </c>
      <c r="L1138" t="n">
        <v>16</v>
      </c>
      <c r="M1138" t="n">
        <v>16</v>
      </c>
      <c r="N1138" t="n">
        <v>16</v>
      </c>
      <c r="O1138" t="n">
        <v>40</v>
      </c>
      <c r="P1138" t="n">
        <v>8</v>
      </c>
      <c r="R1138" s="9" t="n">
        <v>0.08</v>
      </c>
      <c r="S1138" s="10" t="inlineStr">
        <is>
          <t>SÍ — integrante</t>
        </is>
      </c>
      <c r="T1138" s="11" t="inlineStr">
        <is>
          <t>B · INTEGRANTE</t>
        </is>
      </c>
      <c r="U1138" s="11" t="inlineStr">
        <is>
          <t>DEL BANCO (se hereda)</t>
        </is>
      </c>
      <c r="V1138" s="11" t="inlineStr">
        <is>
          <t>9118 · ENTIDAD AUXILIAR DEL CRÉDITO</t>
        </is>
      </c>
      <c r="W1138" s="12" t="n"/>
      <c r="X1138" s="12" t="n"/>
    </row>
    <row r="1139" ht="15" customHeight="1">
      <c r="C1139" t="inlineStr">
        <is>
          <t>Actividad económica / giro mercantil</t>
        </is>
      </c>
      <c r="D1139" t="inlineStr">
        <is>
          <t>F12</t>
        </is>
      </c>
      <c r="E1139" t="inlineStr">
        <is>
          <t>INHERENTE</t>
        </is>
      </c>
      <c r="F1139" t="inlineStr">
        <is>
          <t>AJ. INT. FINANCIEROS NO BANCARIOS UDIS</t>
        </is>
      </c>
      <c r="G1139" t="n">
        <v>8133035</v>
      </c>
      <c r="H1139" t="n">
        <v>1</v>
      </c>
      <c r="I1139" t="n">
        <v>1</v>
      </c>
      <c r="J1139" t="n">
        <v>8</v>
      </c>
      <c r="K1139" t="n">
        <v>8</v>
      </c>
      <c r="L1139" t="n">
        <v>8</v>
      </c>
      <c r="M1139" t="n">
        <v>8</v>
      </c>
      <c r="N1139" t="n">
        <v>8</v>
      </c>
      <c r="O1139" t="n">
        <v>40</v>
      </c>
      <c r="P1139" t="n">
        <v>8</v>
      </c>
      <c r="R1139" s="9" t="n">
        <v>0.08</v>
      </c>
      <c r="S1139" s="10" t="inlineStr">
        <is>
          <t>SÍ — integrante</t>
        </is>
      </c>
      <c r="T1139" s="11" t="inlineStr">
        <is>
          <t>B · INTEGRANTE</t>
        </is>
      </c>
      <c r="U1139" s="11" t="inlineStr">
        <is>
          <t>DEL BANCO (se hereda)</t>
        </is>
      </c>
      <c r="V1139" s="11" t="inlineStr">
        <is>
          <t>9154 · OTRAS ACTIVIDADES NO CLASIFICADAS</t>
        </is>
      </c>
      <c r="W1139" s="12" t="n"/>
      <c r="X1139" s="12" t="n"/>
    </row>
    <row r="1140" ht="15" customHeight="1">
      <c r="C1140" t="inlineStr">
        <is>
          <t>Actividad económica / giro mercantil</t>
        </is>
      </c>
      <c r="D1140" t="inlineStr">
        <is>
          <t>F12</t>
        </is>
      </c>
      <c r="E1140" t="inlineStr">
        <is>
          <t>INHERENTE</t>
        </is>
      </c>
      <c r="F1140" t="inlineStr">
        <is>
          <t>BOLSA DE VALORES</t>
        </is>
      </c>
      <c r="G1140" t="n">
        <v>8141012</v>
      </c>
      <c r="H1140" t="n">
        <v>3</v>
      </c>
      <c r="I1140" t="n">
        <v>3</v>
      </c>
      <c r="J1140" t="n">
        <v>8</v>
      </c>
      <c r="K1140" t="n">
        <v>24</v>
      </c>
      <c r="L1140" t="n">
        <v>24</v>
      </c>
      <c r="M1140" t="n">
        <v>24</v>
      </c>
      <c r="N1140" t="n">
        <v>24</v>
      </c>
      <c r="O1140" t="n">
        <v>40</v>
      </c>
      <c r="P1140" t="n">
        <v>8</v>
      </c>
      <c r="R1140" s="9" t="n">
        <v>0.08</v>
      </c>
      <c r="S1140" s="10" t="inlineStr">
        <is>
          <t>SÍ — integrante</t>
        </is>
      </c>
      <c r="T1140" s="11" t="inlineStr">
        <is>
          <t>B · INTEGRANTE</t>
        </is>
      </c>
      <c r="U1140" s="11" t="inlineStr">
        <is>
          <t>DEL BANCO (se hereda)</t>
        </is>
      </c>
      <c r="V1140" s="11" t="inlineStr">
        <is>
          <t>9115 · SECTOR FINANCIERO REGULADO</t>
        </is>
      </c>
      <c r="W1140" s="12" t="n"/>
      <c r="X1140" s="12" t="n"/>
    </row>
    <row r="1141" ht="15" customHeight="1">
      <c r="C1141" t="inlineStr">
        <is>
          <t>Actividad económica / giro mercantil</t>
        </is>
      </c>
      <c r="D1141" t="inlineStr">
        <is>
          <t>F12</t>
        </is>
      </c>
      <c r="E1141" t="inlineStr">
        <is>
          <t>INHERENTE</t>
        </is>
      </c>
      <c r="F1141" t="inlineStr">
        <is>
          <t>SOCIEDADES DE INVERSION</t>
        </is>
      </c>
      <c r="G1141" t="n">
        <v>8142010</v>
      </c>
      <c r="H1141" t="n">
        <v>2</v>
      </c>
      <c r="I1141" t="n">
        <v>2</v>
      </c>
      <c r="J1141" t="n">
        <v>8</v>
      </c>
      <c r="K1141" t="n">
        <v>16</v>
      </c>
      <c r="L1141" t="n">
        <v>16</v>
      </c>
      <c r="M1141" t="n">
        <v>16</v>
      </c>
      <c r="N1141" t="n">
        <v>16</v>
      </c>
      <c r="O1141" t="n">
        <v>40</v>
      </c>
      <c r="P1141" t="n">
        <v>8</v>
      </c>
      <c r="R1141" s="9" t="n">
        <v>0.08</v>
      </c>
      <c r="S1141" s="10" t="inlineStr">
        <is>
          <t>SÍ — integrante</t>
        </is>
      </c>
      <c r="T1141" s="11" t="inlineStr">
        <is>
          <t>B · INTEGRANTE</t>
        </is>
      </c>
      <c r="U1141" s="11" t="inlineStr">
        <is>
          <t>DEL BANCO (se hereda)</t>
        </is>
      </c>
      <c r="V1141" s="11" t="inlineStr">
        <is>
          <t>9154 · OTRAS ACTIVIDADES NO CLASIFICADAS</t>
        </is>
      </c>
      <c r="W1141" s="12" t="n"/>
      <c r="X1141" s="12" t="n"/>
    </row>
    <row r="1142" ht="15" customHeight="1">
      <c r="C1142" t="inlineStr">
        <is>
          <t>Actividad económica / giro mercantil</t>
        </is>
      </c>
      <c r="D1142" t="inlineStr">
        <is>
          <t>F12</t>
        </is>
      </c>
      <c r="E1142" t="inlineStr">
        <is>
          <t>INHERENTE</t>
        </is>
      </c>
      <c r="F1142" t="inlineStr">
        <is>
          <t>COMPAÑIAS DE SEGUROS NACIONALES</t>
        </is>
      </c>
      <c r="G1142" t="n">
        <v>8151011</v>
      </c>
      <c r="H1142" t="n">
        <v>4</v>
      </c>
      <c r="I1142" t="n">
        <v>4</v>
      </c>
      <c r="J1142" t="n">
        <v>8</v>
      </c>
      <c r="K1142" t="n">
        <v>32</v>
      </c>
      <c r="L1142" t="n">
        <v>32</v>
      </c>
      <c r="M1142" t="n">
        <v>32</v>
      </c>
      <c r="N1142" t="n">
        <v>32</v>
      </c>
      <c r="O1142" t="n">
        <v>40</v>
      </c>
      <c r="P1142" t="n">
        <v>8</v>
      </c>
      <c r="R1142" s="9" t="n">
        <v>0.08</v>
      </c>
      <c r="S1142" s="10" t="inlineStr">
        <is>
          <t>SÍ — integrante</t>
        </is>
      </c>
      <c r="T1142" s="11" t="inlineStr">
        <is>
          <t>B · INTEGRANTE</t>
        </is>
      </c>
      <c r="U1142" s="11" t="inlineStr">
        <is>
          <t>DEL BANCO (se hereda)</t>
        </is>
      </c>
      <c r="V1142" s="11" t="inlineStr">
        <is>
          <t>9118 · ENTIDAD AUXILIAR DEL CRÉDITO</t>
        </is>
      </c>
      <c r="W1142" s="12" t="n"/>
      <c r="X1142" s="12" t="n"/>
    </row>
    <row r="1143" ht="15" customHeight="1">
      <c r="C1143" t="inlineStr">
        <is>
          <t>Actividad económica / giro mercantil</t>
        </is>
      </c>
      <c r="D1143" t="inlineStr">
        <is>
          <t>F12</t>
        </is>
      </c>
      <c r="E1143" t="inlineStr">
        <is>
          <t>INHERENTE</t>
        </is>
      </c>
      <c r="F1143" t="inlineStr">
        <is>
          <t>COMPAÑIAS DE SEGUROS PRIVADAS</t>
        </is>
      </c>
      <c r="G1143" t="n">
        <v>8151029</v>
      </c>
      <c r="H1143" t="n">
        <v>4</v>
      </c>
      <c r="I1143" t="n">
        <v>4</v>
      </c>
      <c r="J1143" t="n">
        <v>8</v>
      </c>
      <c r="K1143" t="n">
        <v>32</v>
      </c>
      <c r="L1143" t="n">
        <v>32</v>
      </c>
      <c r="M1143" t="n">
        <v>32</v>
      </c>
      <c r="N1143" t="n">
        <v>32</v>
      </c>
      <c r="O1143" t="n">
        <v>40</v>
      </c>
      <c r="P1143" t="n">
        <v>8</v>
      </c>
      <c r="R1143" s="9" t="n">
        <v>0.08</v>
      </c>
      <c r="S1143" s="10" t="inlineStr">
        <is>
          <t>SÍ — integrante</t>
        </is>
      </c>
      <c r="T1143" s="11" t="inlineStr">
        <is>
          <t>B · INTEGRANTE</t>
        </is>
      </c>
      <c r="U1143" s="11" t="inlineStr">
        <is>
          <t>DEL BANCO (se hereda)</t>
        </is>
      </c>
      <c r="V1143" s="11" t="inlineStr">
        <is>
          <t>9118 · ENTIDAD AUXILIAR DEL CRÉDITO</t>
        </is>
      </c>
      <c r="W1143" s="12" t="n"/>
      <c r="X1143" s="12" t="n"/>
    </row>
    <row r="1144" ht="15" customHeight="1">
      <c r="C1144" t="inlineStr">
        <is>
          <t>Actividad económica / giro mercantil</t>
        </is>
      </c>
      <c r="D1144" t="inlineStr">
        <is>
          <t>F12</t>
        </is>
      </c>
      <c r="E1144" t="inlineStr">
        <is>
          <t>INHERENTE</t>
        </is>
      </c>
      <c r="F1144" t="inlineStr">
        <is>
          <t>MONTEPÍO Ó CASAS DE EMPEÑO</t>
        </is>
      </c>
      <c r="G1144" t="n">
        <v>8200001</v>
      </c>
      <c r="H1144" t="n">
        <v>5</v>
      </c>
      <c r="I1144" t="n">
        <v>5</v>
      </c>
      <c r="J1144" t="n">
        <v>8</v>
      </c>
      <c r="K1144" t="n">
        <v>40</v>
      </c>
      <c r="L1144" t="n">
        <v>40</v>
      </c>
      <c r="M1144" t="n">
        <v>40</v>
      </c>
      <c r="N1144" t="n">
        <v>40</v>
      </c>
      <c r="O1144" t="n">
        <v>40</v>
      </c>
      <c r="P1144" t="n">
        <v>8</v>
      </c>
      <c r="R1144" s="9" t="n">
        <v>0.08</v>
      </c>
      <c r="S1144" s="10" t="inlineStr">
        <is>
          <t>SÍ — integrante</t>
        </is>
      </c>
      <c r="T1144" s="11" t="inlineStr">
        <is>
          <t>B · INTEGRANTE</t>
        </is>
      </c>
      <c r="U1144" s="11" t="inlineStr">
        <is>
          <t>DEL BANCO (se hereda)</t>
        </is>
      </c>
      <c r="V1144" s="11" t="inlineStr">
        <is>
          <t>9118 · ENTIDAD AUXILIAR DEL CRÉDITO</t>
        </is>
      </c>
      <c r="W1144" s="12" t="n"/>
      <c r="X1144" s="12" t="n"/>
    </row>
    <row r="1145" ht="15" customHeight="1">
      <c r="C1145" t="inlineStr">
        <is>
          <t>Actividad económica / giro mercantil</t>
        </is>
      </c>
      <c r="D1145" t="inlineStr">
        <is>
          <t>F12</t>
        </is>
      </c>
      <c r="E1145" t="inlineStr">
        <is>
          <t>INHERENTE</t>
        </is>
      </c>
      <c r="F1145" t="inlineStr">
        <is>
          <t>SERVICIOS COLATERALES A INSTITUCIONES FINANCIERAS Y DE SEGUROS</t>
        </is>
      </c>
      <c r="G1145" t="n">
        <v>8200008</v>
      </c>
      <c r="H1145" t="n">
        <v>1</v>
      </c>
      <c r="I1145" t="n">
        <v>1</v>
      </c>
      <c r="J1145" t="n">
        <v>8</v>
      </c>
      <c r="K1145" t="n">
        <v>8</v>
      </c>
      <c r="L1145" t="n">
        <v>8</v>
      </c>
      <c r="M1145" t="n">
        <v>8</v>
      </c>
      <c r="N1145" t="n">
        <v>8</v>
      </c>
      <c r="O1145" t="n">
        <v>40</v>
      </c>
      <c r="P1145" t="n">
        <v>8</v>
      </c>
      <c r="R1145" s="9" t="n">
        <v>0.08</v>
      </c>
      <c r="S1145" s="10" t="inlineStr">
        <is>
          <t>SÍ — integrante</t>
        </is>
      </c>
      <c r="T1145" s="11" t="inlineStr">
        <is>
          <t>B · INTEGRANTE</t>
        </is>
      </c>
      <c r="U1145" s="11" t="inlineStr">
        <is>
          <t>DEL BANCO (se hereda)</t>
        </is>
      </c>
      <c r="V1145" s="11" t="inlineStr">
        <is>
          <t>9118 · ENTIDAD AUXILIAR DEL CRÉDITO</t>
        </is>
      </c>
      <c r="W1145" s="12" t="n"/>
      <c r="X1145" s="12" t="n"/>
    </row>
    <row r="1146" ht="15" customHeight="1">
      <c r="C1146" t="inlineStr">
        <is>
          <t>Actividad económica / giro mercantil</t>
        </is>
      </c>
      <c r="D1146" t="inlineStr">
        <is>
          <t>F12</t>
        </is>
      </c>
      <c r="E1146" t="inlineStr">
        <is>
          <t>INHERENTE</t>
        </is>
      </c>
      <c r="F1146" t="inlineStr">
        <is>
          <t>INVERSIONISTA</t>
        </is>
      </c>
      <c r="G1146" t="n">
        <v>8211013</v>
      </c>
      <c r="H1146" t="n">
        <v>2</v>
      </c>
      <c r="I1146" t="n">
        <v>2</v>
      </c>
      <c r="J1146" t="n">
        <v>8</v>
      </c>
      <c r="K1146" t="n">
        <v>16</v>
      </c>
      <c r="L1146" t="n">
        <v>16</v>
      </c>
      <c r="M1146" t="n">
        <v>16</v>
      </c>
      <c r="N1146" t="n">
        <v>16</v>
      </c>
      <c r="O1146" t="n">
        <v>40</v>
      </c>
      <c r="P1146" t="n">
        <v>8</v>
      </c>
      <c r="R1146" s="9" t="n">
        <v>0.08</v>
      </c>
      <c r="S1146" s="10" t="inlineStr">
        <is>
          <t>SÍ — integrante</t>
        </is>
      </c>
      <c r="T1146" s="11" t="inlineStr">
        <is>
          <t>B · INTEGRANTE</t>
        </is>
      </c>
      <c r="U1146" s="11" t="inlineStr">
        <is>
          <t>DEL BANCO (se hereda)</t>
        </is>
      </c>
      <c r="V1146" s="11" t="inlineStr">
        <is>
          <t>9154 · OTRAS ACTIVIDADES NO CLASIFICADAS</t>
        </is>
      </c>
      <c r="W1146" s="12" t="n"/>
      <c r="X1146" s="12" t="n"/>
    </row>
    <row r="1147" ht="15" customHeight="1">
      <c r="C1147" t="inlineStr">
        <is>
          <t>Actividad económica / giro mercantil</t>
        </is>
      </c>
      <c r="D1147" t="inlineStr">
        <is>
          <t>F12</t>
        </is>
      </c>
      <c r="E1147" t="inlineStr">
        <is>
          <t>INHERENTE</t>
        </is>
      </c>
      <c r="F1147" t="inlineStr">
        <is>
          <t>AGENTE DE BOLSA</t>
        </is>
      </c>
      <c r="G1147" t="n">
        <v>8211021</v>
      </c>
      <c r="H1147" t="n">
        <v>2</v>
      </c>
      <c r="I1147" t="n">
        <v>2</v>
      </c>
      <c r="J1147" t="n">
        <v>8</v>
      </c>
      <c r="K1147" t="n">
        <v>16</v>
      </c>
      <c r="L1147" t="n">
        <v>16</v>
      </c>
      <c r="M1147" t="n">
        <v>16</v>
      </c>
      <c r="N1147" t="n">
        <v>16</v>
      </c>
      <c r="O1147" t="n">
        <v>40</v>
      </c>
      <c r="P1147" t="n">
        <v>8</v>
      </c>
      <c r="R1147" s="9" t="n">
        <v>0.08</v>
      </c>
      <c r="S1147" s="10" t="inlineStr">
        <is>
          <t>SÍ — integrante</t>
        </is>
      </c>
      <c r="T1147" s="11" t="inlineStr">
        <is>
          <t>B · INTEGRANTE</t>
        </is>
      </c>
      <c r="U1147" s="11" t="inlineStr">
        <is>
          <t>DEL BANCO (se hereda)</t>
        </is>
      </c>
      <c r="V1147" s="11" t="inlineStr">
        <is>
          <t>9154 · OTRAS ACTIVIDADES NO CLASIFICADAS</t>
        </is>
      </c>
      <c r="W1147" s="12" t="n"/>
      <c r="X1147" s="12" t="n"/>
    </row>
    <row r="1148" ht="15" customHeight="1">
      <c r="C1148" t="inlineStr">
        <is>
          <t>Actividad económica / giro mercantil</t>
        </is>
      </c>
      <c r="D1148" t="inlineStr">
        <is>
          <t>F12</t>
        </is>
      </c>
      <c r="E1148" t="inlineStr">
        <is>
          <t>INHERENTE</t>
        </is>
      </c>
      <c r="F1148" t="inlineStr">
        <is>
          <t>CASAS DE BOLSA NACIONALES</t>
        </is>
      </c>
      <c r="G1148" t="n">
        <v>8211039</v>
      </c>
      <c r="H1148" t="n">
        <v>5</v>
      </c>
      <c r="I1148" t="n">
        <v>5</v>
      </c>
      <c r="J1148" t="n">
        <v>8</v>
      </c>
      <c r="K1148" t="n">
        <v>40</v>
      </c>
      <c r="L1148" t="n">
        <v>40</v>
      </c>
      <c r="M1148" t="n">
        <v>40</v>
      </c>
      <c r="N1148" t="n">
        <v>40</v>
      </c>
      <c r="O1148" t="n">
        <v>40</v>
      </c>
      <c r="P1148" t="n">
        <v>8</v>
      </c>
      <c r="R1148" s="9" t="n">
        <v>0.08</v>
      </c>
      <c r="S1148" s="10" t="inlineStr">
        <is>
          <t>SÍ — integrante</t>
        </is>
      </c>
      <c r="T1148" s="11" t="inlineStr">
        <is>
          <t>B · INTEGRANTE</t>
        </is>
      </c>
      <c r="U1148" s="11" t="inlineStr">
        <is>
          <t>DEL BANCO (se hereda)</t>
        </is>
      </c>
      <c r="V1148" s="11" t="inlineStr">
        <is>
          <t>9154 · OTRAS ACTIVIDADES NO CLASIFICADAS</t>
        </is>
      </c>
      <c r="W1148" s="12" t="n"/>
      <c r="X1148" s="12" t="n"/>
    </row>
    <row r="1149" ht="15" customHeight="1">
      <c r="C1149" t="inlineStr">
        <is>
          <t>Actividad económica / giro mercantil</t>
        </is>
      </c>
      <c r="D1149" t="inlineStr">
        <is>
          <t>F12</t>
        </is>
      </c>
      <c r="E1149" t="inlineStr">
        <is>
          <t>INHERENTE</t>
        </is>
      </c>
      <c r="F1149" t="inlineStr">
        <is>
          <t>CASAS DE BOLSA PRIVADAS</t>
        </is>
      </c>
      <c r="G1149" t="n">
        <v>8211047</v>
      </c>
      <c r="H1149" t="n">
        <v>5</v>
      </c>
      <c r="I1149" t="n">
        <v>5</v>
      </c>
      <c r="J1149" t="n">
        <v>8</v>
      </c>
      <c r="K1149" t="n">
        <v>40</v>
      </c>
      <c r="L1149" t="n">
        <v>40</v>
      </c>
      <c r="M1149" t="n">
        <v>40</v>
      </c>
      <c r="N1149" t="n">
        <v>40</v>
      </c>
      <c r="O1149" t="n">
        <v>40</v>
      </c>
      <c r="P1149" t="n">
        <v>8</v>
      </c>
      <c r="R1149" s="9" t="n">
        <v>0.08</v>
      </c>
      <c r="S1149" s="10" t="inlineStr">
        <is>
          <t>SÍ — integrante</t>
        </is>
      </c>
      <c r="T1149" s="11" t="inlineStr">
        <is>
          <t>B · INTEGRANTE</t>
        </is>
      </c>
      <c r="U1149" s="11" t="inlineStr">
        <is>
          <t>DEL BANCO (se hereda)</t>
        </is>
      </c>
      <c r="V1149" s="11" t="inlineStr">
        <is>
          <t>9154 · OTRAS ACTIVIDADES NO CLASIFICADAS</t>
        </is>
      </c>
      <c r="W1149" s="12" t="n"/>
      <c r="X1149" s="12" t="n"/>
    </row>
    <row r="1150" ht="15" customHeight="1">
      <c r="C1150" t="inlineStr">
        <is>
          <t>Actividad económica / giro mercantil</t>
        </is>
      </c>
      <c r="D1150" t="inlineStr">
        <is>
          <t>F12</t>
        </is>
      </c>
      <c r="E1150" t="inlineStr">
        <is>
          <t>INHERENTE</t>
        </is>
      </c>
      <c r="F1150" t="inlineStr">
        <is>
          <t>AGENTE DE SEGUROS</t>
        </is>
      </c>
      <c r="G1150" t="n">
        <v>8219017</v>
      </c>
      <c r="H1150" t="n">
        <v>2</v>
      </c>
      <c r="I1150" t="n">
        <v>2</v>
      </c>
      <c r="J1150" t="n">
        <v>8</v>
      </c>
      <c r="K1150" t="n">
        <v>16</v>
      </c>
      <c r="L1150" t="n">
        <v>16</v>
      </c>
      <c r="M1150" t="n">
        <v>16</v>
      </c>
      <c r="N1150" t="n">
        <v>16</v>
      </c>
      <c r="O1150" t="n">
        <v>40</v>
      </c>
      <c r="P1150" t="n">
        <v>8</v>
      </c>
      <c r="R1150" s="9" t="n">
        <v>0.08</v>
      </c>
      <c r="S1150" s="10" t="inlineStr">
        <is>
          <t>SÍ — integrante</t>
        </is>
      </c>
      <c r="T1150" s="11" t="inlineStr">
        <is>
          <t>B · INTEGRANTE</t>
        </is>
      </c>
      <c r="U1150" s="11" t="inlineStr">
        <is>
          <t>DEL BANCO (se hereda)</t>
        </is>
      </c>
      <c r="V1150" s="11" t="inlineStr">
        <is>
          <t>9118 · ENTIDAD AUXILIAR DEL CRÉDITO</t>
        </is>
      </c>
      <c r="W1150" s="12" t="n"/>
      <c r="X1150" s="12" t="n"/>
    </row>
    <row r="1151" ht="15" customHeight="1">
      <c r="C1151" t="inlineStr">
        <is>
          <t>Actividad económica / giro mercantil</t>
        </is>
      </c>
      <c r="D1151" t="inlineStr">
        <is>
          <t>F12</t>
        </is>
      </c>
      <c r="E1151" t="inlineStr">
        <is>
          <t>INHERENTE</t>
        </is>
      </c>
      <c r="F1151" t="inlineStr">
        <is>
          <t>CASA DE CAMBIO</t>
        </is>
      </c>
      <c r="G1151" t="n">
        <v>8219025</v>
      </c>
      <c r="H1151" t="n">
        <v>5</v>
      </c>
      <c r="I1151" t="n">
        <v>5</v>
      </c>
      <c r="J1151" t="n">
        <v>8</v>
      </c>
      <c r="K1151" t="n">
        <v>40</v>
      </c>
      <c r="L1151" t="n">
        <v>40</v>
      </c>
      <c r="M1151" t="n">
        <v>40</v>
      </c>
      <c r="N1151" t="n">
        <v>40</v>
      </c>
      <c r="O1151" t="n">
        <v>40</v>
      </c>
      <c r="P1151" t="n">
        <v>8</v>
      </c>
      <c r="Q1151" t="inlineStr">
        <is>
          <t>DETERMINANTE</t>
        </is>
      </c>
      <c r="R1151" s="9" t="n">
        <v>0.08</v>
      </c>
      <c r="S1151" s="10" t="inlineStr">
        <is>
          <t>SÍ — integrante</t>
        </is>
      </c>
      <c r="T1151" s="11" t="inlineStr">
        <is>
          <t>B · INTEGRANTE</t>
        </is>
      </c>
      <c r="U1151" s="11" t="inlineStr">
        <is>
          <t>DEL BANCO (se hereda)</t>
        </is>
      </c>
      <c r="V1151" s="11" t="inlineStr">
        <is>
          <t>9118 · ENTIDAD AUXILIAR DEL CRÉDITO</t>
        </is>
      </c>
      <c r="W1151" s="12" t="n"/>
      <c r="X1151" s="12" t="n"/>
    </row>
    <row r="1152" ht="15" customHeight="1">
      <c r="C1152" t="inlineStr">
        <is>
          <t>Actividad económica / giro mercantil</t>
        </is>
      </c>
      <c r="D1152" t="inlineStr">
        <is>
          <t>F12</t>
        </is>
      </c>
      <c r="E1152" t="inlineStr">
        <is>
          <t>INHERENTE</t>
        </is>
      </c>
      <c r="F1152" t="inlineStr">
        <is>
          <t>CORRESPONSAL BANCARIO</t>
        </is>
      </c>
      <c r="G1152" t="n">
        <v>8219033</v>
      </c>
      <c r="H1152" t="n">
        <v>5</v>
      </c>
      <c r="I1152" t="n">
        <v>5</v>
      </c>
      <c r="J1152" t="n">
        <v>8</v>
      </c>
      <c r="K1152" t="n">
        <v>40</v>
      </c>
      <c r="L1152" t="n">
        <v>40</v>
      </c>
      <c r="M1152" t="n">
        <v>40</v>
      </c>
      <c r="N1152" t="n">
        <v>40</v>
      </c>
      <c r="O1152" t="n">
        <v>40</v>
      </c>
      <c r="P1152" t="n">
        <v>8</v>
      </c>
      <c r="R1152" s="9" t="n">
        <v>0.08</v>
      </c>
      <c r="S1152" s="10" t="inlineStr">
        <is>
          <t>SÍ — integrante</t>
        </is>
      </c>
      <c r="T1152" s="11" t="inlineStr">
        <is>
          <t>B · INTEGRANTE</t>
        </is>
      </c>
      <c r="U1152" s="11" t="inlineStr">
        <is>
          <t>DEL BANCO (se hereda)</t>
        </is>
      </c>
      <c r="V1152" s="11" t="inlineStr">
        <is>
          <t>9152 · INDUSTRIA Y MANUFACTURA</t>
        </is>
      </c>
      <c r="W1152" s="12" t="n"/>
      <c r="X1152" s="12" t="n"/>
    </row>
    <row r="1153" ht="15" customHeight="1">
      <c r="C1153" t="inlineStr">
        <is>
          <t>Actividad económica / giro mercantil</t>
        </is>
      </c>
      <c r="D1153" t="inlineStr">
        <is>
          <t>F12</t>
        </is>
      </c>
      <c r="E1153" t="inlineStr">
        <is>
          <t>INHERENTE</t>
        </is>
      </c>
      <c r="F1153" t="inlineStr">
        <is>
          <t>CAJA DE AHORROS</t>
        </is>
      </c>
      <c r="G1153" t="n">
        <v>8219041</v>
      </c>
      <c r="H1153" t="n">
        <v>5</v>
      </c>
      <c r="I1153" t="n">
        <v>5</v>
      </c>
      <c r="J1153" t="n">
        <v>8</v>
      </c>
      <c r="K1153" t="n">
        <v>40</v>
      </c>
      <c r="L1153" t="n">
        <v>40</v>
      </c>
      <c r="M1153" t="n">
        <v>40</v>
      </c>
      <c r="N1153" t="n">
        <v>40</v>
      </c>
      <c r="O1153" t="n">
        <v>40</v>
      </c>
      <c r="P1153" t="n">
        <v>8</v>
      </c>
      <c r="Q1153" t="inlineStr">
        <is>
          <t>DETERMINANTE</t>
        </is>
      </c>
      <c r="R1153" s="9" t="n">
        <v>0.08</v>
      </c>
      <c r="S1153" s="10" t="inlineStr">
        <is>
          <t>SÍ — integrante</t>
        </is>
      </c>
      <c r="T1153" s="11" t="inlineStr">
        <is>
          <t>B · INTEGRANTE</t>
        </is>
      </c>
      <c r="U1153" s="11" t="inlineStr">
        <is>
          <t>DEL BANCO (se hereda)</t>
        </is>
      </c>
      <c r="V1153" s="11" t="inlineStr">
        <is>
          <t>9118 · ENTIDAD AUXILIAR DEL CRÉDITO</t>
        </is>
      </c>
      <c r="W1153" s="12" t="n"/>
      <c r="X1153" s="12" t="n"/>
    </row>
    <row r="1154" ht="15" customHeight="1">
      <c r="C1154" t="inlineStr">
        <is>
          <t>Actividad económica / giro mercantil</t>
        </is>
      </c>
      <c r="D1154" t="inlineStr">
        <is>
          <t>F12</t>
        </is>
      </c>
      <c r="E1154" t="inlineStr">
        <is>
          <t>INHERENTE</t>
        </is>
      </c>
      <c r="F1154" t="inlineStr">
        <is>
          <t>MONTEPIO</t>
        </is>
      </c>
      <c r="G1154" t="n">
        <v>8219059</v>
      </c>
      <c r="H1154" t="n">
        <v>5</v>
      </c>
      <c r="I1154" t="n">
        <v>5</v>
      </c>
      <c r="J1154" t="n">
        <v>8</v>
      </c>
      <c r="K1154" t="n">
        <v>40</v>
      </c>
      <c r="L1154" t="n">
        <v>40</v>
      </c>
      <c r="M1154" t="n">
        <v>40</v>
      </c>
      <c r="N1154" t="n">
        <v>40</v>
      </c>
      <c r="O1154" t="n">
        <v>40</v>
      </c>
      <c r="P1154" t="n">
        <v>8</v>
      </c>
      <c r="Q1154" t="inlineStr">
        <is>
          <t>DETERMINANTE</t>
        </is>
      </c>
      <c r="R1154" s="9" t="n">
        <v>0.08</v>
      </c>
      <c r="S1154" s="10" t="inlineStr">
        <is>
          <t>SÍ — integrante</t>
        </is>
      </c>
      <c r="T1154" s="11" t="inlineStr">
        <is>
          <t>B · INTEGRANTE</t>
        </is>
      </c>
      <c r="U1154" s="11" t="inlineStr">
        <is>
          <t>DEL BANCO (se hereda)</t>
        </is>
      </c>
      <c r="V1154" s="11" t="inlineStr">
        <is>
          <t>9118 · ENTIDAD AUXILIAR DEL CRÉDITO</t>
        </is>
      </c>
      <c r="W1154" s="12" t="n"/>
      <c r="X1154" s="12" t="n"/>
    </row>
    <row r="1155" ht="15" customHeight="1">
      <c r="C1155" t="inlineStr">
        <is>
          <t>Actividad económica / giro mercantil</t>
        </is>
      </c>
      <c r="D1155" t="inlineStr">
        <is>
          <t>F12</t>
        </is>
      </c>
      <c r="E1155" t="inlineStr">
        <is>
          <t>INHERENTE</t>
        </is>
      </c>
      <c r="F1155" t="inlineStr">
        <is>
          <t>PRESTAMISTA</t>
        </is>
      </c>
      <c r="G1155" t="n">
        <v>8219067</v>
      </c>
      <c r="H1155" t="n">
        <v>5</v>
      </c>
      <c r="I1155" t="n">
        <v>5</v>
      </c>
      <c r="J1155" t="n">
        <v>8</v>
      </c>
      <c r="K1155" t="n">
        <v>40</v>
      </c>
      <c r="L1155" t="n">
        <v>40</v>
      </c>
      <c r="M1155" t="n">
        <v>40</v>
      </c>
      <c r="N1155" t="n">
        <v>40</v>
      </c>
      <c r="O1155" t="n">
        <v>40</v>
      </c>
      <c r="P1155" t="n">
        <v>8</v>
      </c>
      <c r="Q1155" t="inlineStr">
        <is>
          <t>DETERMINANTE</t>
        </is>
      </c>
      <c r="R1155" s="9" t="n">
        <v>0.08</v>
      </c>
      <c r="S1155" s="10" t="inlineStr">
        <is>
          <t>SÍ — integrante</t>
        </is>
      </c>
      <c r="T1155" s="11" t="inlineStr">
        <is>
          <t>B · INTEGRANTE</t>
        </is>
      </c>
      <c r="U1155" s="11" t="inlineStr">
        <is>
          <t>DEL BANCO (se hereda)</t>
        </is>
      </c>
      <c r="V1155" s="11" t="inlineStr">
        <is>
          <t>9154 · OTRAS ACTIVIDADES NO CLASIFICADAS</t>
        </is>
      </c>
      <c r="W1155" s="12" t="n"/>
      <c r="X1155" s="12" t="n"/>
    </row>
    <row r="1156" ht="15" customHeight="1">
      <c r="C1156" t="inlineStr">
        <is>
          <t>Actividad económica / giro mercantil</t>
        </is>
      </c>
      <c r="D1156" t="inlineStr">
        <is>
          <t>F12</t>
        </is>
      </c>
      <c r="E1156" t="inlineStr">
        <is>
          <t>INHERENTE</t>
        </is>
      </c>
      <c r="F1156" t="inlineStr">
        <is>
          <t>FACTORING</t>
        </is>
      </c>
      <c r="G1156" t="n">
        <v>8219075</v>
      </c>
      <c r="H1156" t="n">
        <v>2</v>
      </c>
      <c r="I1156" t="n">
        <v>2</v>
      </c>
      <c r="J1156" t="n">
        <v>8</v>
      </c>
      <c r="K1156" t="n">
        <v>16</v>
      </c>
      <c r="L1156" t="n">
        <v>16</v>
      </c>
      <c r="M1156" t="n">
        <v>16</v>
      </c>
      <c r="N1156" t="n">
        <v>16</v>
      </c>
      <c r="O1156" t="n">
        <v>40</v>
      </c>
      <c r="P1156" t="n">
        <v>8</v>
      </c>
      <c r="R1156" s="9" t="n">
        <v>0.08</v>
      </c>
      <c r="S1156" s="10" t="inlineStr">
        <is>
          <t>SÍ — integrante</t>
        </is>
      </c>
      <c r="T1156" s="11" t="inlineStr">
        <is>
          <t>B · INTEGRANTE</t>
        </is>
      </c>
      <c r="U1156" s="11" t="inlineStr">
        <is>
          <t>DEL BANCO (se hereda)</t>
        </is>
      </c>
      <c r="V1156" s="11" t="inlineStr">
        <is>
          <t>9154 · OTRAS ACTIVIDADES NO CLASIFICADAS</t>
        </is>
      </c>
      <c r="W1156" s="12" t="n"/>
      <c r="X1156" s="12" t="n"/>
    </row>
    <row r="1157" ht="15" customHeight="1">
      <c r="C1157" t="inlineStr">
        <is>
          <t>Actividad económica / giro mercantil</t>
        </is>
      </c>
      <c r="D1157" t="inlineStr">
        <is>
          <t>F12</t>
        </is>
      </c>
      <c r="E1157" t="inlineStr">
        <is>
          <t>INHERENTE</t>
        </is>
      </c>
      <c r="F1157" t="inlineStr">
        <is>
          <t>EMPRESAS CONTROLADORAS FINANCIERAS</t>
        </is>
      </c>
      <c r="G1157" t="n">
        <v>8219083</v>
      </c>
      <c r="H1157" t="n">
        <v>1</v>
      </c>
      <c r="I1157" t="n">
        <v>1</v>
      </c>
      <c r="J1157" t="n">
        <v>8</v>
      </c>
      <c r="K1157" t="n">
        <v>8</v>
      </c>
      <c r="L1157" t="n">
        <v>8</v>
      </c>
      <c r="M1157" t="n">
        <v>8</v>
      </c>
      <c r="N1157" t="n">
        <v>8</v>
      </c>
      <c r="O1157" t="n">
        <v>40</v>
      </c>
      <c r="P1157" t="n">
        <v>8</v>
      </c>
      <c r="R1157" s="9" t="n">
        <v>0.08</v>
      </c>
      <c r="S1157" s="10" t="inlineStr">
        <is>
          <t>SÍ — integrante</t>
        </is>
      </c>
      <c r="T1157" s="11" t="inlineStr">
        <is>
          <t>B · INTEGRANTE</t>
        </is>
      </c>
      <c r="U1157" s="11" t="inlineStr">
        <is>
          <t>DEL BANCO (se hereda)</t>
        </is>
      </c>
      <c r="V1157" s="11" t="inlineStr">
        <is>
          <t>9115 · SECTOR FINANCIERO REGULADO</t>
        </is>
      </c>
      <c r="W1157" s="12" t="n"/>
      <c r="X1157" s="12" t="n"/>
    </row>
    <row r="1158" ht="15" customHeight="1">
      <c r="C1158" t="inlineStr">
        <is>
          <t>Actividad económica / giro mercantil</t>
        </is>
      </c>
      <c r="D1158" t="inlineStr">
        <is>
          <t>F12</t>
        </is>
      </c>
      <c r="E1158" t="inlineStr">
        <is>
          <t>INHERENTE</t>
        </is>
      </c>
      <c r="F1158" t="inlineStr">
        <is>
          <t>USUARIOS MENORES OTROS INTERMEDIARIOS FINANCIEROS PUBLICOS</t>
        </is>
      </c>
      <c r="G1158" t="n">
        <v>8219091</v>
      </c>
      <c r="H1158" t="n">
        <v>2</v>
      </c>
      <c r="I1158" t="n">
        <v>2</v>
      </c>
      <c r="J1158" t="n">
        <v>8</v>
      </c>
      <c r="K1158" t="n">
        <v>16</v>
      </c>
      <c r="L1158" t="n">
        <v>16</v>
      </c>
      <c r="M1158" t="n">
        <v>16</v>
      </c>
      <c r="N1158" t="n">
        <v>16</v>
      </c>
      <c r="O1158" t="n">
        <v>40</v>
      </c>
      <c r="P1158" t="n">
        <v>8</v>
      </c>
      <c r="R1158" s="9" t="n">
        <v>0.08</v>
      </c>
      <c r="S1158" s="10" t="inlineStr">
        <is>
          <t>SÍ — integrante</t>
        </is>
      </c>
      <c r="T1158" s="11" t="inlineStr">
        <is>
          <t>B · INTEGRANTE</t>
        </is>
      </c>
      <c r="U1158" s="11" t="inlineStr">
        <is>
          <t>DEL BANCO (se hereda)</t>
        </is>
      </c>
      <c r="V1158" s="11" t="inlineStr">
        <is>
          <t>9154 · OTRAS ACTIVIDADES NO CLASIFICADAS</t>
        </is>
      </c>
      <c r="W1158" s="12" t="n"/>
      <c r="X1158" s="12" t="n"/>
    </row>
    <row r="1159" ht="15" customHeight="1">
      <c r="C1159" t="inlineStr">
        <is>
          <t>Actividad económica / giro mercantil</t>
        </is>
      </c>
      <c r="D1159" t="inlineStr">
        <is>
          <t>F12</t>
        </is>
      </c>
      <c r="E1159" t="inlineStr">
        <is>
          <t>INHERENTE</t>
        </is>
      </c>
      <c r="F1159" t="inlineStr">
        <is>
          <t>USUARIOS MENORES OTROS INTERMEDIARIOS FINANCIEROS PRIVADOS</t>
        </is>
      </c>
      <c r="G1159" t="n">
        <v>8219108</v>
      </c>
      <c r="H1159" t="n">
        <v>2</v>
      </c>
      <c r="I1159" t="n">
        <v>2</v>
      </c>
      <c r="J1159" t="n">
        <v>8</v>
      </c>
      <c r="K1159" t="n">
        <v>16</v>
      </c>
      <c r="L1159" t="n">
        <v>16</v>
      </c>
      <c r="M1159" t="n">
        <v>16</v>
      </c>
      <c r="N1159" t="n">
        <v>16</v>
      </c>
      <c r="O1159" t="n">
        <v>40</v>
      </c>
      <c r="P1159" t="n">
        <v>8</v>
      </c>
      <c r="R1159" s="9" t="n">
        <v>0.08</v>
      </c>
      <c r="S1159" s="10" t="inlineStr">
        <is>
          <t>SÍ — integrante</t>
        </is>
      </c>
      <c r="T1159" s="11" t="inlineStr">
        <is>
          <t>B · INTEGRANTE</t>
        </is>
      </c>
      <c r="U1159" s="11" t="inlineStr">
        <is>
          <t>DEL BANCO (se hereda)</t>
        </is>
      </c>
      <c r="V1159" s="11" t="inlineStr">
        <is>
          <t>9154 · OTRAS ACTIVIDADES NO CLASIFICADAS</t>
        </is>
      </c>
      <c r="W1159" s="12" t="n"/>
      <c r="X1159" s="12" t="n"/>
    </row>
    <row r="1160" ht="15" customHeight="1">
      <c r="C1160" t="inlineStr">
        <is>
          <t>Actividad económica / giro mercantil</t>
        </is>
      </c>
      <c r="D1160" t="inlineStr">
        <is>
          <t>F12</t>
        </is>
      </c>
      <c r="E1160" t="inlineStr">
        <is>
          <t>INHERENTE</t>
        </is>
      </c>
      <c r="F1160" t="inlineStr">
        <is>
          <t>ADMINISTRADORAS DE TARJETA DE CREDITO</t>
        </is>
      </c>
      <c r="G1160" t="n">
        <v>8219114</v>
      </c>
      <c r="H1160" t="n">
        <v>5</v>
      </c>
      <c r="I1160" t="n">
        <v>5</v>
      </c>
      <c r="J1160" t="n">
        <v>8</v>
      </c>
      <c r="K1160" t="n">
        <v>40</v>
      </c>
      <c r="L1160" t="n">
        <v>40</v>
      </c>
      <c r="M1160" t="n">
        <v>40</v>
      </c>
      <c r="N1160" t="n">
        <v>40</v>
      </c>
      <c r="O1160" t="n">
        <v>40</v>
      </c>
      <c r="P1160" t="n">
        <v>8</v>
      </c>
      <c r="Q1160" t="inlineStr">
        <is>
          <t>DETERMINANTE</t>
        </is>
      </c>
      <c r="R1160" s="9" t="n">
        <v>0.08</v>
      </c>
      <c r="S1160" s="10" t="inlineStr">
        <is>
          <t>SÍ — integrante</t>
        </is>
      </c>
      <c r="T1160" s="11" t="inlineStr">
        <is>
          <t>B · INTEGRANTE</t>
        </is>
      </c>
      <c r="U1160" s="11" t="inlineStr">
        <is>
          <t>DEL BANCO (se hereda)</t>
        </is>
      </c>
      <c r="V1160" s="11" t="inlineStr">
        <is>
          <t>9154 · OTRAS ACTIVIDADES NO CLASIFICADAS</t>
        </is>
      </c>
      <c r="W1160" s="12" t="n"/>
      <c r="X1160" s="12" t="n"/>
    </row>
    <row r="1161" ht="15" customHeight="1">
      <c r="C1161" t="inlineStr">
        <is>
          <t>Actividad económica / giro mercantil</t>
        </is>
      </c>
      <c r="D1161" t="inlineStr">
        <is>
          <t>F12</t>
        </is>
      </c>
      <c r="E1161" t="inlineStr">
        <is>
          <t>INHERENTE</t>
        </is>
      </c>
      <c r="F1161" t="inlineStr">
        <is>
          <t>EMPRESAS DE AUTOFINANCIAMIENTO AUTOMOTRIZ</t>
        </is>
      </c>
      <c r="G1161" t="n">
        <v>8219122</v>
      </c>
      <c r="H1161" t="n">
        <v>2</v>
      </c>
      <c r="I1161" t="n">
        <v>2</v>
      </c>
      <c r="J1161" t="n">
        <v>8</v>
      </c>
      <c r="K1161" t="n">
        <v>16</v>
      </c>
      <c r="L1161" t="n">
        <v>16</v>
      </c>
      <c r="M1161" t="n">
        <v>16</v>
      </c>
      <c r="N1161" t="n">
        <v>16</v>
      </c>
      <c r="O1161" t="n">
        <v>40</v>
      </c>
      <c r="P1161" t="n">
        <v>8</v>
      </c>
      <c r="R1161" s="9" t="n">
        <v>0.08</v>
      </c>
      <c r="S1161" s="10" t="inlineStr">
        <is>
          <t>SÍ — integrante</t>
        </is>
      </c>
      <c r="T1161" s="11" t="inlineStr">
        <is>
          <t>B · INTEGRANTE</t>
        </is>
      </c>
      <c r="U1161" s="11" t="inlineStr">
        <is>
          <t>DEL BANCO (se hereda)</t>
        </is>
      </c>
      <c r="V1161" s="11" t="inlineStr">
        <is>
          <t>9118 · ENTIDAD AUXILIAR DEL CRÉDITO</t>
        </is>
      </c>
      <c r="W1161" s="12" t="n"/>
      <c r="X1161" s="12" t="n"/>
    </row>
    <row r="1162" ht="15" customHeight="1">
      <c r="C1162" t="inlineStr">
        <is>
          <t>Actividad económica / giro mercantil</t>
        </is>
      </c>
      <c r="D1162" t="inlineStr">
        <is>
          <t>F12</t>
        </is>
      </c>
      <c r="E1162" t="inlineStr">
        <is>
          <t>INHERENTE</t>
        </is>
      </c>
      <c r="F1162" t="inlineStr">
        <is>
          <t>EMPRESAS DE AUTOFINANCIAMIENTO RESIDENCIAL</t>
        </is>
      </c>
      <c r="G1162" t="n">
        <v>8219130</v>
      </c>
      <c r="H1162" t="n">
        <v>1</v>
      </c>
      <c r="I1162" t="n">
        <v>1</v>
      </c>
      <c r="J1162" t="n">
        <v>8</v>
      </c>
      <c r="K1162" t="n">
        <v>8</v>
      </c>
      <c r="L1162" t="n">
        <v>8</v>
      </c>
      <c r="M1162" t="n">
        <v>8</v>
      </c>
      <c r="N1162" t="n">
        <v>8</v>
      </c>
      <c r="O1162" t="n">
        <v>40</v>
      </c>
      <c r="P1162" t="n">
        <v>8</v>
      </c>
      <c r="R1162" s="9" t="n">
        <v>0.08</v>
      </c>
      <c r="S1162" s="10" t="inlineStr">
        <is>
          <t>SÍ — integrante</t>
        </is>
      </c>
      <c r="T1162" s="11" t="inlineStr">
        <is>
          <t>B · INTEGRANTE</t>
        </is>
      </c>
      <c r="U1162" s="11" t="inlineStr">
        <is>
          <t>DEL BANCO (se hereda)</t>
        </is>
      </c>
      <c r="V1162" s="11" t="inlineStr">
        <is>
          <t>9118 · ENTIDAD AUXILIAR DEL CRÉDITO</t>
        </is>
      </c>
      <c r="W1162" s="12" t="n"/>
      <c r="X1162" s="12" t="n"/>
    </row>
    <row r="1163" ht="15" customHeight="1">
      <c r="C1163" t="inlineStr">
        <is>
          <t>Actividad económica / giro mercantil</t>
        </is>
      </c>
      <c r="D1163" t="inlineStr">
        <is>
          <t>F12</t>
        </is>
      </c>
      <c r="E1163" t="inlineStr">
        <is>
          <t>INHERENTE</t>
        </is>
      </c>
      <c r="F1163" t="inlineStr">
        <is>
          <t>FOBAPROA-IPAB</t>
        </is>
      </c>
      <c r="G1163" t="n">
        <v>8220014</v>
      </c>
      <c r="H1163" t="n">
        <v>1</v>
      </c>
      <c r="I1163" t="n">
        <v>1</v>
      </c>
      <c r="J1163" t="n">
        <v>8</v>
      </c>
      <c r="K1163" t="n">
        <v>8</v>
      </c>
      <c r="L1163" t="n">
        <v>8</v>
      </c>
      <c r="M1163" t="n">
        <v>8</v>
      </c>
      <c r="N1163" t="n">
        <v>8</v>
      </c>
      <c r="O1163" t="n">
        <v>40</v>
      </c>
      <c r="P1163" t="n">
        <v>8</v>
      </c>
      <c r="R1163" s="9" t="n">
        <v>0.08</v>
      </c>
      <c r="S1163" s="10" t="inlineStr">
        <is>
          <t>SÍ — integrante</t>
        </is>
      </c>
      <c r="T1163" s="11" t="inlineStr">
        <is>
          <t>B · INTEGRANTE</t>
        </is>
      </c>
      <c r="U1163" s="11" t="inlineStr">
        <is>
          <t>DEL BANCO (se hereda)</t>
        </is>
      </c>
      <c r="V1163" s="11" t="inlineStr">
        <is>
          <t>9154 · OTRAS ACTIVIDADES NO CLASIFICADAS</t>
        </is>
      </c>
      <c r="W1163" s="12" t="n"/>
      <c r="X1163" s="12" t="n"/>
    </row>
    <row r="1164" ht="15" customHeight="1">
      <c r="C1164" t="inlineStr">
        <is>
          <t>Actividad económica / giro mercantil</t>
        </is>
      </c>
      <c r="D1164" t="inlineStr">
        <is>
          <t>F12</t>
        </is>
      </c>
      <c r="E1164" t="inlineStr">
        <is>
          <t>INHERENTE</t>
        </is>
      </c>
      <c r="F1164" t="inlineStr">
        <is>
          <t>FOBAPROA-IPAB</t>
        </is>
      </c>
      <c r="G1164" t="n">
        <v>8221013</v>
      </c>
      <c r="H1164" t="n">
        <v>1</v>
      </c>
      <c r="I1164" t="n">
        <v>1</v>
      </c>
      <c r="J1164" t="n">
        <v>8</v>
      </c>
      <c r="K1164" t="n">
        <v>8</v>
      </c>
      <c r="L1164" t="n">
        <v>8</v>
      </c>
      <c r="M1164" t="n">
        <v>8</v>
      </c>
      <c r="N1164" t="n">
        <v>8</v>
      </c>
      <c r="O1164" t="n">
        <v>40</v>
      </c>
      <c r="P1164" t="n">
        <v>8</v>
      </c>
      <c r="R1164" s="9" t="n">
        <v>0.08</v>
      </c>
      <c r="S1164" s="10" t="inlineStr">
        <is>
          <t>SÍ — integrante</t>
        </is>
      </c>
      <c r="T1164" s="11" t="inlineStr">
        <is>
          <t>B · INTEGRANTE</t>
        </is>
      </c>
      <c r="U1164" s="11" t="inlineStr">
        <is>
          <t>DEL BANCO (se hereda)</t>
        </is>
      </c>
      <c r="V1164" s="11" t="inlineStr">
        <is>
          <t>9154 · OTRAS ACTIVIDADES NO CLASIFICADAS</t>
        </is>
      </c>
      <c r="W1164" s="12" t="n"/>
      <c r="X1164" s="12" t="n"/>
    </row>
    <row r="1165" ht="15" customHeight="1">
      <c r="C1165" t="inlineStr">
        <is>
          <t>Actividad económica / giro mercantil</t>
        </is>
      </c>
      <c r="D1165" t="inlineStr">
        <is>
          <t>F12</t>
        </is>
      </c>
      <c r="E1165" t="inlineStr">
        <is>
          <t>INHERENTE</t>
        </is>
      </c>
      <c r="F1165" t="inlineStr">
        <is>
          <t>SERVICIOS RELACIONADOS CON INMUEBLES</t>
        </is>
      </c>
      <c r="G1165" t="n">
        <v>8300006</v>
      </c>
      <c r="H1165" t="n">
        <v>2</v>
      </c>
      <c r="I1165" t="n">
        <v>2</v>
      </c>
      <c r="J1165" t="n">
        <v>8</v>
      </c>
      <c r="K1165" t="n">
        <v>16</v>
      </c>
      <c r="L1165" t="n">
        <v>16</v>
      </c>
      <c r="M1165" t="n">
        <v>16</v>
      </c>
      <c r="N1165" t="n">
        <v>16</v>
      </c>
      <c r="O1165" t="n">
        <v>40</v>
      </c>
      <c r="P1165" t="n">
        <v>8</v>
      </c>
      <c r="R1165" s="9" t="n">
        <v>0.08</v>
      </c>
      <c r="S1165" s="10" t="inlineStr">
        <is>
          <t>SÍ — integrante</t>
        </is>
      </c>
      <c r="T1165" s="11" t="inlineStr">
        <is>
          <t>B · INTEGRANTE</t>
        </is>
      </c>
      <c r="U1165" s="11" t="inlineStr">
        <is>
          <t>DEL BANCO (se hereda)</t>
        </is>
      </c>
      <c r="V1165" s="11" t="inlineStr">
        <is>
          <t>9154 · OTRAS ACTIVIDADES NO CLASIFICADAS</t>
        </is>
      </c>
      <c r="W1165" s="12" t="n"/>
      <c r="X1165" s="12" t="n"/>
    </row>
    <row r="1166" ht="15" customHeight="1">
      <c r="C1166" t="inlineStr">
        <is>
          <t>Actividad económica / giro mercantil</t>
        </is>
      </c>
      <c r="D1166" t="inlineStr">
        <is>
          <t>F12</t>
        </is>
      </c>
      <c r="E1166" t="inlineStr">
        <is>
          <t>INHERENTE</t>
        </is>
      </c>
      <c r="F1166" t="inlineStr">
        <is>
          <t>ALQUILER DE TERRENOS LOCALES Y EDIFICIOS NO RESIDENCIALES</t>
        </is>
      </c>
      <c r="G1166" t="n">
        <v>8311011</v>
      </c>
      <c r="H1166" t="n">
        <v>5</v>
      </c>
      <c r="I1166" t="n">
        <v>5</v>
      </c>
      <c r="J1166" t="n">
        <v>8</v>
      </c>
      <c r="K1166" t="n">
        <v>40</v>
      </c>
      <c r="L1166" t="n">
        <v>40</v>
      </c>
      <c r="M1166" t="n">
        <v>40</v>
      </c>
      <c r="N1166" t="n">
        <v>40</v>
      </c>
      <c r="O1166" t="n">
        <v>40</v>
      </c>
      <c r="P1166" t="n">
        <v>8</v>
      </c>
      <c r="Q1166" t="inlineStr">
        <is>
          <t>DETERMINANTE</t>
        </is>
      </c>
      <c r="R1166" s="9" t="n">
        <v>0.08</v>
      </c>
      <c r="S1166" s="10" t="inlineStr">
        <is>
          <t>SÍ — integrante</t>
        </is>
      </c>
      <c r="T1166" s="11" t="inlineStr">
        <is>
          <t>B · INTEGRANTE</t>
        </is>
      </c>
      <c r="U1166" s="11" t="inlineStr">
        <is>
          <t>DEL BANCO (se hereda)</t>
        </is>
      </c>
      <c r="V1166" s="11" t="inlineStr">
        <is>
          <t>9117 · INMOBILIARIO / CONSTRUCCIÓN</t>
        </is>
      </c>
      <c r="W1166" s="12" t="n"/>
      <c r="X1166" s="12" t="n"/>
    </row>
    <row r="1167" ht="15" customHeight="1">
      <c r="C1167" t="inlineStr">
        <is>
          <t>Actividad económica / giro mercantil</t>
        </is>
      </c>
      <c r="D1167" t="inlineStr">
        <is>
          <t>F12</t>
        </is>
      </c>
      <c r="E1167" t="inlineStr">
        <is>
          <t>INHERENTE</t>
        </is>
      </c>
      <c r="F1167" t="inlineStr">
        <is>
          <t>ARRENDAMIENTO DE INMUEBLES RESIDENCIALES</t>
        </is>
      </c>
      <c r="G1167" t="n">
        <v>8312019</v>
      </c>
      <c r="H1167" t="n">
        <v>5</v>
      </c>
      <c r="I1167" t="n">
        <v>5</v>
      </c>
      <c r="J1167" t="n">
        <v>8</v>
      </c>
      <c r="K1167" t="n">
        <v>40</v>
      </c>
      <c r="L1167" t="n">
        <v>40</v>
      </c>
      <c r="M1167" t="n">
        <v>40</v>
      </c>
      <c r="N1167" t="n">
        <v>40</v>
      </c>
      <c r="O1167" t="n">
        <v>40</v>
      </c>
      <c r="P1167" t="n">
        <v>8</v>
      </c>
      <c r="Q1167" t="inlineStr">
        <is>
          <t>DETERMINANTE</t>
        </is>
      </c>
      <c r="R1167" s="9" t="n">
        <v>0.08</v>
      </c>
      <c r="S1167" s="10" t="inlineStr">
        <is>
          <t>SÍ — integrante</t>
        </is>
      </c>
      <c r="T1167" s="11" t="inlineStr">
        <is>
          <t>B · INTEGRANTE</t>
        </is>
      </c>
      <c r="U1167" s="11" t="inlineStr">
        <is>
          <t>DEL BANCO (se hereda)</t>
        </is>
      </c>
      <c r="V1167" s="11" t="inlineStr">
        <is>
          <t>9117 · INMOBILIARIO / CONSTRUCCIÓN</t>
        </is>
      </c>
      <c r="W1167" s="12" t="n"/>
      <c r="X1167" s="12" t="n"/>
    </row>
    <row r="1168" ht="15" customHeight="1">
      <c r="C1168" t="inlineStr">
        <is>
          <t>Actividad económica / giro mercantil</t>
        </is>
      </c>
      <c r="D1168" t="inlineStr">
        <is>
          <t>F12</t>
        </is>
      </c>
      <c r="E1168" t="inlineStr">
        <is>
          <t>INHERENTE</t>
        </is>
      </c>
      <c r="F1168" t="inlineStr">
        <is>
          <t>SERVICIO DE CORREDORES DE BIENES RAICES</t>
        </is>
      </c>
      <c r="G1168" t="n">
        <v>8313017</v>
      </c>
      <c r="H1168" t="n">
        <v>5</v>
      </c>
      <c r="I1168" t="n">
        <v>5</v>
      </c>
      <c r="J1168" t="n">
        <v>8</v>
      </c>
      <c r="K1168" t="n">
        <v>40</v>
      </c>
      <c r="L1168" t="n">
        <v>40</v>
      </c>
      <c r="M1168" t="n">
        <v>40</v>
      </c>
      <c r="N1168" t="n">
        <v>40</v>
      </c>
      <c r="O1168" t="n">
        <v>40</v>
      </c>
      <c r="P1168" t="n">
        <v>8</v>
      </c>
      <c r="Q1168" t="inlineStr">
        <is>
          <t>DETERMINANTE</t>
        </is>
      </c>
      <c r="R1168" s="9" t="n">
        <v>0.08</v>
      </c>
      <c r="S1168" s="10" t="inlineStr">
        <is>
          <t>SÍ — integrante</t>
        </is>
      </c>
      <c r="T1168" s="11" t="inlineStr">
        <is>
          <t>B · INTEGRANTE</t>
        </is>
      </c>
      <c r="U1168" s="11" t="inlineStr">
        <is>
          <t>DEL BANCO (se hereda)</t>
        </is>
      </c>
      <c r="V1168" s="11" t="inlineStr">
        <is>
          <t>9117 · INMOBILIARIO / CONSTRUCCIÓN</t>
        </is>
      </c>
      <c r="W1168" s="12" t="n"/>
      <c r="X1168" s="12" t="n"/>
    </row>
    <row r="1169" ht="15" customHeight="1">
      <c r="C1169" t="inlineStr">
        <is>
          <t>Actividad económica / giro mercantil</t>
        </is>
      </c>
      <c r="D1169" t="inlineStr">
        <is>
          <t>F12</t>
        </is>
      </c>
      <c r="E1169" t="inlineStr">
        <is>
          <t>INHERENTE</t>
        </is>
      </c>
      <c r="F1169" t="inlineStr">
        <is>
          <t>ADMINISTRACION DE INMUEBLES</t>
        </is>
      </c>
      <c r="G1169" t="n">
        <v>8314015</v>
      </c>
      <c r="H1169" t="n">
        <v>5</v>
      </c>
      <c r="I1169" t="n">
        <v>5</v>
      </c>
      <c r="J1169" t="n">
        <v>8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8</v>
      </c>
      <c r="Q1169" t="inlineStr">
        <is>
          <t>DETERMINANTE</t>
        </is>
      </c>
      <c r="R1169" s="9" t="n">
        <v>0.08</v>
      </c>
      <c r="S1169" s="10" t="inlineStr">
        <is>
          <t>SÍ — integrante</t>
        </is>
      </c>
      <c r="T1169" s="11" t="inlineStr">
        <is>
          <t>B · INTEGRANTE</t>
        </is>
      </c>
      <c r="U1169" s="11" t="inlineStr">
        <is>
          <t>DEL BANCO (se hereda)</t>
        </is>
      </c>
      <c r="V1169" s="11" t="inlineStr">
        <is>
          <t>9154 · OTRAS ACTIVIDADES NO CLASIFICADAS</t>
        </is>
      </c>
      <c r="W1169" s="12" t="n"/>
      <c r="X1169" s="12" t="n"/>
    </row>
    <row r="1170" ht="15" customHeight="1">
      <c r="C1170" t="inlineStr">
        <is>
          <t>Actividad económica / giro mercantil</t>
        </is>
      </c>
      <c r="D1170" t="inlineStr">
        <is>
          <t>F12</t>
        </is>
      </c>
      <c r="E1170" t="inlineStr">
        <is>
          <t>INHERENTE</t>
        </is>
      </c>
      <c r="F1170" t="inlineStr">
        <is>
          <t>CONTADURÍA Y AUDITORÍA</t>
        </is>
      </c>
      <c r="G1170" t="n">
        <v>8400001</v>
      </c>
      <c r="H1170" t="n">
        <v>4</v>
      </c>
      <c r="I1170" t="n">
        <v>4</v>
      </c>
      <c r="J1170" t="n">
        <v>8</v>
      </c>
      <c r="K1170" t="n">
        <v>32</v>
      </c>
      <c r="L1170" t="n">
        <v>32</v>
      </c>
      <c r="M1170" t="n">
        <v>32</v>
      </c>
      <c r="N1170" t="n">
        <v>32</v>
      </c>
      <c r="O1170" t="n">
        <v>40</v>
      </c>
      <c r="P1170" t="n">
        <v>8</v>
      </c>
      <c r="R1170" s="9" t="n">
        <v>0.08</v>
      </c>
      <c r="S1170" s="10" t="inlineStr">
        <is>
          <t>SÍ — integrante</t>
        </is>
      </c>
      <c r="T1170" s="11" t="inlineStr">
        <is>
          <t>B · INTEGRANTE</t>
        </is>
      </c>
      <c r="U1170" s="11" t="inlineStr">
        <is>
          <t>DEL BANCO (se hereda)</t>
        </is>
      </c>
      <c r="V1170" s="11" t="inlineStr">
        <is>
          <t>9112 · SERVICIOS PROFESIONALES</t>
        </is>
      </c>
      <c r="W1170" s="12" t="n"/>
      <c r="X1170" s="12" t="n"/>
    </row>
    <row r="1171" ht="15" customHeight="1">
      <c r="C1171" t="inlineStr">
        <is>
          <t>Actividad económica / giro mercantil</t>
        </is>
      </c>
      <c r="D1171" t="inlineStr">
        <is>
          <t>F12</t>
        </is>
      </c>
      <c r="E1171" t="inlineStr">
        <is>
          <t>INHERENTE</t>
        </is>
      </c>
      <c r="F1171" t="inlineStr">
        <is>
          <t>ASESORES  FISCALES Y FINANCIEROS</t>
        </is>
      </c>
      <c r="G1171" t="n">
        <v>8400002</v>
      </c>
      <c r="H1171" t="n">
        <v>4</v>
      </c>
      <c r="I1171" t="n">
        <v>4</v>
      </c>
      <c r="J1171" t="n">
        <v>8</v>
      </c>
      <c r="K1171" t="n">
        <v>32</v>
      </c>
      <c r="L1171" t="n">
        <v>32</v>
      </c>
      <c r="M1171" t="n">
        <v>32</v>
      </c>
      <c r="N1171" t="n">
        <v>32</v>
      </c>
      <c r="O1171" t="n">
        <v>40</v>
      </c>
      <c r="P1171" t="n">
        <v>8</v>
      </c>
      <c r="R1171" s="9" t="n">
        <v>0.08</v>
      </c>
      <c r="S1171" s="10" t="inlineStr">
        <is>
          <t>SÍ — integrante</t>
        </is>
      </c>
      <c r="T1171" s="11" t="inlineStr">
        <is>
          <t>B · INTEGRANTE</t>
        </is>
      </c>
      <c r="U1171" s="11" t="inlineStr">
        <is>
          <t>DEL BANCO (se hereda)</t>
        </is>
      </c>
      <c r="V1171" s="11" t="inlineStr">
        <is>
          <t>9112 · SERVICIOS PROFESIONALES</t>
        </is>
      </c>
      <c r="W1171" s="12" t="n"/>
      <c r="X1171" s="12" t="n"/>
    </row>
    <row r="1172" ht="15" customHeight="1">
      <c r="C1172" t="inlineStr">
        <is>
          <t>Actividad económica / giro mercantil</t>
        </is>
      </c>
      <c r="D1172" t="inlineStr">
        <is>
          <t>F12</t>
        </is>
      </c>
      <c r="E1172" t="inlineStr">
        <is>
          <t>INHERENTE</t>
        </is>
      </c>
      <c r="F1172" t="inlineStr">
        <is>
          <t>NOTARÍAS PÚBLICAS</t>
        </is>
      </c>
      <c r="G1172" t="n">
        <v>8400003</v>
      </c>
      <c r="H1172" t="n">
        <v>5</v>
      </c>
      <c r="I1172" t="n">
        <v>5</v>
      </c>
      <c r="J1172" t="n">
        <v>8</v>
      </c>
      <c r="K1172" t="n">
        <v>40</v>
      </c>
      <c r="L1172" t="n">
        <v>40</v>
      </c>
      <c r="M1172" t="n">
        <v>40</v>
      </c>
      <c r="N1172" t="n">
        <v>40</v>
      </c>
      <c r="O1172" t="n">
        <v>40</v>
      </c>
      <c r="P1172" t="n">
        <v>8</v>
      </c>
      <c r="R1172" s="9" t="n">
        <v>0.08</v>
      </c>
      <c r="S1172" s="10" t="inlineStr">
        <is>
          <t>SÍ — integrante</t>
        </is>
      </c>
      <c r="T1172" s="11" t="inlineStr">
        <is>
          <t>B · INTEGRANTE</t>
        </is>
      </c>
      <c r="U1172" s="11" t="inlineStr">
        <is>
          <t>DEL BANCO (se hereda)</t>
        </is>
      </c>
      <c r="V1172" s="11" t="inlineStr">
        <is>
          <t>9112 · SERVICIOS PROFESIONALES</t>
        </is>
      </c>
      <c r="W1172" s="12" t="n"/>
      <c r="X1172" s="12" t="n"/>
    </row>
    <row r="1173" ht="15" customHeight="1">
      <c r="C1173" t="inlineStr">
        <is>
          <t>Actividad económica / giro mercantil</t>
        </is>
      </c>
      <c r="D1173" t="inlineStr">
        <is>
          <t>F12</t>
        </is>
      </c>
      <c r="E1173" t="inlineStr">
        <is>
          <t>INHERENTE</t>
        </is>
      </c>
      <c r="F1173" t="inlineStr">
        <is>
          <t>SERVICIOS PROFESIONALES Y TÉCNICOS</t>
        </is>
      </c>
      <c r="G1173" t="n">
        <v>8400004</v>
      </c>
      <c r="H1173" t="n">
        <v>2</v>
      </c>
      <c r="I1173" t="n">
        <v>2</v>
      </c>
      <c r="J1173" t="n">
        <v>8</v>
      </c>
      <c r="K1173" t="n">
        <v>16</v>
      </c>
      <c r="L1173" t="n">
        <v>16</v>
      </c>
      <c r="M1173" t="n">
        <v>16</v>
      </c>
      <c r="N1173" t="n">
        <v>16</v>
      </c>
      <c r="O1173" t="n">
        <v>40</v>
      </c>
      <c r="P1173" t="n">
        <v>8</v>
      </c>
      <c r="R1173" s="9" t="n">
        <v>0.08</v>
      </c>
      <c r="S1173" s="10" t="inlineStr">
        <is>
          <t>SÍ — integrante</t>
        </is>
      </c>
      <c r="T1173" s="11" t="inlineStr">
        <is>
          <t>B · INTEGRANTE</t>
        </is>
      </c>
      <c r="U1173" s="11" t="inlineStr">
        <is>
          <t>DEL BANCO (se hereda)</t>
        </is>
      </c>
      <c r="V1173" s="11" t="inlineStr">
        <is>
          <t>9112 · SERVICIOS PROFESIONALES</t>
        </is>
      </c>
      <c r="W1173" s="12" t="n"/>
      <c r="X1173" s="12" t="n"/>
    </row>
    <row r="1174" ht="15" customHeight="1">
      <c r="C1174" t="inlineStr">
        <is>
          <t>Actividad económica / giro mercantil</t>
        </is>
      </c>
      <c r="D1174" t="inlineStr">
        <is>
          <t>F12</t>
        </is>
      </c>
      <c r="E1174" t="inlineStr">
        <is>
          <t>INHERENTE</t>
        </is>
      </c>
      <c r="F1174" t="inlineStr">
        <is>
          <t>SERVICIOS DE NOTARIAS PUBLICAS</t>
        </is>
      </c>
      <c r="G1174" t="n">
        <v>8411019</v>
      </c>
      <c r="H1174" t="n">
        <v>5</v>
      </c>
      <c r="I1174" t="n">
        <v>5</v>
      </c>
      <c r="J1174" t="n">
        <v>8</v>
      </c>
      <c r="K1174" t="n">
        <v>40</v>
      </c>
      <c r="L1174" t="n">
        <v>40</v>
      </c>
      <c r="M1174" t="n">
        <v>40</v>
      </c>
      <c r="N1174" t="n">
        <v>40</v>
      </c>
      <c r="O1174" t="n">
        <v>40</v>
      </c>
      <c r="P1174" t="n">
        <v>8</v>
      </c>
      <c r="R1174" s="9" t="n">
        <v>0.08</v>
      </c>
      <c r="S1174" s="10" t="inlineStr">
        <is>
          <t>SÍ — integrante</t>
        </is>
      </c>
      <c r="T1174" s="11" t="inlineStr">
        <is>
          <t>B · INTEGRANTE</t>
        </is>
      </c>
      <c r="U1174" s="11" t="inlineStr">
        <is>
          <t>DEL BANCO (se hereda)</t>
        </is>
      </c>
      <c r="V1174" s="11" t="inlineStr">
        <is>
          <t>9112 · SERVICIOS PROFESIONALES</t>
        </is>
      </c>
      <c r="W1174" s="12" t="n"/>
      <c r="X1174" s="12" t="n"/>
    </row>
    <row r="1175" ht="15" customHeight="1">
      <c r="C1175" t="inlineStr">
        <is>
          <t>Actividad económica / giro mercantil</t>
        </is>
      </c>
      <c r="D1175" t="inlineStr">
        <is>
          <t>F12</t>
        </is>
      </c>
      <c r="E1175" t="inlineStr">
        <is>
          <t>INHERENTE</t>
        </is>
      </c>
      <c r="F1175" t="inlineStr">
        <is>
          <t>SERVICIOS DE BUFETES JURIDICOS</t>
        </is>
      </c>
      <c r="G1175" t="n">
        <v>8412017</v>
      </c>
      <c r="H1175" t="n">
        <v>4</v>
      </c>
      <c r="I1175" t="n">
        <v>4</v>
      </c>
      <c r="J1175" t="n">
        <v>8</v>
      </c>
      <c r="K1175" t="n">
        <v>32</v>
      </c>
      <c r="L1175" t="n">
        <v>32</v>
      </c>
      <c r="M1175" t="n">
        <v>32</v>
      </c>
      <c r="N1175" t="n">
        <v>32</v>
      </c>
      <c r="O1175" t="n">
        <v>40</v>
      </c>
      <c r="P1175" t="n">
        <v>8</v>
      </c>
      <c r="R1175" s="9" t="n">
        <v>0.08</v>
      </c>
      <c r="S1175" s="10" t="inlineStr">
        <is>
          <t>SÍ — integrante</t>
        </is>
      </c>
      <c r="T1175" s="11" t="inlineStr">
        <is>
          <t>B · INTEGRANTE</t>
        </is>
      </c>
      <c r="U1175" s="11" t="inlineStr">
        <is>
          <t>DEL BANCO (se hereda)</t>
        </is>
      </c>
      <c r="V1175" s="11" t="inlineStr">
        <is>
          <t>9112 · SERVICIOS PROFESIONALES</t>
        </is>
      </c>
      <c r="W1175" s="12" t="n"/>
      <c r="X1175" s="12" t="n"/>
    </row>
    <row r="1176" ht="15" customHeight="1">
      <c r="C1176" t="inlineStr">
        <is>
          <t>Actividad económica / giro mercantil</t>
        </is>
      </c>
      <c r="D1176" t="inlineStr">
        <is>
          <t>F12</t>
        </is>
      </c>
      <c r="E1176" t="inlineStr">
        <is>
          <t>INHERENTE</t>
        </is>
      </c>
      <c r="F1176" t="inlineStr">
        <is>
          <t>SERVICIOS DE CONTADURIA Y AUDITORIA; INCLUSO TENEDURIA DE LIBROS</t>
        </is>
      </c>
      <c r="G1176" t="n">
        <v>8413015</v>
      </c>
      <c r="H1176" t="n">
        <v>4</v>
      </c>
      <c r="I1176" t="n">
        <v>4</v>
      </c>
      <c r="J1176" t="n">
        <v>8</v>
      </c>
      <c r="K1176" t="n">
        <v>32</v>
      </c>
      <c r="L1176" t="n">
        <v>32</v>
      </c>
      <c r="M1176" t="n">
        <v>32</v>
      </c>
      <c r="N1176" t="n">
        <v>32</v>
      </c>
      <c r="O1176" t="n">
        <v>40</v>
      </c>
      <c r="P1176" t="n">
        <v>8</v>
      </c>
      <c r="R1176" s="9" t="n">
        <v>0.08</v>
      </c>
      <c r="S1176" s="10" t="inlineStr">
        <is>
          <t>SÍ — integrante</t>
        </is>
      </c>
      <c r="T1176" s="11" t="inlineStr">
        <is>
          <t>B · INTEGRANTE</t>
        </is>
      </c>
      <c r="U1176" s="11" t="inlineStr">
        <is>
          <t>DEL BANCO (se hereda)</t>
        </is>
      </c>
      <c r="V1176" s="11" t="inlineStr">
        <is>
          <t>9112 · SERVICIOS PROFESIONALES</t>
        </is>
      </c>
      <c r="W1176" s="12" t="n"/>
      <c r="X1176" s="12" t="n"/>
    </row>
    <row r="1177" ht="15" customHeight="1">
      <c r="C1177" t="inlineStr">
        <is>
          <t>Actividad económica / giro mercantil</t>
        </is>
      </c>
      <c r="D1177" t="inlineStr">
        <is>
          <t>F12</t>
        </is>
      </c>
      <c r="E1177" t="inlineStr">
        <is>
          <t>INHERENTE</t>
        </is>
      </c>
      <c r="F1177" t="inlineStr">
        <is>
          <t>SERVICIOS DE ASESORIA Y ESTUDIOS TECNICOS DE ARQUITECTURA E INGENIERIA (INCLUSO DISEÑO INDUSTRIAL)</t>
        </is>
      </c>
      <c r="G1177" t="n">
        <v>8414013</v>
      </c>
      <c r="H1177" t="n">
        <v>2</v>
      </c>
      <c r="I1177" t="n">
        <v>2</v>
      </c>
      <c r="J1177" t="n">
        <v>8</v>
      </c>
      <c r="K1177" t="n">
        <v>16</v>
      </c>
      <c r="L1177" t="n">
        <v>16</v>
      </c>
      <c r="M1177" t="n">
        <v>16</v>
      </c>
      <c r="N1177" t="n">
        <v>16</v>
      </c>
      <c r="O1177" t="n">
        <v>40</v>
      </c>
      <c r="P1177" t="n">
        <v>8</v>
      </c>
      <c r="R1177" s="9" t="n">
        <v>0.08</v>
      </c>
      <c r="S1177" s="10" t="inlineStr">
        <is>
          <t>SÍ — integrante</t>
        </is>
      </c>
      <c r="T1177" s="11" t="inlineStr">
        <is>
          <t>B · INTEGRANTE</t>
        </is>
      </c>
      <c r="U1177" s="11" t="inlineStr">
        <is>
          <t>DEL BANCO (se hereda)</t>
        </is>
      </c>
      <c r="V1177" s="11" t="inlineStr">
        <is>
          <t>9112 · SERVICIOS PROFESIONALES</t>
        </is>
      </c>
      <c r="W1177" s="12" t="n"/>
      <c r="X1177" s="12" t="n"/>
    </row>
    <row r="1178" ht="15" customHeight="1">
      <c r="C1178" t="inlineStr">
        <is>
          <t>Actividad económica / giro mercantil</t>
        </is>
      </c>
      <c r="D1178" t="inlineStr">
        <is>
          <t>F12</t>
        </is>
      </c>
      <c r="E1178" t="inlineStr">
        <is>
          <t>INHERENTE</t>
        </is>
      </c>
      <c r="F1178" t="inlineStr">
        <is>
          <t>DESPACHO DE OTROS PROFESIONISTAS</t>
        </is>
      </c>
      <c r="G1178" t="n">
        <v>8415011</v>
      </c>
      <c r="H1178" t="n">
        <v>3</v>
      </c>
      <c r="I1178" t="n">
        <v>3</v>
      </c>
      <c r="J1178" t="n">
        <v>8</v>
      </c>
      <c r="K1178" t="n">
        <v>24</v>
      </c>
      <c r="L1178" t="n">
        <v>24</v>
      </c>
      <c r="M1178" t="n">
        <v>24</v>
      </c>
      <c r="N1178" t="n">
        <v>24</v>
      </c>
      <c r="O1178" t="n">
        <v>40</v>
      </c>
      <c r="P1178" t="n">
        <v>8</v>
      </c>
      <c r="R1178" s="9" t="n">
        <v>0.08</v>
      </c>
      <c r="S1178" s="10" t="inlineStr">
        <is>
          <t>SÍ — integrante</t>
        </is>
      </c>
      <c r="T1178" s="11" t="inlineStr">
        <is>
          <t>B · INTEGRANTE</t>
        </is>
      </c>
      <c r="U1178" s="11" t="inlineStr">
        <is>
          <t>DEL BANCO (se hereda)</t>
        </is>
      </c>
      <c r="V1178" s="11" t="inlineStr">
        <is>
          <t>9112 · SERVICIOS PROFESIONALES</t>
        </is>
      </c>
      <c r="W1178" s="12" t="n"/>
      <c r="X1178" s="12" t="n"/>
    </row>
    <row r="1179" ht="15" customHeight="1">
      <c r="C1179" t="inlineStr">
        <is>
          <t>Actividad económica / giro mercantil</t>
        </is>
      </c>
      <c r="D1179" t="inlineStr">
        <is>
          <t>F12</t>
        </is>
      </c>
      <c r="E1179" t="inlineStr">
        <is>
          <t>INHERENTE</t>
        </is>
      </c>
      <c r="F1179" t="inlineStr">
        <is>
          <t>SERVICIO DE INVESTIGACION DE MERCADO  SOLVENCIA FINANCIERA, DE PATENTES  Y MARCAS INDUSTRIALES Y OTROS SIMILARES</t>
        </is>
      </c>
      <c r="G1179" t="n">
        <v>8419013</v>
      </c>
      <c r="H1179" t="n">
        <v>1</v>
      </c>
      <c r="I1179" t="n">
        <v>1</v>
      </c>
      <c r="J1179" t="n">
        <v>8</v>
      </c>
      <c r="K1179" t="n">
        <v>8</v>
      </c>
      <c r="L1179" t="n">
        <v>8</v>
      </c>
      <c r="M1179" t="n">
        <v>8</v>
      </c>
      <c r="N1179" t="n">
        <v>8</v>
      </c>
      <c r="O1179" t="n">
        <v>40</v>
      </c>
      <c r="P1179" t="n">
        <v>8</v>
      </c>
      <c r="R1179" s="9" t="n">
        <v>0.08</v>
      </c>
      <c r="S1179" s="10" t="inlineStr">
        <is>
          <t>SÍ — integrante</t>
        </is>
      </c>
      <c r="T1179" s="11" t="inlineStr">
        <is>
          <t>B · INTEGRANTE</t>
        </is>
      </c>
      <c r="U1179" s="11" t="inlineStr">
        <is>
          <t>DEL BANCO (se hereda)</t>
        </is>
      </c>
      <c r="V1179" s="11" t="inlineStr">
        <is>
          <t>9115 · SECTOR FINANCIERO REGULADO</t>
        </is>
      </c>
      <c r="W1179" s="12" t="n"/>
      <c r="X1179" s="12" t="n"/>
    </row>
    <row r="1180" ht="15" customHeight="1">
      <c r="C1180" t="inlineStr">
        <is>
          <t>Actividad económica / giro mercantil</t>
        </is>
      </c>
      <c r="D1180" t="inlineStr">
        <is>
          <t>F12</t>
        </is>
      </c>
      <c r="E1180" t="inlineStr">
        <is>
          <t>INHERENTE</t>
        </is>
      </c>
      <c r="F1180" t="inlineStr">
        <is>
          <t>SERVICIOS DE ANALISIS DE SISTEMAS Y PROCESAMIENTO ELECTRONICO DE DATOS</t>
        </is>
      </c>
      <c r="G1180" t="n">
        <v>8421018</v>
      </c>
      <c r="H1180" t="n">
        <v>1</v>
      </c>
      <c r="I1180" t="n">
        <v>1</v>
      </c>
      <c r="J1180" t="n">
        <v>8</v>
      </c>
      <c r="K1180" t="n">
        <v>8</v>
      </c>
      <c r="L1180" t="n">
        <v>8</v>
      </c>
      <c r="M1180" t="n">
        <v>8</v>
      </c>
      <c r="N1180" t="n">
        <v>8</v>
      </c>
      <c r="O1180" t="n">
        <v>40</v>
      </c>
      <c r="P1180" t="n">
        <v>8</v>
      </c>
      <c r="R1180" s="9" t="n">
        <v>0.08</v>
      </c>
      <c r="S1180" s="10" t="inlineStr">
        <is>
          <t>SÍ — integrante</t>
        </is>
      </c>
      <c r="T1180" s="11" t="inlineStr">
        <is>
          <t>B · INTEGRANTE</t>
        </is>
      </c>
      <c r="U1180" s="11" t="inlineStr">
        <is>
          <t>DEL BANCO (se hereda)</t>
        </is>
      </c>
      <c r="V1180" s="11" t="inlineStr">
        <is>
          <t>9154 · OTRAS ACTIVIDADES NO CLASIFICADAS</t>
        </is>
      </c>
      <c r="W1180" s="12" t="n"/>
      <c r="X1180" s="12" t="n"/>
    </row>
    <row r="1181" ht="15" customHeight="1">
      <c r="C1181" t="inlineStr">
        <is>
          <t>Actividad económica / giro mercantil</t>
        </is>
      </c>
      <c r="D1181" t="inlineStr">
        <is>
          <t>F12</t>
        </is>
      </c>
      <c r="E1181" t="inlineStr">
        <is>
          <t>INHERENTE</t>
        </is>
      </c>
      <c r="F1181" t="inlineStr">
        <is>
          <t>AGENCIA DE PUBLICIDAD</t>
        </is>
      </c>
      <c r="G1181" t="n">
        <v>8422016</v>
      </c>
      <c r="H1181" t="n">
        <v>5</v>
      </c>
      <c r="I1181" t="n">
        <v>5</v>
      </c>
      <c r="J1181" t="n">
        <v>8</v>
      </c>
      <c r="K1181" t="n">
        <v>40</v>
      </c>
      <c r="L1181" t="n">
        <v>40</v>
      </c>
      <c r="M1181" t="n">
        <v>40</v>
      </c>
      <c r="N1181" t="n">
        <v>40</v>
      </c>
      <c r="O1181" t="n">
        <v>40</v>
      </c>
      <c r="P1181" t="n">
        <v>8</v>
      </c>
      <c r="R1181" s="9" t="n">
        <v>0.08</v>
      </c>
      <c r="S1181" s="10" t="inlineStr">
        <is>
          <t>SÍ — integrante</t>
        </is>
      </c>
      <c r="T1181" s="11" t="inlineStr">
        <is>
          <t>B · INTEGRANTE</t>
        </is>
      </c>
      <c r="U1181" s="11" t="inlineStr">
        <is>
          <t>DEL BANCO (se hereda)</t>
        </is>
      </c>
      <c r="V1181" s="11" t="inlineStr">
        <is>
          <t>9154 · OTRAS ACTIVIDADES NO CLASIFICADAS</t>
        </is>
      </c>
      <c r="W1181" s="12" t="n"/>
      <c r="X1181" s="12" t="n"/>
    </row>
    <row r="1182" ht="15" customHeight="1">
      <c r="C1182" t="inlineStr">
        <is>
          <t>Actividad económica / giro mercantil</t>
        </is>
      </c>
      <c r="D1182" t="inlineStr">
        <is>
          <t>F12</t>
        </is>
      </c>
      <c r="E1182" t="inlineStr">
        <is>
          <t>INHERENTE</t>
        </is>
      </c>
      <c r="F1182" t="inlineStr">
        <is>
          <t>AGENCIA NOTICIOSA</t>
        </is>
      </c>
      <c r="G1182" t="n">
        <v>8423014</v>
      </c>
      <c r="H1182" t="n">
        <v>2</v>
      </c>
      <c r="I1182" t="n">
        <v>2</v>
      </c>
      <c r="J1182" t="n">
        <v>8</v>
      </c>
      <c r="K1182" t="n">
        <v>16</v>
      </c>
      <c r="L1182" t="n">
        <v>16</v>
      </c>
      <c r="M1182" t="n">
        <v>16</v>
      </c>
      <c r="N1182" t="n">
        <v>16</v>
      </c>
      <c r="O1182" t="n">
        <v>40</v>
      </c>
      <c r="P1182" t="n">
        <v>8</v>
      </c>
      <c r="R1182" s="9" t="n">
        <v>0.08</v>
      </c>
      <c r="S1182" s="10" t="inlineStr">
        <is>
          <t>SÍ — integrante</t>
        </is>
      </c>
      <c r="T1182" s="11" t="inlineStr">
        <is>
          <t>B · INTEGRANTE</t>
        </is>
      </c>
      <c r="U1182" s="11" t="inlineStr">
        <is>
          <t>DEL BANCO (se hereda)</t>
        </is>
      </c>
      <c r="V1182" s="11" t="inlineStr">
        <is>
          <t>9154 · OTRAS ACTIVIDADES NO CLASIFICADAS</t>
        </is>
      </c>
      <c r="W1182" s="12" t="n"/>
      <c r="X1182" s="12" t="n"/>
    </row>
    <row r="1183" ht="15" customHeight="1">
      <c r="C1183" t="inlineStr">
        <is>
          <t>Actividad económica / giro mercantil</t>
        </is>
      </c>
      <c r="D1183" t="inlineStr">
        <is>
          <t>F12</t>
        </is>
      </c>
      <c r="E1183" t="inlineStr">
        <is>
          <t>INHERENTE</t>
        </is>
      </c>
      <c r="F1183" t="inlineStr">
        <is>
          <t>SERVICIOS ADMINISTRATIVOS DE TRAMITE Y COBRANZA; INCLUSO ESCRITORIOS PUBLICOS</t>
        </is>
      </c>
      <c r="G1183" t="n">
        <v>8424012</v>
      </c>
      <c r="H1183" t="n">
        <v>2</v>
      </c>
      <c r="I1183" t="n">
        <v>2</v>
      </c>
      <c r="J1183" t="n">
        <v>8</v>
      </c>
      <c r="K1183" t="n">
        <v>16</v>
      </c>
      <c r="L1183" t="n">
        <v>16</v>
      </c>
      <c r="M1183" t="n">
        <v>16</v>
      </c>
      <c r="N1183" t="n">
        <v>16</v>
      </c>
      <c r="O1183" t="n">
        <v>40</v>
      </c>
      <c r="P1183" t="n">
        <v>8</v>
      </c>
      <c r="R1183" s="9" t="n">
        <v>0.08</v>
      </c>
      <c r="S1183" s="10" t="inlineStr">
        <is>
          <t>SÍ — integrante</t>
        </is>
      </c>
      <c r="T1183" s="11" t="inlineStr">
        <is>
          <t>B · INTEGRANTE</t>
        </is>
      </c>
      <c r="U1183" s="11" t="inlineStr">
        <is>
          <t>DEL BANCO (se hereda)</t>
        </is>
      </c>
      <c r="V1183" s="11" t="inlineStr">
        <is>
          <t>9154 · OTRAS ACTIVIDADES NO CLASIFICADAS</t>
        </is>
      </c>
      <c r="W1183" s="12" t="n"/>
      <c r="X1183" s="12" t="n"/>
    </row>
    <row r="1184" ht="15" customHeight="1">
      <c r="C1184" t="inlineStr">
        <is>
          <t>Actividad económica / giro mercantil</t>
        </is>
      </c>
      <c r="D1184" t="inlineStr">
        <is>
          <t>F12</t>
        </is>
      </c>
      <c r="E1184" t="inlineStr">
        <is>
          <t>INHERENTE</t>
        </is>
      </c>
      <c r="F1184" t="inlineStr">
        <is>
          <t>SERVICIOS DE COPIAS FOTOSTATICAS XEROGRAFITAS Y SIMILARES</t>
        </is>
      </c>
      <c r="G1184" t="n">
        <v>8425010</v>
      </c>
      <c r="H1184" t="n">
        <v>1</v>
      </c>
      <c r="I1184" t="n">
        <v>1</v>
      </c>
      <c r="J1184" t="n">
        <v>8</v>
      </c>
      <c r="K1184" t="n">
        <v>8</v>
      </c>
      <c r="L1184" t="n">
        <v>8</v>
      </c>
      <c r="M1184" t="n">
        <v>8</v>
      </c>
      <c r="N1184" t="n">
        <v>8</v>
      </c>
      <c r="O1184" t="n">
        <v>40</v>
      </c>
      <c r="P1184" t="n">
        <v>8</v>
      </c>
      <c r="R1184" s="9" t="n">
        <v>0.08</v>
      </c>
      <c r="S1184" s="10" t="inlineStr">
        <is>
          <t>SÍ — integrante</t>
        </is>
      </c>
      <c r="T1184" s="11" t="inlineStr">
        <is>
          <t>B · INTEGRANTE</t>
        </is>
      </c>
      <c r="U1184" s="11" t="inlineStr">
        <is>
          <t>DEL BANCO (se hereda)</t>
        </is>
      </c>
      <c r="V1184" s="11" t="inlineStr">
        <is>
          <t>9154 · OTRAS ACTIVIDADES NO CLASIFICADAS</t>
        </is>
      </c>
      <c r="W1184" s="12" t="n"/>
      <c r="X1184" s="12" t="n"/>
    </row>
    <row r="1185" ht="15" customHeight="1">
      <c r="C1185" t="inlineStr">
        <is>
          <t>Actividad económica / giro mercantil</t>
        </is>
      </c>
      <c r="D1185" t="inlineStr">
        <is>
          <t>F12</t>
        </is>
      </c>
      <c r="E1185" t="inlineStr">
        <is>
          <t>INHERENTE</t>
        </is>
      </c>
      <c r="F1185" t="inlineStr">
        <is>
          <t>COMISIONISTA</t>
        </is>
      </c>
      <c r="G1185" t="n">
        <v>8426018</v>
      </c>
      <c r="H1185" t="n">
        <v>1</v>
      </c>
      <c r="I1185" t="n">
        <v>1</v>
      </c>
      <c r="J1185" t="n">
        <v>8</v>
      </c>
      <c r="K1185" t="n">
        <v>8</v>
      </c>
      <c r="L1185" t="n">
        <v>8</v>
      </c>
      <c r="M1185" t="n">
        <v>8</v>
      </c>
      <c r="N1185" t="n">
        <v>8</v>
      </c>
      <c r="O1185" t="n">
        <v>40</v>
      </c>
      <c r="P1185" t="n">
        <v>8</v>
      </c>
      <c r="R1185" s="9" t="n">
        <v>0.08</v>
      </c>
      <c r="S1185" s="10" t="inlineStr">
        <is>
          <t>SÍ — integrante</t>
        </is>
      </c>
      <c r="T1185" s="11" t="inlineStr">
        <is>
          <t>B · INTEGRANTE</t>
        </is>
      </c>
      <c r="U1185" s="11" t="inlineStr">
        <is>
          <t>DEL BANCO (se hereda)</t>
        </is>
      </c>
      <c r="V1185" s="11" t="inlineStr">
        <is>
          <t>9154 · OTRAS ACTIVIDADES NO CLASIFICADAS</t>
        </is>
      </c>
      <c r="W1185" s="12" t="n"/>
      <c r="X1185" s="12" t="n"/>
    </row>
    <row r="1186" ht="15" customHeight="1">
      <c r="C1186" t="inlineStr">
        <is>
          <t>Actividad económica / giro mercantil</t>
        </is>
      </c>
      <c r="D1186" t="inlineStr">
        <is>
          <t>F12</t>
        </is>
      </c>
      <c r="E1186" t="inlineStr">
        <is>
          <t>INHERENTE</t>
        </is>
      </c>
      <c r="F1186" t="inlineStr">
        <is>
          <t>REPRESENTACION DE ARTISTAS</t>
        </is>
      </c>
      <c r="G1186" t="n">
        <v>8426026</v>
      </c>
      <c r="H1186" t="n">
        <v>3</v>
      </c>
      <c r="I1186" t="n">
        <v>3</v>
      </c>
      <c r="J1186" t="n">
        <v>8</v>
      </c>
      <c r="K1186" t="n">
        <v>24</v>
      </c>
      <c r="L1186" t="n">
        <v>24</v>
      </c>
      <c r="M1186" t="n">
        <v>24</v>
      </c>
      <c r="N1186" t="n">
        <v>24</v>
      </c>
      <c r="O1186" t="n">
        <v>40</v>
      </c>
      <c r="P1186" t="n">
        <v>8</v>
      </c>
      <c r="R1186" s="9" t="n">
        <v>0.08</v>
      </c>
      <c r="S1186" s="10" t="inlineStr">
        <is>
          <t>SÍ — integrante</t>
        </is>
      </c>
      <c r="T1186" s="11" t="inlineStr">
        <is>
          <t>B · INTEGRANTE</t>
        </is>
      </c>
      <c r="U1186" s="11" t="inlineStr">
        <is>
          <t>DEL BANCO (se hereda)</t>
        </is>
      </c>
      <c r="V1186" s="11" t="inlineStr">
        <is>
          <t>9154 · OTRAS ACTIVIDADES NO CLASIFICADAS</t>
        </is>
      </c>
      <c r="W1186" s="12" t="n"/>
      <c r="X1186" s="12" t="n"/>
    </row>
    <row r="1187" ht="15" customHeight="1">
      <c r="C1187" t="inlineStr">
        <is>
          <t>Actividad económica / giro mercantil</t>
        </is>
      </c>
      <c r="D1187" t="inlineStr">
        <is>
          <t>F12</t>
        </is>
      </c>
      <c r="E1187" t="inlineStr">
        <is>
          <t>INHERENTE</t>
        </is>
      </c>
      <c r="F1187" t="inlineStr">
        <is>
          <t>REPRESENTANTE CASAS EXTRANJERAS</t>
        </is>
      </c>
      <c r="G1187" t="n">
        <v>8426034</v>
      </c>
      <c r="H1187" t="n">
        <v>1</v>
      </c>
      <c r="I1187" t="n">
        <v>1</v>
      </c>
      <c r="J1187" t="n">
        <v>8</v>
      </c>
      <c r="K1187" t="n">
        <v>8</v>
      </c>
      <c r="L1187" t="n">
        <v>8</v>
      </c>
      <c r="M1187" t="n">
        <v>8</v>
      </c>
      <c r="N1187" t="n">
        <v>8</v>
      </c>
      <c r="O1187" t="n">
        <v>40</v>
      </c>
      <c r="P1187" t="n">
        <v>8</v>
      </c>
      <c r="R1187" s="9" t="n">
        <v>0.08</v>
      </c>
      <c r="S1187" s="10" t="inlineStr">
        <is>
          <t>SÍ — integrante</t>
        </is>
      </c>
      <c r="T1187" s="11" t="inlineStr">
        <is>
          <t>B · INTEGRANTE</t>
        </is>
      </c>
      <c r="U1187" s="11" t="inlineStr">
        <is>
          <t>DEL BANCO (se hereda)</t>
        </is>
      </c>
      <c r="V1187" s="11" t="inlineStr">
        <is>
          <t>9119 · COMERCIO EXTERIOR</t>
        </is>
      </c>
      <c r="W1187" s="12" t="n"/>
      <c r="X1187" s="12" t="n"/>
    </row>
    <row r="1188" ht="15" customHeight="1">
      <c r="C1188" t="inlineStr">
        <is>
          <t>Actividad económica / giro mercantil</t>
        </is>
      </c>
      <c r="D1188" t="inlineStr">
        <is>
          <t>F12</t>
        </is>
      </c>
      <c r="E1188" t="inlineStr">
        <is>
          <t>INHERENTE</t>
        </is>
      </c>
      <c r="F1188" t="inlineStr">
        <is>
          <t>REPRESENTANTE CASAS NACIONALES</t>
        </is>
      </c>
      <c r="G1188" t="n">
        <v>8426042</v>
      </c>
      <c r="H1188" t="n">
        <v>1</v>
      </c>
      <c r="I1188" t="n">
        <v>1</v>
      </c>
      <c r="J1188" t="n">
        <v>8</v>
      </c>
      <c r="K1188" t="n">
        <v>8</v>
      </c>
      <c r="L1188" t="n">
        <v>8</v>
      </c>
      <c r="M1188" t="n">
        <v>8</v>
      </c>
      <c r="N1188" t="n">
        <v>8</v>
      </c>
      <c r="O1188" t="n">
        <v>40</v>
      </c>
      <c r="P1188" t="n">
        <v>8</v>
      </c>
      <c r="R1188" s="9" t="n">
        <v>0.08</v>
      </c>
      <c r="S1188" s="10" t="inlineStr">
        <is>
          <t>SÍ — integrante</t>
        </is>
      </c>
      <c r="T1188" s="11" t="inlineStr">
        <is>
          <t>B · INTEGRANTE</t>
        </is>
      </c>
      <c r="U1188" s="11" t="inlineStr">
        <is>
          <t>DEL BANCO (se hereda)</t>
        </is>
      </c>
      <c r="V1188" s="11" t="inlineStr">
        <is>
          <t>9154 · OTRAS ACTIVIDADES NO CLASIFICADAS</t>
        </is>
      </c>
      <c r="W1188" s="12" t="n"/>
      <c r="X1188" s="12" t="n"/>
    </row>
    <row r="1189" ht="15" customHeight="1">
      <c r="C1189" t="inlineStr">
        <is>
          <t>Actividad económica / giro mercantil</t>
        </is>
      </c>
      <c r="D1189" t="inlineStr">
        <is>
          <t>F12</t>
        </is>
      </c>
      <c r="E1189" t="inlineStr">
        <is>
          <t>INHERENTE</t>
        </is>
      </c>
      <c r="F1189" t="inlineStr">
        <is>
          <t>SERVICIOS DE INSTALACION Y MANTENIMIENTO DE MAQUINARIA Y EQUIPO POR EMPRESAS ESPECIALIZADAS</t>
        </is>
      </c>
      <c r="G1189" t="n">
        <v>8427016</v>
      </c>
      <c r="H1189" t="n">
        <v>1</v>
      </c>
      <c r="I1189" t="n">
        <v>1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40</v>
      </c>
      <c r="P1189" t="n">
        <v>8</v>
      </c>
      <c r="R1189" s="9" t="n">
        <v>0.08</v>
      </c>
      <c r="S1189" s="10" t="inlineStr">
        <is>
          <t>SÍ — integrante</t>
        </is>
      </c>
      <c r="T1189" s="11" t="inlineStr">
        <is>
          <t>B · INTEGRANTE</t>
        </is>
      </c>
      <c r="U1189" s="11" t="inlineStr">
        <is>
          <t>DEL BANCO (se hereda)</t>
        </is>
      </c>
      <c r="V1189" s="11" t="inlineStr">
        <is>
          <t>9154 · OTRAS ACTIVIDADES NO CLASIFICADAS</t>
        </is>
      </c>
      <c r="W1189" s="12" t="n"/>
      <c r="X1189" s="12" t="n"/>
    </row>
    <row r="1190" ht="15" customHeight="1">
      <c r="C1190" t="inlineStr">
        <is>
          <t>Actividad económica / giro mercantil</t>
        </is>
      </c>
      <c r="D1190" t="inlineStr">
        <is>
          <t>F12</t>
        </is>
      </c>
      <c r="E1190" t="inlineStr">
        <is>
          <t>INHERENTE</t>
        </is>
      </c>
      <c r="F1190" t="inlineStr">
        <is>
          <t>SERVICIOS DE AGENCIAS DE COLOCACION Y SELECCION DE PERSONAL</t>
        </is>
      </c>
      <c r="G1190" t="n">
        <v>8428014</v>
      </c>
      <c r="H1190" t="n">
        <v>1</v>
      </c>
      <c r="I1190" t="n">
        <v>1</v>
      </c>
      <c r="J1190" t="n">
        <v>8</v>
      </c>
      <c r="K1190" t="n">
        <v>8</v>
      </c>
      <c r="L1190" t="n">
        <v>8</v>
      </c>
      <c r="M1190" t="n">
        <v>8</v>
      </c>
      <c r="N1190" t="n">
        <v>8</v>
      </c>
      <c r="O1190" t="n">
        <v>40</v>
      </c>
      <c r="P1190" t="n">
        <v>8</v>
      </c>
      <c r="R1190" s="9" t="n">
        <v>0.08</v>
      </c>
      <c r="S1190" s="10" t="inlineStr">
        <is>
          <t>SÍ — integrante</t>
        </is>
      </c>
      <c r="T1190" s="11" t="inlineStr">
        <is>
          <t>B · INTEGRANTE</t>
        </is>
      </c>
      <c r="U1190" s="11" t="inlineStr">
        <is>
          <t>DEL BANCO (se hereda)</t>
        </is>
      </c>
      <c r="V1190" s="11" t="inlineStr">
        <is>
          <t>9154 · OTRAS ACTIVIDADES NO CLASIFICADAS</t>
        </is>
      </c>
      <c r="W1190" s="12" t="n"/>
      <c r="X1190" s="12" t="n"/>
    </row>
    <row r="1191" ht="15" customHeight="1">
      <c r="C1191" t="inlineStr">
        <is>
          <t>Actividad económica / giro mercantil</t>
        </is>
      </c>
      <c r="D1191" t="inlineStr">
        <is>
          <t>F12</t>
        </is>
      </c>
      <c r="E1191" t="inlineStr">
        <is>
          <t>INHERENTE</t>
        </is>
      </c>
      <c r="F1191" t="inlineStr">
        <is>
          <t>PRESTACION DE OTROS SERVICIOS TECNICOS</t>
        </is>
      </c>
      <c r="G1191" t="n">
        <v>8429012</v>
      </c>
      <c r="H1191" t="n">
        <v>1</v>
      </c>
      <c r="I1191" t="n">
        <v>1</v>
      </c>
      <c r="J1191" t="n">
        <v>8</v>
      </c>
      <c r="K1191" t="n">
        <v>8</v>
      </c>
      <c r="L1191" t="n">
        <v>8</v>
      </c>
      <c r="M1191" t="n">
        <v>8</v>
      </c>
      <c r="N1191" t="n">
        <v>8</v>
      </c>
      <c r="O1191" t="n">
        <v>40</v>
      </c>
      <c r="P1191" t="n">
        <v>8</v>
      </c>
      <c r="R1191" s="9" t="n">
        <v>0.08</v>
      </c>
      <c r="S1191" s="10" t="inlineStr">
        <is>
          <t>SÍ — integrante</t>
        </is>
      </c>
      <c r="T1191" s="11" t="inlineStr">
        <is>
          <t>B · INTEGRANTE</t>
        </is>
      </c>
      <c r="U1191" s="11" t="inlineStr">
        <is>
          <t>DEL BANCO (se hereda)</t>
        </is>
      </c>
      <c r="V1191" s="11" t="inlineStr">
        <is>
          <t>9154 · OTRAS ACTIVIDADES NO CLASIFICADAS</t>
        </is>
      </c>
      <c r="W1191" s="12" t="n"/>
      <c r="X1191" s="12" t="n"/>
    </row>
    <row r="1192" ht="15" customHeight="1">
      <c r="C1192" t="inlineStr">
        <is>
          <t>Actividad económica / giro mercantil</t>
        </is>
      </c>
      <c r="D1192" t="inlineStr">
        <is>
          <t>F12</t>
        </is>
      </c>
      <c r="E1192" t="inlineStr">
        <is>
          <t>INHERENTE</t>
        </is>
      </c>
      <c r="F1192" t="inlineStr">
        <is>
          <t>EMPRESAS CONTROLADORAS NO FINANCIERAS</t>
        </is>
      </c>
      <c r="G1192" t="n">
        <v>8429020</v>
      </c>
      <c r="H1192" t="n">
        <v>1</v>
      </c>
      <c r="I1192" t="n">
        <v>1</v>
      </c>
      <c r="J1192" t="n">
        <v>8</v>
      </c>
      <c r="K1192" t="n">
        <v>8</v>
      </c>
      <c r="L1192" t="n">
        <v>8</v>
      </c>
      <c r="M1192" t="n">
        <v>8</v>
      </c>
      <c r="N1192" t="n">
        <v>8</v>
      </c>
      <c r="O1192" t="n">
        <v>40</v>
      </c>
      <c r="P1192" t="n">
        <v>8</v>
      </c>
      <c r="R1192" s="9" t="n">
        <v>0.08</v>
      </c>
      <c r="S1192" s="10" t="inlineStr">
        <is>
          <t>SÍ — integrante</t>
        </is>
      </c>
      <c r="T1192" s="11" t="inlineStr">
        <is>
          <t>B · INTEGRANTE</t>
        </is>
      </c>
      <c r="U1192" s="11" t="inlineStr">
        <is>
          <t>DEL BANCO (se hereda)</t>
        </is>
      </c>
      <c r="V1192" s="11" t="inlineStr">
        <is>
          <t>9115 · SECTOR FINANCIERO REGULADO</t>
        </is>
      </c>
      <c r="W1192" s="12" t="n"/>
      <c r="X1192" s="12" t="n"/>
    </row>
    <row r="1193" ht="15" customHeight="1">
      <c r="C1193" t="inlineStr">
        <is>
          <t>Actividad económica / giro mercantil</t>
        </is>
      </c>
      <c r="D1193" t="inlineStr">
        <is>
          <t>F12</t>
        </is>
      </c>
      <c r="E1193" t="inlineStr">
        <is>
          <t>INHERENTE</t>
        </is>
      </c>
      <c r="F1193" t="inlineStr">
        <is>
          <t>EMPRESAS DE SEGURIDAD PRIVADA</t>
        </is>
      </c>
      <c r="G1193" t="n">
        <v>8429038</v>
      </c>
      <c r="H1193" t="n">
        <v>3</v>
      </c>
      <c r="I1193" t="n">
        <v>3</v>
      </c>
      <c r="J1193" t="n">
        <v>8</v>
      </c>
      <c r="K1193" t="n">
        <v>24</v>
      </c>
      <c r="L1193" t="n">
        <v>24</v>
      </c>
      <c r="M1193" t="n">
        <v>24</v>
      </c>
      <c r="N1193" t="n">
        <v>24</v>
      </c>
      <c r="O1193" t="n">
        <v>40</v>
      </c>
      <c r="P1193" t="n">
        <v>8</v>
      </c>
      <c r="R1193" s="9" t="n">
        <v>0.08</v>
      </c>
      <c r="S1193" s="10" t="inlineStr">
        <is>
          <t>SÍ — integrante</t>
        </is>
      </c>
      <c r="T1193" s="11" t="inlineStr">
        <is>
          <t>B · INTEGRANTE</t>
        </is>
      </c>
      <c r="U1193" s="11" t="inlineStr">
        <is>
          <t>DEL BANCO (se hereda)</t>
        </is>
      </c>
      <c r="V1193" s="11" t="inlineStr">
        <is>
          <t>9154 · OTRAS ACTIVIDADES NO CLASIFICADAS</t>
        </is>
      </c>
      <c r="W1193" s="12" t="n"/>
      <c r="X1193" s="12" t="n"/>
    </row>
    <row r="1194" ht="15" customHeight="1">
      <c r="C1194" t="inlineStr">
        <is>
          <t>Actividad económica / giro mercantil</t>
        </is>
      </c>
      <c r="D1194" t="inlineStr">
        <is>
          <t>F12</t>
        </is>
      </c>
      <c r="E1194" t="inlineStr">
        <is>
          <t>INHERENTE</t>
        </is>
      </c>
      <c r="F1194" t="inlineStr">
        <is>
          <t>EMPRESAS TRANSPORTADORAS DE VALORES</t>
        </is>
      </c>
      <c r="G1194" t="n">
        <v>8429046</v>
      </c>
      <c r="H1194" t="n">
        <v>5</v>
      </c>
      <c r="I1194" t="n">
        <v>5</v>
      </c>
      <c r="J1194" t="n">
        <v>8</v>
      </c>
      <c r="K1194" t="n">
        <v>40</v>
      </c>
      <c r="L1194" t="n">
        <v>40</v>
      </c>
      <c r="M1194" t="n">
        <v>40</v>
      </c>
      <c r="N1194" t="n">
        <v>40</v>
      </c>
      <c r="O1194" t="n">
        <v>40</v>
      </c>
      <c r="P1194" t="n">
        <v>8</v>
      </c>
      <c r="Q1194" t="inlineStr">
        <is>
          <t>DETERMINANTE</t>
        </is>
      </c>
      <c r="R1194" s="9" t="n">
        <v>0.08</v>
      </c>
      <c r="S1194" s="10" t="inlineStr">
        <is>
          <t>SÍ — integrante</t>
        </is>
      </c>
      <c r="T1194" s="11" t="inlineStr">
        <is>
          <t>B · INTEGRANTE</t>
        </is>
      </c>
      <c r="U1194" s="11" t="inlineStr">
        <is>
          <t>DEL BANCO (se hereda)</t>
        </is>
      </c>
      <c r="V1194" s="11" t="inlineStr">
        <is>
          <t>9154 · OTRAS ACTIVIDADES NO CLASIFICADAS</t>
        </is>
      </c>
      <c r="W1194" s="12" t="n"/>
      <c r="X1194" s="12" t="n"/>
    </row>
    <row r="1195" ht="15" customHeight="1">
      <c r="C1195" t="inlineStr">
        <is>
          <t>Actividad económica / giro mercantil</t>
        </is>
      </c>
      <c r="D1195" t="inlineStr">
        <is>
          <t>F12</t>
        </is>
      </c>
      <c r="E1195" t="inlineStr">
        <is>
          <t>INHERENTE</t>
        </is>
      </c>
      <c r="F1195" t="inlineStr">
        <is>
          <t>SERVICIOS DE ALQUILER A EMPRESAS</t>
        </is>
      </c>
      <c r="G1195" t="n">
        <v>8500002</v>
      </c>
      <c r="H1195" t="n">
        <v>2</v>
      </c>
      <c r="I1195" t="n">
        <v>2</v>
      </c>
      <c r="J1195" t="n">
        <v>8</v>
      </c>
      <c r="K1195" t="n">
        <v>16</v>
      </c>
      <c r="L1195" t="n">
        <v>16</v>
      </c>
      <c r="M1195" t="n">
        <v>16</v>
      </c>
      <c r="N1195" t="n">
        <v>16</v>
      </c>
      <c r="O1195" t="n">
        <v>40</v>
      </c>
      <c r="P1195" t="n">
        <v>8</v>
      </c>
      <c r="R1195" s="9" t="n">
        <v>0.08</v>
      </c>
      <c r="S1195" s="10" t="inlineStr">
        <is>
          <t>SÍ — integrante</t>
        </is>
      </c>
      <c r="T1195" s="11" t="inlineStr">
        <is>
          <t>B · INTEGRANTE</t>
        </is>
      </c>
      <c r="U1195" s="11" t="inlineStr">
        <is>
          <t>DEL BANCO (se hereda)</t>
        </is>
      </c>
      <c r="V1195" s="11" t="inlineStr">
        <is>
          <t>9154 · OTRAS ACTIVIDADES NO CLASIFICADAS</t>
        </is>
      </c>
      <c r="W1195" s="12" t="n"/>
      <c r="X1195" s="12" t="n"/>
    </row>
    <row r="1196" ht="15" customHeight="1">
      <c r="C1196" t="inlineStr">
        <is>
          <t>Actividad económica / giro mercantil</t>
        </is>
      </c>
      <c r="D1196" t="inlineStr">
        <is>
          <t>F12</t>
        </is>
      </c>
      <c r="E1196" t="inlineStr">
        <is>
          <t>INHERENTE</t>
        </is>
      </c>
      <c r="F1196" t="inlineStr">
        <is>
          <t>ARRENDAMIENTO DE MAQUINARIA</t>
        </is>
      </c>
      <c r="G1196" t="n">
        <v>8511017</v>
      </c>
      <c r="H1196" t="n">
        <v>1</v>
      </c>
      <c r="I1196" t="n">
        <v>1</v>
      </c>
      <c r="J1196" t="n">
        <v>8</v>
      </c>
      <c r="K1196" t="n">
        <v>8</v>
      </c>
      <c r="L1196" t="n">
        <v>8</v>
      </c>
      <c r="M1196" t="n">
        <v>8</v>
      </c>
      <c r="N1196" t="n">
        <v>8</v>
      </c>
      <c r="O1196" t="n">
        <v>40</v>
      </c>
      <c r="P1196" t="n">
        <v>8</v>
      </c>
      <c r="R1196" s="9" t="n">
        <v>0.08</v>
      </c>
      <c r="S1196" s="10" t="inlineStr">
        <is>
          <t>SÍ — integrante</t>
        </is>
      </c>
      <c r="T1196" s="11" t="inlineStr">
        <is>
          <t>B · INTEGRANTE</t>
        </is>
      </c>
      <c r="U1196" s="11" t="inlineStr">
        <is>
          <t>DEL BANCO (se hereda)</t>
        </is>
      </c>
      <c r="V1196" s="11" t="inlineStr">
        <is>
          <t>9154 · OTRAS ACTIVIDADES NO CLASIFICADAS</t>
        </is>
      </c>
      <c r="W1196" s="12" t="n"/>
      <c r="X1196" s="12" t="n"/>
    </row>
    <row r="1197" ht="15" customHeight="1">
      <c r="C1197" t="inlineStr">
        <is>
          <t>Actividad económica / giro mercantil</t>
        </is>
      </c>
      <c r="D1197" t="inlineStr">
        <is>
          <t>F12</t>
        </is>
      </c>
      <c r="E1197" t="inlineStr">
        <is>
          <t>INHERENTE</t>
        </is>
      </c>
      <c r="F1197" t="inlineStr">
        <is>
          <t>ARRENDADORAS FINANCIERAS NACIONALES</t>
        </is>
      </c>
      <c r="G1197" t="n">
        <v>8511025</v>
      </c>
      <c r="H1197" t="n">
        <v>2</v>
      </c>
      <c r="I1197" t="n">
        <v>2</v>
      </c>
      <c r="J1197" t="n">
        <v>8</v>
      </c>
      <c r="K1197" t="n">
        <v>16</v>
      </c>
      <c r="L1197" t="n">
        <v>16</v>
      </c>
      <c r="M1197" t="n">
        <v>16</v>
      </c>
      <c r="N1197" t="n">
        <v>16</v>
      </c>
      <c r="O1197" t="n">
        <v>40</v>
      </c>
      <c r="P1197" t="n">
        <v>8</v>
      </c>
      <c r="R1197" s="9" t="n">
        <v>0.08</v>
      </c>
      <c r="S1197" s="10" t="inlineStr">
        <is>
          <t>SÍ — integrante</t>
        </is>
      </c>
      <c r="T1197" s="11" t="inlineStr">
        <is>
          <t>B · INTEGRANTE</t>
        </is>
      </c>
      <c r="U1197" s="11" t="inlineStr">
        <is>
          <t>DEL BANCO (se hereda)</t>
        </is>
      </c>
      <c r="V1197" s="11" t="inlineStr">
        <is>
          <t>9118 · ENTIDAD AUXILIAR DEL CRÉDITO</t>
        </is>
      </c>
      <c r="W1197" s="12" t="n"/>
      <c r="X1197" s="12" t="n"/>
    </row>
    <row r="1198" ht="15" customHeight="1">
      <c r="C1198" t="inlineStr">
        <is>
          <t>Actividad económica / giro mercantil</t>
        </is>
      </c>
      <c r="D1198" t="inlineStr">
        <is>
          <t>F12</t>
        </is>
      </c>
      <c r="E1198" t="inlineStr">
        <is>
          <t>INHERENTE</t>
        </is>
      </c>
      <c r="F1198" t="inlineStr">
        <is>
          <t>ARRENDADORAS FINANCIERAS PRIVADAS</t>
        </is>
      </c>
      <c r="G1198" t="n">
        <v>8511033</v>
      </c>
      <c r="H1198" t="n">
        <v>2</v>
      </c>
      <c r="I1198" t="n">
        <v>2</v>
      </c>
      <c r="J1198" t="n">
        <v>8</v>
      </c>
      <c r="K1198" t="n">
        <v>16</v>
      </c>
      <c r="L1198" t="n">
        <v>16</v>
      </c>
      <c r="M1198" t="n">
        <v>16</v>
      </c>
      <c r="N1198" t="n">
        <v>16</v>
      </c>
      <c r="O1198" t="n">
        <v>40</v>
      </c>
      <c r="P1198" t="n">
        <v>8</v>
      </c>
      <c r="R1198" s="9" t="n">
        <v>0.08</v>
      </c>
      <c r="S1198" s="10" t="inlineStr">
        <is>
          <t>SÍ — integrante</t>
        </is>
      </c>
      <c r="T1198" s="11" t="inlineStr">
        <is>
          <t>B · INTEGRANTE</t>
        </is>
      </c>
      <c r="U1198" s="11" t="inlineStr">
        <is>
          <t>DEL BANCO (se hereda)</t>
        </is>
      </c>
      <c r="V1198" s="11" t="inlineStr">
        <is>
          <t>9118 · ENTIDAD AUXILIAR DEL CRÉDITO</t>
        </is>
      </c>
      <c r="W1198" s="12" t="n"/>
      <c r="X1198" s="12" t="n"/>
    </row>
    <row r="1199" ht="15" customHeight="1">
      <c r="C1199" t="inlineStr">
        <is>
          <t>Actividad económica / giro mercantil</t>
        </is>
      </c>
      <c r="D1199" t="inlineStr">
        <is>
          <t>F12</t>
        </is>
      </c>
      <c r="E1199" t="inlineStr">
        <is>
          <t>INHERENTE</t>
        </is>
      </c>
      <c r="F1199" t="inlineStr">
        <is>
          <t>ARRENDAMIENTO DE EQUIPO PARA PROCESAMIENTO ELECTRONICO DE DATOS</t>
        </is>
      </c>
      <c r="G1199" t="n">
        <v>8512015</v>
      </c>
      <c r="H1199" t="n">
        <v>1</v>
      </c>
      <c r="I1199" t="n">
        <v>1</v>
      </c>
      <c r="J1199" t="n">
        <v>8</v>
      </c>
      <c r="K1199" t="n">
        <v>8</v>
      </c>
      <c r="L1199" t="n">
        <v>8</v>
      </c>
      <c r="M1199" t="n">
        <v>8</v>
      </c>
      <c r="N1199" t="n">
        <v>8</v>
      </c>
      <c r="O1199" t="n">
        <v>40</v>
      </c>
      <c r="P1199" t="n">
        <v>8</v>
      </c>
      <c r="R1199" s="9" t="n">
        <v>0.08</v>
      </c>
      <c r="S1199" s="10" t="inlineStr">
        <is>
          <t>SÍ — integrante</t>
        </is>
      </c>
      <c r="T1199" s="11" t="inlineStr">
        <is>
          <t>B · INTEGRANTE</t>
        </is>
      </c>
      <c r="U1199" s="11" t="inlineStr">
        <is>
          <t>DEL BANCO (se hereda)</t>
        </is>
      </c>
      <c r="V1199" s="11" t="inlineStr">
        <is>
          <t>9154 · OTRAS ACTIVIDADES NO CLASIFICADAS</t>
        </is>
      </c>
      <c r="W1199" s="12" t="n"/>
      <c r="X1199" s="12" t="n"/>
    </row>
    <row r="1200" ht="15" customHeight="1">
      <c r="C1200" t="inlineStr">
        <is>
          <t>Actividad económica / giro mercantil</t>
        </is>
      </c>
      <c r="D1200" t="inlineStr">
        <is>
          <t>F12</t>
        </is>
      </c>
      <c r="E1200" t="inlineStr">
        <is>
          <t>INHERENTE</t>
        </is>
      </c>
      <c r="F1200" t="inlineStr">
        <is>
          <t>ALQUILER DE MOBILIARIO Y EQUIPO PARA COMERCIOS  SERVICIOS Y OFICINAS</t>
        </is>
      </c>
      <c r="G1200" t="n">
        <v>8519011</v>
      </c>
      <c r="H1200" t="n">
        <v>1</v>
      </c>
      <c r="I1200" t="n">
        <v>1</v>
      </c>
      <c r="J1200" t="n">
        <v>8</v>
      </c>
      <c r="K1200" t="n">
        <v>8</v>
      </c>
      <c r="L1200" t="n">
        <v>8</v>
      </c>
      <c r="M1200" t="n">
        <v>8</v>
      </c>
      <c r="N1200" t="n">
        <v>8</v>
      </c>
      <c r="O1200" t="n">
        <v>40</v>
      </c>
      <c r="P1200" t="n">
        <v>8</v>
      </c>
      <c r="R1200" s="9" t="n">
        <v>0.08</v>
      </c>
      <c r="S1200" s="10" t="inlineStr">
        <is>
          <t>SÍ — integrante</t>
        </is>
      </c>
      <c r="T1200" s="11" t="inlineStr">
        <is>
          <t>B · INTEGRANTE</t>
        </is>
      </c>
      <c r="U1200" s="11" t="inlineStr">
        <is>
          <t>DEL BANCO (se hereda)</t>
        </is>
      </c>
      <c r="V1200" s="11" t="inlineStr">
        <is>
          <t>9113 · COMERCIO GENERAL</t>
        </is>
      </c>
      <c r="W1200" s="12" t="n"/>
      <c r="X1200" s="12" t="n"/>
    </row>
    <row r="1201" ht="15" customHeight="1">
      <c r="C1201" t="inlineStr">
        <is>
          <t>Actividad económica / giro mercantil</t>
        </is>
      </c>
      <c r="D1201" t="inlineStr">
        <is>
          <t>F12</t>
        </is>
      </c>
      <c r="E1201" t="inlineStr">
        <is>
          <t>INHERENTE</t>
        </is>
      </c>
      <c r="F1201" t="inlineStr">
        <is>
          <t>SALON DE FIESTAS</t>
        </is>
      </c>
      <c r="G1201" t="n">
        <v>8521016</v>
      </c>
      <c r="H1201" t="n">
        <v>3</v>
      </c>
      <c r="I1201" t="n">
        <v>3</v>
      </c>
      <c r="J1201" t="n">
        <v>8</v>
      </c>
      <c r="K1201" t="n">
        <v>24</v>
      </c>
      <c r="L1201" t="n">
        <v>24</v>
      </c>
      <c r="M1201" t="n">
        <v>24</v>
      </c>
      <c r="N1201" t="n">
        <v>24</v>
      </c>
      <c r="O1201" t="n">
        <v>40</v>
      </c>
      <c r="P1201" t="n">
        <v>8</v>
      </c>
      <c r="R1201" s="9" t="n">
        <v>0.08</v>
      </c>
      <c r="S1201" s="10" t="inlineStr">
        <is>
          <t>SÍ — integrante</t>
        </is>
      </c>
      <c r="T1201" s="11" t="inlineStr">
        <is>
          <t>B · INTEGRANTE</t>
        </is>
      </c>
      <c r="U1201" s="11" t="inlineStr">
        <is>
          <t>DEL BANCO (se hereda)</t>
        </is>
      </c>
      <c r="V1201" s="11" t="inlineStr">
        <is>
          <t>9152 · INDUSTRIA Y MANUFACTURA</t>
        </is>
      </c>
      <c r="W1201" s="12" t="n"/>
      <c r="X1201" s="12" t="n"/>
    </row>
    <row r="1202" ht="15" customHeight="1">
      <c r="C1202" t="inlineStr">
        <is>
          <t>Actividad económica / giro mercantil</t>
        </is>
      </c>
      <c r="D1202" t="inlineStr">
        <is>
          <t>F12</t>
        </is>
      </c>
      <c r="E1202" t="inlineStr">
        <is>
          <t>INHERENTE</t>
        </is>
      </c>
      <c r="F1202" t="inlineStr">
        <is>
          <t>ALQUILER DE SILLAS Y VAJILLAS PARA BANQUETES</t>
        </is>
      </c>
      <c r="G1202" t="n">
        <v>8522014</v>
      </c>
      <c r="H1202" t="n">
        <v>1</v>
      </c>
      <c r="I1202" t="n">
        <v>1</v>
      </c>
      <c r="J1202" t="n">
        <v>8</v>
      </c>
      <c r="K1202" t="n">
        <v>8</v>
      </c>
      <c r="L1202" t="n">
        <v>8</v>
      </c>
      <c r="M1202" t="n">
        <v>8</v>
      </c>
      <c r="N1202" t="n">
        <v>8</v>
      </c>
      <c r="O1202" t="n">
        <v>40</v>
      </c>
      <c r="P1202" t="n">
        <v>8</v>
      </c>
      <c r="R1202" s="9" t="n">
        <v>0.08</v>
      </c>
      <c r="S1202" s="10" t="inlineStr">
        <is>
          <t>SÍ — integrante</t>
        </is>
      </c>
      <c r="T1202" s="11" t="inlineStr">
        <is>
          <t>B · INTEGRANTE</t>
        </is>
      </c>
      <c r="U1202" s="11" t="inlineStr">
        <is>
          <t>DEL BANCO (se hereda)</t>
        </is>
      </c>
      <c r="V1202" s="11" t="inlineStr">
        <is>
          <t>9154 · OTRAS ACTIVIDADES NO CLASIFICADAS</t>
        </is>
      </c>
      <c r="W1202" s="12" t="n"/>
      <c r="X1202" s="12" t="n"/>
    </row>
    <row r="1203" ht="15" customHeight="1">
      <c r="C1203" t="inlineStr">
        <is>
          <t>Actividad económica / giro mercantil</t>
        </is>
      </c>
      <c r="D1203" t="inlineStr">
        <is>
          <t>F12</t>
        </is>
      </c>
      <c r="E1203" t="inlineStr">
        <is>
          <t>INHERENTE</t>
        </is>
      </c>
      <c r="F1203" t="inlineStr">
        <is>
          <t>ALQUILER DE EQUIPOS ELECTRONICOS</t>
        </is>
      </c>
      <c r="G1203" t="n">
        <v>8523012</v>
      </c>
      <c r="H1203" t="n">
        <v>1</v>
      </c>
      <c r="I1203" t="n">
        <v>1</v>
      </c>
      <c r="J1203" t="n">
        <v>8</v>
      </c>
      <c r="K1203" t="n">
        <v>8</v>
      </c>
      <c r="L1203" t="n">
        <v>8</v>
      </c>
      <c r="M1203" t="n">
        <v>8</v>
      </c>
      <c r="N1203" t="n">
        <v>8</v>
      </c>
      <c r="O1203" t="n">
        <v>40</v>
      </c>
      <c r="P1203" t="n">
        <v>8</v>
      </c>
      <c r="R1203" s="9" t="n">
        <v>0.08</v>
      </c>
      <c r="S1203" s="10" t="inlineStr">
        <is>
          <t>SÍ — integrante</t>
        </is>
      </c>
      <c r="T1203" s="11" t="inlineStr">
        <is>
          <t>B · INTEGRANTE</t>
        </is>
      </c>
      <c r="U1203" s="11" t="inlineStr">
        <is>
          <t>DEL BANCO (se hereda)</t>
        </is>
      </c>
      <c r="V1203" s="11" t="inlineStr">
        <is>
          <t>9154 · OTRAS ACTIVIDADES NO CLASIFICADAS</t>
        </is>
      </c>
      <c r="W1203" s="12" t="n"/>
      <c r="X1203" s="12" t="n"/>
    </row>
    <row r="1204" ht="15" customHeight="1">
      <c r="C1204" t="inlineStr">
        <is>
          <t>Actividad económica / giro mercantil</t>
        </is>
      </c>
      <c r="D1204" t="inlineStr">
        <is>
          <t>F12</t>
        </is>
      </c>
      <c r="E1204" t="inlineStr">
        <is>
          <t>INHERENTE</t>
        </is>
      </c>
      <c r="F1204" t="inlineStr">
        <is>
          <t>ALQUILER O RENTA DE AUTOMOVILES SIN CHOFER</t>
        </is>
      </c>
      <c r="G1204" t="n">
        <v>8524010</v>
      </c>
      <c r="H1204" t="n">
        <v>4</v>
      </c>
      <c r="I1204" t="n">
        <v>4</v>
      </c>
      <c r="J1204" t="n">
        <v>8</v>
      </c>
      <c r="K1204" t="n">
        <v>32</v>
      </c>
      <c r="L1204" t="n">
        <v>32</v>
      </c>
      <c r="M1204" t="n">
        <v>32</v>
      </c>
      <c r="N1204" t="n">
        <v>32</v>
      </c>
      <c r="O1204" t="n">
        <v>40</v>
      </c>
      <c r="P1204" t="n">
        <v>8</v>
      </c>
      <c r="R1204" s="9" t="n">
        <v>0.08</v>
      </c>
      <c r="S1204" s="10" t="inlineStr">
        <is>
          <t>SÍ — integrante</t>
        </is>
      </c>
      <c r="T1204" s="11" t="inlineStr">
        <is>
          <t>B · INTEGRANTE</t>
        </is>
      </c>
      <c r="U1204" s="11" t="inlineStr">
        <is>
          <t>DEL BANCO (se hereda)</t>
        </is>
      </c>
      <c r="V1204" s="11" t="inlineStr">
        <is>
          <t>9154 · OTRAS ACTIVIDADES NO CLASIFICADAS</t>
        </is>
      </c>
      <c r="W1204" s="12" t="n"/>
      <c r="X1204" s="12" t="n"/>
    </row>
    <row r="1205" ht="15" customHeight="1">
      <c r="C1205" t="inlineStr">
        <is>
          <t>Actividad económica / giro mercantil</t>
        </is>
      </c>
      <c r="D1205" t="inlineStr">
        <is>
          <t>F12</t>
        </is>
      </c>
      <c r="E1205" t="inlineStr">
        <is>
          <t>INHERENTE</t>
        </is>
      </c>
      <c r="F1205" t="inlineStr">
        <is>
          <t>ALQUILER DE ROPA</t>
        </is>
      </c>
      <c r="G1205" t="n">
        <v>8529010</v>
      </c>
      <c r="H1205" t="n">
        <v>1</v>
      </c>
      <c r="I1205" t="n">
        <v>1</v>
      </c>
      <c r="J1205" t="n">
        <v>8</v>
      </c>
      <c r="K1205" t="n">
        <v>8</v>
      </c>
      <c r="L1205" t="n">
        <v>8</v>
      </c>
      <c r="M1205" t="n">
        <v>8</v>
      </c>
      <c r="N1205" t="n">
        <v>8</v>
      </c>
      <c r="O1205" t="n">
        <v>40</v>
      </c>
      <c r="P1205" t="n">
        <v>8</v>
      </c>
      <c r="R1205" s="9" t="n">
        <v>0.08</v>
      </c>
      <c r="S1205" s="10" t="inlineStr">
        <is>
          <t>SÍ — integrante</t>
        </is>
      </c>
      <c r="T1205" s="11" t="inlineStr">
        <is>
          <t>B · INTEGRANTE</t>
        </is>
      </c>
      <c r="U1205" s="11" t="inlineStr">
        <is>
          <t>DEL BANCO (se hereda)</t>
        </is>
      </c>
      <c r="V1205" s="11" t="inlineStr">
        <is>
          <t>9154 · OTRAS ACTIVIDADES NO CLASIFICADAS</t>
        </is>
      </c>
      <c r="W1205" s="12" t="n"/>
      <c r="X1205" s="12" t="n"/>
    </row>
    <row r="1206" ht="15" customHeight="1">
      <c r="C1206" t="inlineStr">
        <is>
          <t>Actividad económica / giro mercantil</t>
        </is>
      </c>
      <c r="D1206" t="inlineStr">
        <is>
          <t>F12</t>
        </is>
      </c>
      <c r="E1206" t="inlineStr">
        <is>
          <t>INHERENTE</t>
        </is>
      </c>
      <c r="F1206" t="inlineStr">
        <is>
          <t>SERVICIOS DE ALOJAMIENTO TEMPORAL</t>
        </is>
      </c>
      <c r="G1206" t="n">
        <v>8600000</v>
      </c>
      <c r="H1206" t="n">
        <v>2</v>
      </c>
      <c r="I1206" t="n">
        <v>2</v>
      </c>
      <c r="J1206" t="n">
        <v>8</v>
      </c>
      <c r="K1206" t="n">
        <v>16</v>
      </c>
      <c r="L1206" t="n">
        <v>16</v>
      </c>
      <c r="M1206" t="n">
        <v>16</v>
      </c>
      <c r="N1206" t="n">
        <v>16</v>
      </c>
      <c r="O1206" t="n">
        <v>40</v>
      </c>
      <c r="P1206" t="n">
        <v>8</v>
      </c>
      <c r="R1206" s="9" t="n">
        <v>0.08</v>
      </c>
      <c r="S1206" s="10" t="inlineStr">
        <is>
          <t>SÍ — integrante</t>
        </is>
      </c>
      <c r="T1206" s="11" t="inlineStr">
        <is>
          <t>B · INTEGRANTE</t>
        </is>
      </c>
      <c r="U1206" s="11" t="inlineStr">
        <is>
          <t>DEL BANCO (se hereda)</t>
        </is>
      </c>
      <c r="V1206" s="11" t="inlineStr">
        <is>
          <t>9154 · OTRAS ACTIVIDADES NO CLASIFICADAS</t>
        </is>
      </c>
      <c r="W1206" s="12" t="n"/>
      <c r="X1206" s="12" t="n"/>
    </row>
    <row r="1207" ht="15" customHeight="1">
      <c r="C1207" t="inlineStr">
        <is>
          <t>Actividad económica / giro mercantil</t>
        </is>
      </c>
      <c r="D1207" t="inlineStr">
        <is>
          <t>F12</t>
        </is>
      </c>
      <c r="E1207" t="inlineStr">
        <is>
          <t>INHERENTE</t>
        </is>
      </c>
      <c r="F1207" t="inlineStr">
        <is>
          <t>HOTEL</t>
        </is>
      </c>
      <c r="G1207" t="n">
        <v>8611015</v>
      </c>
      <c r="H1207" t="n">
        <v>4</v>
      </c>
      <c r="I1207" t="n">
        <v>4</v>
      </c>
      <c r="J1207" t="n">
        <v>8</v>
      </c>
      <c r="K1207" t="n">
        <v>32</v>
      </c>
      <c r="L1207" t="n">
        <v>32</v>
      </c>
      <c r="M1207" t="n">
        <v>32</v>
      </c>
      <c r="N1207" t="n">
        <v>32</v>
      </c>
      <c r="O1207" t="n">
        <v>40</v>
      </c>
      <c r="P1207" t="n">
        <v>8</v>
      </c>
      <c r="R1207" s="9" t="n">
        <v>0.08</v>
      </c>
      <c r="S1207" s="10" t="inlineStr">
        <is>
          <t>SÍ — integrante</t>
        </is>
      </c>
      <c r="T1207" s="11" t="inlineStr">
        <is>
          <t>B · INTEGRANTE</t>
        </is>
      </c>
      <c r="U1207" s="11" t="inlineStr">
        <is>
          <t>DEL BANCO (se hereda)</t>
        </is>
      </c>
      <c r="V1207" s="11" t="inlineStr">
        <is>
          <t>9120 · EFECTIVO INTENSIVO</t>
        </is>
      </c>
      <c r="W1207" s="12" t="n"/>
      <c r="X1207" s="12" t="n"/>
    </row>
    <row r="1208" ht="15" customHeight="1">
      <c r="C1208" t="inlineStr">
        <is>
          <t>Actividad económica / giro mercantil</t>
        </is>
      </c>
      <c r="D1208" t="inlineStr">
        <is>
          <t>F12</t>
        </is>
      </c>
      <c r="E1208" t="inlineStr">
        <is>
          <t>INHERENTE</t>
        </is>
      </c>
      <c r="F1208" t="inlineStr">
        <is>
          <t>SERVICIOS DE ALOJAMIENTO EN MOTELES</t>
        </is>
      </c>
      <c r="G1208" t="n">
        <v>8612013</v>
      </c>
      <c r="H1208" t="n">
        <v>2</v>
      </c>
      <c r="I1208" t="n">
        <v>2</v>
      </c>
      <c r="J1208" t="n">
        <v>8</v>
      </c>
      <c r="K1208" t="n">
        <v>16</v>
      </c>
      <c r="L1208" t="n">
        <v>16</v>
      </c>
      <c r="M1208" t="n">
        <v>16</v>
      </c>
      <c r="N1208" t="n">
        <v>16</v>
      </c>
      <c r="O1208" t="n">
        <v>40</v>
      </c>
      <c r="P1208" t="n">
        <v>8</v>
      </c>
      <c r="R1208" s="9" t="n">
        <v>0.08</v>
      </c>
      <c r="S1208" s="10" t="inlineStr">
        <is>
          <t>SÍ — integrante</t>
        </is>
      </c>
      <c r="T1208" s="11" t="inlineStr">
        <is>
          <t>B · INTEGRANTE</t>
        </is>
      </c>
      <c r="U1208" s="11" t="inlineStr">
        <is>
          <t>DEL BANCO (se hereda)</t>
        </is>
      </c>
      <c r="V1208" s="11" t="inlineStr">
        <is>
          <t>9120 · EFECTIVO INTENSIVO</t>
        </is>
      </c>
      <c r="W1208" s="12" t="n"/>
      <c r="X1208" s="12" t="n"/>
    </row>
    <row r="1209" ht="15" customHeight="1">
      <c r="C1209" t="inlineStr">
        <is>
          <t>Actividad económica / giro mercantil</t>
        </is>
      </c>
      <c r="D1209" t="inlineStr">
        <is>
          <t>F12</t>
        </is>
      </c>
      <c r="E1209" t="inlineStr">
        <is>
          <t>INHERENTE</t>
        </is>
      </c>
      <c r="F1209" t="inlineStr">
        <is>
          <t>CAMPOS DE TURISMO</t>
        </is>
      </c>
      <c r="G1209" t="n">
        <v>8613011</v>
      </c>
      <c r="H1209" t="n">
        <v>1</v>
      </c>
      <c r="I1209" t="n">
        <v>1</v>
      </c>
      <c r="J1209" t="n">
        <v>8</v>
      </c>
      <c r="K1209" t="n">
        <v>8</v>
      </c>
      <c r="L1209" t="n">
        <v>8</v>
      </c>
      <c r="M1209" t="n">
        <v>8</v>
      </c>
      <c r="N1209" t="n">
        <v>8</v>
      </c>
      <c r="O1209" t="n">
        <v>40</v>
      </c>
      <c r="P1209" t="n">
        <v>8</v>
      </c>
      <c r="R1209" s="9" t="n">
        <v>0.08</v>
      </c>
      <c r="S1209" s="10" t="inlineStr">
        <is>
          <t>SÍ — integrante</t>
        </is>
      </c>
      <c r="T1209" s="11" t="inlineStr">
        <is>
          <t>B · INTEGRANTE</t>
        </is>
      </c>
      <c r="U1209" s="11" t="inlineStr">
        <is>
          <t>DEL BANCO (se hereda)</t>
        </is>
      </c>
      <c r="V1209" s="11" t="inlineStr">
        <is>
          <t>9154 · OTRAS ACTIVIDADES NO CLASIFICADAS</t>
        </is>
      </c>
      <c r="W1209" s="12" t="n"/>
      <c r="X1209" s="12" t="n"/>
    </row>
    <row r="1210" ht="15" customHeight="1">
      <c r="C1210" t="inlineStr">
        <is>
          <t>Actividad económica / giro mercantil</t>
        </is>
      </c>
      <c r="D1210" t="inlineStr">
        <is>
          <t>F12</t>
        </is>
      </c>
      <c r="E1210" t="inlineStr">
        <is>
          <t>INHERENTE</t>
        </is>
      </c>
      <c r="F1210" t="inlineStr">
        <is>
          <t>CASA DE HUESPEDES</t>
        </is>
      </c>
      <c r="G1210" t="n">
        <v>8619019</v>
      </c>
      <c r="H1210" t="n">
        <v>2</v>
      </c>
      <c r="I1210" t="n">
        <v>2</v>
      </c>
      <c r="J1210" t="n">
        <v>8</v>
      </c>
      <c r="K1210" t="n">
        <v>16</v>
      </c>
      <c r="L1210" t="n">
        <v>16</v>
      </c>
      <c r="M1210" t="n">
        <v>16</v>
      </c>
      <c r="N1210" t="n">
        <v>16</v>
      </c>
      <c r="O1210" t="n">
        <v>40</v>
      </c>
      <c r="P1210" t="n">
        <v>8</v>
      </c>
      <c r="R1210" s="9" t="n">
        <v>0.08</v>
      </c>
      <c r="S1210" s="10" t="inlineStr">
        <is>
          <t>SÍ — integrante</t>
        </is>
      </c>
      <c r="T1210" s="11" t="inlineStr">
        <is>
          <t>B · INTEGRANTE</t>
        </is>
      </c>
      <c r="U1210" s="11" t="inlineStr">
        <is>
          <t>DEL BANCO (se hereda)</t>
        </is>
      </c>
      <c r="V1210" s="11" t="inlineStr">
        <is>
          <t>9154 · OTRAS ACTIVIDADES NO CLASIFICADAS</t>
        </is>
      </c>
      <c r="W1210" s="12" t="n"/>
      <c r="X1210" s="12" t="n"/>
    </row>
    <row r="1211" ht="15" customHeight="1">
      <c r="C1211" t="inlineStr">
        <is>
          <t>Actividad económica / giro mercantil</t>
        </is>
      </c>
      <c r="D1211" t="inlineStr">
        <is>
          <t>F12</t>
        </is>
      </c>
      <c r="E1211" t="inlineStr">
        <is>
          <t>INHERENTE</t>
        </is>
      </c>
      <c r="F1211" t="inlineStr">
        <is>
          <t>PREPARACIÓN Y SERVICIO DE ALIMENTOS Y BEBIDAS</t>
        </is>
      </c>
      <c r="G1211" t="n">
        <v>8700008</v>
      </c>
      <c r="H1211" t="n">
        <v>2</v>
      </c>
      <c r="I1211" t="n">
        <v>2</v>
      </c>
      <c r="J1211" t="n">
        <v>8</v>
      </c>
      <c r="K1211" t="n">
        <v>16</v>
      </c>
      <c r="L1211" t="n">
        <v>16</v>
      </c>
      <c r="M1211" t="n">
        <v>16</v>
      </c>
      <c r="N1211" t="n">
        <v>16</v>
      </c>
      <c r="O1211" t="n">
        <v>40</v>
      </c>
      <c r="P1211" t="n">
        <v>8</v>
      </c>
      <c r="R1211" s="9" t="n">
        <v>0.08</v>
      </c>
      <c r="S1211" s="10" t="inlineStr">
        <is>
          <t>SÍ — integrante</t>
        </is>
      </c>
      <c r="T1211" s="11" t="inlineStr">
        <is>
          <t>B · INTEGRANTE</t>
        </is>
      </c>
      <c r="U1211" s="11" t="inlineStr">
        <is>
          <t>DEL BANCO (se hereda)</t>
        </is>
      </c>
      <c r="V1211" s="11" t="inlineStr">
        <is>
          <t>9154 · OTRAS ACTIVIDADES NO CLASIFICADAS</t>
        </is>
      </c>
      <c r="W1211" s="12" t="n"/>
      <c r="X1211" s="12" t="n"/>
    </row>
    <row r="1212" ht="15" customHeight="1">
      <c r="C1212" t="inlineStr">
        <is>
          <t>Actividad económica / giro mercantil</t>
        </is>
      </c>
      <c r="D1212" t="inlineStr">
        <is>
          <t>F12</t>
        </is>
      </c>
      <c r="E1212" t="inlineStr">
        <is>
          <t>INHERENTE</t>
        </is>
      </c>
      <c r="F1212" t="inlineStr">
        <is>
          <t>CAFETERIA</t>
        </is>
      </c>
      <c r="G1212" t="n">
        <v>8711013</v>
      </c>
      <c r="H1212" t="n">
        <v>2</v>
      </c>
      <c r="I1212" t="n">
        <v>2</v>
      </c>
      <c r="J1212" t="n">
        <v>8</v>
      </c>
      <c r="K1212" t="n">
        <v>16</v>
      </c>
      <c r="L1212" t="n">
        <v>16</v>
      </c>
      <c r="M1212" t="n">
        <v>16</v>
      </c>
      <c r="N1212" t="n">
        <v>16</v>
      </c>
      <c r="O1212" t="n">
        <v>40</v>
      </c>
      <c r="P1212" t="n">
        <v>8</v>
      </c>
      <c r="R1212" s="9" t="n">
        <v>0.08</v>
      </c>
      <c r="S1212" s="10" t="inlineStr">
        <is>
          <t>SÍ — integrante</t>
        </is>
      </c>
      <c r="T1212" s="11" t="inlineStr">
        <is>
          <t>B · INTEGRANTE</t>
        </is>
      </c>
      <c r="U1212" s="11" t="inlineStr">
        <is>
          <t>DEL BANCO (se hereda)</t>
        </is>
      </c>
      <c r="V1212" s="11" t="inlineStr">
        <is>
          <t>9120 · EFECTIVO INTENSIVO</t>
        </is>
      </c>
      <c r="W1212" s="12" t="n"/>
      <c r="X1212" s="12" t="n"/>
    </row>
    <row r="1213" ht="15" customHeight="1">
      <c r="C1213" t="inlineStr">
        <is>
          <t>Actividad económica / giro mercantil</t>
        </is>
      </c>
      <c r="D1213" t="inlineStr">
        <is>
          <t>F12</t>
        </is>
      </c>
      <c r="E1213" t="inlineStr">
        <is>
          <t>INHERENTE</t>
        </is>
      </c>
      <c r="F1213" t="inlineStr">
        <is>
          <t>RESTAURANTE</t>
        </is>
      </c>
      <c r="G1213" t="n">
        <v>8711021</v>
      </c>
      <c r="H1213" t="n">
        <v>4</v>
      </c>
      <c r="I1213" t="n">
        <v>4</v>
      </c>
      <c r="J1213" t="n">
        <v>8</v>
      </c>
      <c r="K1213" t="n">
        <v>32</v>
      </c>
      <c r="L1213" t="n">
        <v>32</v>
      </c>
      <c r="M1213" t="n">
        <v>32</v>
      </c>
      <c r="N1213" t="n">
        <v>32</v>
      </c>
      <c r="O1213" t="n">
        <v>40</v>
      </c>
      <c r="P1213" t="n">
        <v>8</v>
      </c>
      <c r="R1213" s="9" t="n">
        <v>0.08</v>
      </c>
      <c r="S1213" s="10" t="inlineStr">
        <is>
          <t>SÍ — integrante</t>
        </is>
      </c>
      <c r="T1213" s="11" t="inlineStr">
        <is>
          <t>B · INTEGRANTE</t>
        </is>
      </c>
      <c r="U1213" s="11" t="inlineStr">
        <is>
          <t>DEL BANCO (se hereda)</t>
        </is>
      </c>
      <c r="V1213" s="11" t="inlineStr">
        <is>
          <t>9120 · EFECTIVO INTENSIVO</t>
        </is>
      </c>
      <c r="W1213" s="12" t="n"/>
      <c r="X1213" s="12" t="n"/>
    </row>
    <row r="1214" ht="15" customHeight="1">
      <c r="C1214" t="inlineStr">
        <is>
          <t>Actividad económica / giro mercantil</t>
        </is>
      </c>
      <c r="D1214" t="inlineStr">
        <is>
          <t>F12</t>
        </is>
      </c>
      <c r="E1214" t="inlineStr">
        <is>
          <t>INHERENTE</t>
        </is>
      </c>
      <c r="F1214" t="inlineStr">
        <is>
          <t>SERVICIOS DE ALIMENTOS EN LENCERIAS TAQUERIAS Y TORTERIAS</t>
        </is>
      </c>
      <c r="G1214" t="n">
        <v>8712011</v>
      </c>
      <c r="H1214" t="n">
        <v>1</v>
      </c>
      <c r="I1214" t="n">
        <v>1</v>
      </c>
      <c r="J1214" t="n">
        <v>8</v>
      </c>
      <c r="K1214" t="n">
        <v>8</v>
      </c>
      <c r="L1214" t="n">
        <v>8</v>
      </c>
      <c r="M1214" t="n">
        <v>8</v>
      </c>
      <c r="N1214" t="n">
        <v>8</v>
      </c>
      <c r="O1214" t="n">
        <v>40</v>
      </c>
      <c r="P1214" t="n">
        <v>8</v>
      </c>
      <c r="R1214" s="9" t="n">
        <v>0.08</v>
      </c>
      <c r="S1214" s="10" t="inlineStr">
        <is>
          <t>SÍ — integrante</t>
        </is>
      </c>
      <c r="T1214" s="11" t="inlineStr">
        <is>
          <t>B · INTEGRANTE</t>
        </is>
      </c>
      <c r="U1214" s="11" t="inlineStr">
        <is>
          <t>DEL BANCO (se hereda)</t>
        </is>
      </c>
      <c r="V1214" s="11" t="inlineStr">
        <is>
          <t>9120 · EFECTIVO INTENSIVO</t>
        </is>
      </c>
      <c r="W1214" s="12" t="n"/>
      <c r="X1214" s="12" t="n"/>
    </row>
    <row r="1215" ht="15" customHeight="1">
      <c r="C1215" t="inlineStr">
        <is>
          <t>Actividad económica / giro mercantil</t>
        </is>
      </c>
      <c r="D1215" t="inlineStr">
        <is>
          <t>F12</t>
        </is>
      </c>
      <c r="E1215" t="inlineStr">
        <is>
          <t>INHERENTE</t>
        </is>
      </c>
      <c r="F1215" t="inlineStr">
        <is>
          <t>SERVICIOS EN OSTIONERIAS Y PREPARACION DE OTROS MARISCOS Y PESCADOS</t>
        </is>
      </c>
      <c r="G1215" t="n">
        <v>8713019</v>
      </c>
      <c r="H1215" t="n">
        <v>1</v>
      </c>
      <c r="I1215" t="n">
        <v>1</v>
      </c>
      <c r="J1215" t="n">
        <v>8</v>
      </c>
      <c r="K1215" t="n">
        <v>8</v>
      </c>
      <c r="L1215" t="n">
        <v>8</v>
      </c>
      <c r="M1215" t="n">
        <v>8</v>
      </c>
      <c r="N1215" t="n">
        <v>8</v>
      </c>
      <c r="O1215" t="n">
        <v>40</v>
      </c>
      <c r="P1215" t="n">
        <v>8</v>
      </c>
      <c r="R1215" s="9" t="n">
        <v>0.08</v>
      </c>
      <c r="S1215" s="10" t="inlineStr">
        <is>
          <t>SÍ — integrante</t>
        </is>
      </c>
      <c r="T1215" s="11" t="inlineStr">
        <is>
          <t>B · INTEGRANTE</t>
        </is>
      </c>
      <c r="U1215" s="11" t="inlineStr">
        <is>
          <t>DEL BANCO (se hereda)</t>
        </is>
      </c>
      <c r="V1215" s="11" t="inlineStr">
        <is>
          <t>9151 · SECTOR PRIMARIO (agropecuario, pesca, forestal, minería)</t>
        </is>
      </c>
      <c r="W1215" s="12" t="n"/>
      <c r="X1215" s="12" t="n"/>
    </row>
    <row r="1216" ht="15" customHeight="1">
      <c r="C1216" t="inlineStr">
        <is>
          <t>Actividad económica / giro mercantil</t>
        </is>
      </c>
      <c r="D1216" t="inlineStr">
        <is>
          <t>F12</t>
        </is>
      </c>
      <c r="E1216" t="inlineStr">
        <is>
          <t>INHERENTE</t>
        </is>
      </c>
      <c r="F1216" t="inlineStr">
        <is>
          <t>NEVERIA Y REFRESQUERIA</t>
        </is>
      </c>
      <c r="G1216" t="n">
        <v>8714017</v>
      </c>
      <c r="H1216" t="n">
        <v>1</v>
      </c>
      <c r="I1216" t="n">
        <v>1</v>
      </c>
      <c r="J1216" t="n">
        <v>8</v>
      </c>
      <c r="K1216" t="n">
        <v>8</v>
      </c>
      <c r="L1216" t="n">
        <v>8</v>
      </c>
      <c r="M1216" t="n">
        <v>8</v>
      </c>
      <c r="N1216" t="n">
        <v>8</v>
      </c>
      <c r="O1216" t="n">
        <v>40</v>
      </c>
      <c r="P1216" t="n">
        <v>8</v>
      </c>
      <c r="R1216" s="9" t="n">
        <v>0.08</v>
      </c>
      <c r="S1216" s="10" t="inlineStr">
        <is>
          <t>SÍ — integrante</t>
        </is>
      </c>
      <c r="T1216" s="11" t="inlineStr">
        <is>
          <t>B · INTEGRANTE</t>
        </is>
      </c>
      <c r="U1216" s="11" t="inlineStr">
        <is>
          <t>DEL BANCO (se hereda)</t>
        </is>
      </c>
      <c r="V1216" s="11" t="inlineStr">
        <is>
          <t>9154 · OTRAS ACTIVIDADES NO CLASIFICADAS</t>
        </is>
      </c>
      <c r="W1216" s="12" t="n"/>
      <c r="X1216" s="12" t="n"/>
    </row>
    <row r="1217" ht="15" customHeight="1">
      <c r="C1217" t="inlineStr">
        <is>
          <t>Actividad económica / giro mercantil</t>
        </is>
      </c>
      <c r="D1217" t="inlineStr">
        <is>
          <t>F12</t>
        </is>
      </c>
      <c r="E1217" t="inlineStr">
        <is>
          <t>INHERENTE</t>
        </is>
      </c>
      <c r="F1217" t="inlineStr">
        <is>
          <t>SERVICIOS EN MERENDEROS CENADURIAS Y PREPARACION DE ANTOJITOS Y PLATILLOS REGIONALES</t>
        </is>
      </c>
      <c r="G1217" t="n">
        <v>8719017</v>
      </c>
      <c r="H1217" t="n">
        <v>1</v>
      </c>
      <c r="I1217" t="n">
        <v>1</v>
      </c>
      <c r="J1217" t="n">
        <v>8</v>
      </c>
      <c r="K1217" t="n">
        <v>8</v>
      </c>
      <c r="L1217" t="n">
        <v>8</v>
      </c>
      <c r="M1217" t="n">
        <v>8</v>
      </c>
      <c r="N1217" t="n">
        <v>8</v>
      </c>
      <c r="O1217" t="n">
        <v>40</v>
      </c>
      <c r="P1217" t="n">
        <v>8</v>
      </c>
      <c r="R1217" s="9" t="n">
        <v>0.08</v>
      </c>
      <c r="S1217" s="10" t="inlineStr">
        <is>
          <t>SÍ — integrante</t>
        </is>
      </c>
      <c r="T1217" s="11" t="inlineStr">
        <is>
          <t>B · INTEGRANTE</t>
        </is>
      </c>
      <c r="U1217" s="11" t="inlineStr">
        <is>
          <t>DEL BANCO (se hereda)</t>
        </is>
      </c>
      <c r="V1217" s="11" t="inlineStr">
        <is>
          <t>9154 · OTRAS ACTIVIDADES NO CLASIFICADAS</t>
        </is>
      </c>
      <c r="W1217" s="12" t="n"/>
      <c r="X1217" s="12" t="n"/>
    </row>
    <row r="1218" ht="15" customHeight="1">
      <c r="C1218" t="inlineStr">
        <is>
          <t>Actividad económica / giro mercantil</t>
        </is>
      </c>
      <c r="D1218" t="inlineStr">
        <is>
          <t>F12</t>
        </is>
      </c>
      <c r="E1218" t="inlineStr">
        <is>
          <t>INHERENTE</t>
        </is>
      </c>
      <c r="F1218" t="inlineStr">
        <is>
          <t>BARES Y CANTINAS</t>
        </is>
      </c>
      <c r="G1218" t="n">
        <v>8721012</v>
      </c>
      <c r="H1218" t="n">
        <v>5</v>
      </c>
      <c r="I1218" t="n">
        <v>5</v>
      </c>
      <c r="J1218" t="n">
        <v>8</v>
      </c>
      <c r="K1218" t="n">
        <v>40</v>
      </c>
      <c r="L1218" t="n">
        <v>40</v>
      </c>
      <c r="M1218" t="n">
        <v>40</v>
      </c>
      <c r="N1218" t="n">
        <v>40</v>
      </c>
      <c r="O1218" t="n">
        <v>40</v>
      </c>
      <c r="P1218" t="n">
        <v>8</v>
      </c>
      <c r="Q1218" t="inlineStr">
        <is>
          <t>DETERMINANTE</t>
        </is>
      </c>
      <c r="R1218" s="9" t="n">
        <v>0.08</v>
      </c>
      <c r="S1218" s="10" t="inlineStr">
        <is>
          <t>SÍ — integrante</t>
        </is>
      </c>
      <c r="T1218" s="11" t="inlineStr">
        <is>
          <t>B · INTEGRANTE</t>
        </is>
      </c>
      <c r="U1218" s="11" t="inlineStr">
        <is>
          <t>DEL BANCO (se hereda)</t>
        </is>
      </c>
      <c r="V1218" s="11" t="inlineStr">
        <is>
          <t>9120 · EFECTIVO INTENSIVO</t>
        </is>
      </c>
      <c r="W1218" s="12" t="n"/>
      <c r="X1218" s="12" t="n"/>
    </row>
    <row r="1219" ht="15" customHeight="1">
      <c r="C1219" t="inlineStr">
        <is>
          <t>Actividad económica / giro mercantil</t>
        </is>
      </c>
      <c r="D1219" t="inlineStr">
        <is>
          <t>F12</t>
        </is>
      </c>
      <c r="E1219" t="inlineStr">
        <is>
          <t>INHERENTE</t>
        </is>
      </c>
      <c r="F1219" t="inlineStr">
        <is>
          <t>CERVECERIA</t>
        </is>
      </c>
      <c r="G1219" t="n">
        <v>8722010</v>
      </c>
      <c r="H1219" t="n">
        <v>2</v>
      </c>
      <c r="I1219" t="n">
        <v>2</v>
      </c>
      <c r="J1219" t="n">
        <v>8</v>
      </c>
      <c r="K1219" t="n">
        <v>16</v>
      </c>
      <c r="L1219" t="n">
        <v>16</v>
      </c>
      <c r="M1219" t="n">
        <v>16</v>
      </c>
      <c r="N1219" t="n">
        <v>16</v>
      </c>
      <c r="O1219" t="n">
        <v>40</v>
      </c>
      <c r="P1219" t="n">
        <v>8</v>
      </c>
      <c r="R1219" s="9" t="n">
        <v>0.08</v>
      </c>
      <c r="S1219" s="10" t="inlineStr">
        <is>
          <t>SÍ — integrante</t>
        </is>
      </c>
      <c r="T1219" s="11" t="inlineStr">
        <is>
          <t>B · INTEGRANTE</t>
        </is>
      </c>
      <c r="U1219" s="11" t="inlineStr">
        <is>
          <t>DEL BANCO (se hereda)</t>
        </is>
      </c>
      <c r="V1219" s="11" t="inlineStr">
        <is>
          <t>9120 · EFECTIVO INTENSIVO</t>
        </is>
      </c>
      <c r="W1219" s="12" t="n"/>
      <c r="X1219" s="12" t="n"/>
    </row>
    <row r="1220" ht="15" customHeight="1">
      <c r="C1220" t="inlineStr">
        <is>
          <t>Actividad económica / giro mercantil</t>
        </is>
      </c>
      <c r="D1220" t="inlineStr">
        <is>
          <t>F12</t>
        </is>
      </c>
      <c r="E1220" t="inlineStr">
        <is>
          <t>INHERENTE</t>
        </is>
      </c>
      <c r="F1220" t="inlineStr">
        <is>
          <t>SERVICIOS EN PULQUERIAS</t>
        </is>
      </c>
      <c r="G1220" t="n">
        <v>8723018</v>
      </c>
      <c r="H1220" t="n">
        <v>1</v>
      </c>
      <c r="I1220" t="n">
        <v>1</v>
      </c>
      <c r="J1220" t="n">
        <v>8</v>
      </c>
      <c r="K1220" t="n">
        <v>8</v>
      </c>
      <c r="L1220" t="n">
        <v>8</v>
      </c>
      <c r="M1220" t="n">
        <v>8</v>
      </c>
      <c r="N1220" t="n">
        <v>8</v>
      </c>
      <c r="O1220" t="n">
        <v>40</v>
      </c>
      <c r="P1220" t="n">
        <v>8</v>
      </c>
      <c r="R1220" s="9" t="n">
        <v>0.08</v>
      </c>
      <c r="S1220" s="10" t="inlineStr">
        <is>
          <t>SÍ — integrante</t>
        </is>
      </c>
      <c r="T1220" s="11" t="inlineStr">
        <is>
          <t>B · INTEGRANTE</t>
        </is>
      </c>
      <c r="U1220" s="11" t="inlineStr">
        <is>
          <t>DEL BANCO (se hereda)</t>
        </is>
      </c>
      <c r="V1220" s="11" t="inlineStr">
        <is>
          <t>9154 · OTRAS ACTIVIDADES NO CLASIFICADAS</t>
        </is>
      </c>
      <c r="W1220" s="12" t="n"/>
      <c r="X1220" s="12" t="n"/>
    </row>
    <row r="1221" ht="15" customHeight="1">
      <c r="C1221" t="inlineStr">
        <is>
          <t>Actividad económica / giro mercantil</t>
        </is>
      </c>
      <c r="D1221" t="inlineStr">
        <is>
          <t>F12</t>
        </is>
      </c>
      <c r="E1221" t="inlineStr">
        <is>
          <t>INHERENTE</t>
        </is>
      </c>
      <c r="F1221" t="inlineStr">
        <is>
          <t>USUARIOS MENORES TURISMO</t>
        </is>
      </c>
      <c r="G1221" t="n">
        <v>8723026</v>
      </c>
      <c r="H1221" t="n">
        <v>1</v>
      </c>
      <c r="I1221" t="n">
        <v>1</v>
      </c>
      <c r="J1221" t="n">
        <v>8</v>
      </c>
      <c r="K1221" t="n">
        <v>8</v>
      </c>
      <c r="L1221" t="n">
        <v>8</v>
      </c>
      <c r="M1221" t="n">
        <v>8</v>
      </c>
      <c r="N1221" t="n">
        <v>8</v>
      </c>
      <c r="O1221" t="n">
        <v>40</v>
      </c>
      <c r="P1221" t="n">
        <v>8</v>
      </c>
      <c r="R1221" s="9" t="n">
        <v>0.08</v>
      </c>
      <c r="S1221" s="10" t="inlineStr">
        <is>
          <t>SÍ — integrante</t>
        </is>
      </c>
      <c r="T1221" s="11" t="inlineStr">
        <is>
          <t>B · INTEGRANTE</t>
        </is>
      </c>
      <c r="U1221" s="11" t="inlineStr">
        <is>
          <t>DEL BANCO (se hereda)</t>
        </is>
      </c>
      <c r="V1221" s="11" t="inlineStr">
        <is>
          <t>9154 · OTRAS ACTIVIDADES NO CLASIFICADAS</t>
        </is>
      </c>
      <c r="W1221" s="12" t="n"/>
      <c r="X1221" s="12" t="n"/>
    </row>
    <row r="1222" ht="15" customHeight="1">
      <c r="C1222" t="inlineStr">
        <is>
          <t>Actividad económica / giro mercantil</t>
        </is>
      </c>
      <c r="D1222" t="inlineStr">
        <is>
          <t>F12</t>
        </is>
      </c>
      <c r="E1222" t="inlineStr">
        <is>
          <t>INHERENTE</t>
        </is>
      </c>
      <c r="F1222" t="inlineStr">
        <is>
          <t>HIPÓDROMO</t>
        </is>
      </c>
      <c r="G1222" t="n">
        <v>8800001</v>
      </c>
      <c r="H1222" t="n">
        <v>5</v>
      </c>
      <c r="I1222" t="n">
        <v>5</v>
      </c>
      <c r="J1222" t="n">
        <v>8</v>
      </c>
      <c r="K1222" t="n">
        <v>40</v>
      </c>
      <c r="L1222" t="n">
        <v>40</v>
      </c>
      <c r="M1222" t="n">
        <v>40</v>
      </c>
      <c r="N1222" t="n">
        <v>40</v>
      </c>
      <c r="O1222" t="n">
        <v>40</v>
      </c>
      <c r="P1222" t="n">
        <v>8</v>
      </c>
      <c r="Q1222" t="inlineStr">
        <is>
          <t>DETERMINANTE</t>
        </is>
      </c>
      <c r="R1222" s="9" t="n">
        <v>0.08</v>
      </c>
      <c r="S1222" s="10" t="inlineStr">
        <is>
          <t>SÍ — integrante</t>
        </is>
      </c>
      <c r="T1222" s="11" t="inlineStr">
        <is>
          <t>B · INTEGRANTE</t>
        </is>
      </c>
      <c r="U1222" s="11" t="inlineStr">
        <is>
          <t>DEL BANCO (se hereda)</t>
        </is>
      </c>
      <c r="V1222" s="11" t="inlineStr">
        <is>
          <t>9120 · EFECTIVO INTENSIVO</t>
        </is>
      </c>
      <c r="W1222" s="12" t="n"/>
      <c r="X1222" s="12" t="n"/>
    </row>
    <row r="1223" ht="15" customHeight="1">
      <c r="C1223" t="inlineStr">
        <is>
          <t>Actividad económica / giro mercantil</t>
        </is>
      </c>
      <c r="D1223" t="inlineStr">
        <is>
          <t>F12</t>
        </is>
      </c>
      <c r="E1223" t="inlineStr">
        <is>
          <t>INHERENTE</t>
        </is>
      </c>
      <c r="F1223" t="inlineStr">
        <is>
          <t>JUEGOS DE FERIA Y APUESTAS</t>
        </is>
      </c>
      <c r="G1223" t="n">
        <v>8800002</v>
      </c>
      <c r="H1223" t="n">
        <v>4</v>
      </c>
      <c r="I1223" t="n">
        <v>4</v>
      </c>
      <c r="J1223" t="n">
        <v>8</v>
      </c>
      <c r="K1223" t="n">
        <v>32</v>
      </c>
      <c r="L1223" t="n">
        <v>32</v>
      </c>
      <c r="M1223" t="n">
        <v>32</v>
      </c>
      <c r="N1223" t="n">
        <v>32</v>
      </c>
      <c r="O1223" t="n">
        <v>40</v>
      </c>
      <c r="P1223" t="n">
        <v>8</v>
      </c>
      <c r="R1223" s="9" t="n">
        <v>0.08</v>
      </c>
      <c r="S1223" s="10" t="inlineStr">
        <is>
          <t>SÍ — integrante</t>
        </is>
      </c>
      <c r="T1223" s="11" t="inlineStr">
        <is>
          <t>B · INTEGRANTE</t>
        </is>
      </c>
      <c r="U1223" s="11" t="inlineStr">
        <is>
          <t>DEL BANCO (se hereda)</t>
        </is>
      </c>
      <c r="V1223" s="11" t="inlineStr">
        <is>
          <t>9120 · EFECTIVO INTENSIVO</t>
        </is>
      </c>
      <c r="W1223" s="12" t="n"/>
      <c r="X1223" s="12" t="n"/>
    </row>
    <row r="1224" ht="15" customHeight="1">
      <c r="C1224" t="inlineStr">
        <is>
          <t>Actividad económica / giro mercantil</t>
        </is>
      </c>
      <c r="D1224" t="inlineStr">
        <is>
          <t>F12</t>
        </is>
      </c>
      <c r="E1224" t="inlineStr">
        <is>
          <t>INHERENTE</t>
        </is>
      </c>
      <c r="F1224" t="inlineStr">
        <is>
          <t>AGENCIAS DE RIFAS Y SORTEOS (QUINIELAS Y LOTERÍA)</t>
        </is>
      </c>
      <c r="G1224" t="n">
        <v>8800003</v>
      </c>
      <c r="H1224" t="n">
        <v>5</v>
      </c>
      <c r="I1224" t="n">
        <v>5</v>
      </c>
      <c r="J1224" t="n">
        <v>8</v>
      </c>
      <c r="K1224" t="n">
        <v>40</v>
      </c>
      <c r="L1224" t="n">
        <v>40</v>
      </c>
      <c r="M1224" t="n">
        <v>40</v>
      </c>
      <c r="N1224" t="n">
        <v>40</v>
      </c>
      <c r="O1224" t="n">
        <v>40</v>
      </c>
      <c r="P1224" t="n">
        <v>8</v>
      </c>
      <c r="Q1224" t="inlineStr">
        <is>
          <t>DETERMINANTE</t>
        </is>
      </c>
      <c r="R1224" s="9" t="n">
        <v>0.08</v>
      </c>
      <c r="S1224" s="10" t="inlineStr">
        <is>
          <t>SÍ — integrante</t>
        </is>
      </c>
      <c r="T1224" s="11" t="inlineStr">
        <is>
          <t>B · INTEGRANTE</t>
        </is>
      </c>
      <c r="U1224" s="11" t="inlineStr">
        <is>
          <t>DEL BANCO (se hereda)</t>
        </is>
      </c>
      <c r="V1224" s="11" t="inlineStr">
        <is>
          <t>9120 · EFECTIVO INTENSIVO</t>
        </is>
      </c>
      <c r="W1224" s="12" t="n"/>
      <c r="X1224" s="12" t="n"/>
    </row>
    <row r="1225" ht="15" customHeight="1">
      <c r="C1225" t="inlineStr">
        <is>
          <t>Actividad económica / giro mercantil</t>
        </is>
      </c>
      <c r="D1225" t="inlineStr">
        <is>
          <t>F12</t>
        </is>
      </c>
      <c r="E1225" t="inlineStr">
        <is>
          <t>INHERENTE</t>
        </is>
      </c>
      <c r="F1225" t="inlineStr">
        <is>
          <t>SERVICIOS RECREATIVOS Y DE ESPARCIMIENTO</t>
        </is>
      </c>
      <c r="G1225" t="n">
        <v>8800006</v>
      </c>
      <c r="H1225" t="n">
        <v>1</v>
      </c>
      <c r="I1225" t="n">
        <v>1</v>
      </c>
      <c r="J1225" t="n">
        <v>8</v>
      </c>
      <c r="K1225" t="n">
        <v>8</v>
      </c>
      <c r="L1225" t="n">
        <v>8</v>
      </c>
      <c r="M1225" t="n">
        <v>8</v>
      </c>
      <c r="N1225" t="n">
        <v>8</v>
      </c>
      <c r="O1225" t="n">
        <v>40</v>
      </c>
      <c r="P1225" t="n">
        <v>8</v>
      </c>
      <c r="R1225" s="9" t="n">
        <v>0.08</v>
      </c>
      <c r="S1225" s="10" t="inlineStr">
        <is>
          <t>SÍ — integrante</t>
        </is>
      </c>
      <c r="T1225" s="11" t="inlineStr">
        <is>
          <t>B · INTEGRANTE</t>
        </is>
      </c>
      <c r="U1225" s="11" t="inlineStr">
        <is>
          <t>DEL BANCO (se hereda)</t>
        </is>
      </c>
      <c r="V1225" s="11" t="inlineStr">
        <is>
          <t>9154 · OTRAS ACTIVIDADES NO CLASIFICADAS</t>
        </is>
      </c>
      <c r="W1225" s="12" t="n"/>
      <c r="X1225" s="12" t="n"/>
    </row>
    <row r="1226" ht="15" customHeight="1">
      <c r="C1226" t="inlineStr">
        <is>
          <t>Actividad económica / giro mercantil</t>
        </is>
      </c>
      <c r="D1226" t="inlineStr">
        <is>
          <t>F12</t>
        </is>
      </c>
      <c r="E1226" t="inlineStr">
        <is>
          <t>INHERENTE</t>
        </is>
      </c>
      <c r="F1226" t="inlineStr">
        <is>
          <t>SERVICIOS EN BALNEARIOS Y ALBERCAS</t>
        </is>
      </c>
      <c r="G1226" t="n">
        <v>8811011</v>
      </c>
      <c r="H1226" t="n">
        <v>1</v>
      </c>
      <c r="I1226" t="n">
        <v>1</v>
      </c>
      <c r="J1226" t="n">
        <v>8</v>
      </c>
      <c r="K1226" t="n">
        <v>8</v>
      </c>
      <c r="L1226" t="n">
        <v>8</v>
      </c>
      <c r="M1226" t="n">
        <v>8</v>
      </c>
      <c r="N1226" t="n">
        <v>8</v>
      </c>
      <c r="O1226" t="n">
        <v>40</v>
      </c>
      <c r="P1226" t="n">
        <v>8</v>
      </c>
      <c r="R1226" s="9" t="n">
        <v>0.08</v>
      </c>
      <c r="S1226" s="10" t="inlineStr">
        <is>
          <t>SÍ — integrante</t>
        </is>
      </c>
      <c r="T1226" s="11" t="inlineStr">
        <is>
          <t>B · INTEGRANTE</t>
        </is>
      </c>
      <c r="U1226" s="11" t="inlineStr">
        <is>
          <t>DEL BANCO (se hereda)</t>
        </is>
      </c>
      <c r="V1226" s="11" t="inlineStr">
        <is>
          <t>9154 · OTRAS ACTIVIDADES NO CLASIFICADAS</t>
        </is>
      </c>
      <c r="W1226" s="12" t="n"/>
      <c r="X1226" s="12" t="n"/>
    </row>
    <row r="1227" ht="15" customHeight="1">
      <c r="C1227" t="inlineStr">
        <is>
          <t>Actividad económica / giro mercantil</t>
        </is>
      </c>
      <c r="D1227" t="inlineStr">
        <is>
          <t>F12</t>
        </is>
      </c>
      <c r="E1227" t="inlineStr">
        <is>
          <t>INHERENTE</t>
        </is>
      </c>
      <c r="F1227" t="inlineStr">
        <is>
          <t>SALON DE BILLAR</t>
        </is>
      </c>
      <c r="G1227" t="n">
        <v>8812019</v>
      </c>
      <c r="H1227" t="n">
        <v>4</v>
      </c>
      <c r="I1227" t="n">
        <v>4</v>
      </c>
      <c r="J1227" t="n">
        <v>8</v>
      </c>
      <c r="K1227" t="n">
        <v>32</v>
      </c>
      <c r="L1227" t="n">
        <v>32</v>
      </c>
      <c r="M1227" t="n">
        <v>32</v>
      </c>
      <c r="N1227" t="n">
        <v>32</v>
      </c>
      <c r="O1227" t="n">
        <v>40</v>
      </c>
      <c r="P1227" t="n">
        <v>8</v>
      </c>
      <c r="R1227" s="9" t="n">
        <v>0.08</v>
      </c>
      <c r="S1227" s="10" t="inlineStr">
        <is>
          <t>SÍ — integrante</t>
        </is>
      </c>
      <c r="T1227" s="11" t="inlineStr">
        <is>
          <t>B · INTEGRANTE</t>
        </is>
      </c>
      <c r="U1227" s="11" t="inlineStr">
        <is>
          <t>DEL BANCO (se hereda)</t>
        </is>
      </c>
      <c r="V1227" s="11" t="inlineStr">
        <is>
          <t>9120 · EFECTIVO INTENSIVO</t>
        </is>
      </c>
      <c r="W1227" s="12" t="n"/>
      <c r="X1227" s="12" t="n"/>
    </row>
    <row r="1228" ht="15" customHeight="1">
      <c r="C1228" t="inlineStr">
        <is>
          <t>Actividad económica / giro mercantil</t>
        </is>
      </c>
      <c r="D1228" t="inlineStr">
        <is>
          <t>F12</t>
        </is>
      </c>
      <c r="E1228" t="inlineStr">
        <is>
          <t>INHERENTE</t>
        </is>
      </c>
      <c r="F1228" t="inlineStr">
        <is>
          <t>SALON DE BOLICHE</t>
        </is>
      </c>
      <c r="G1228" t="n">
        <v>8812027</v>
      </c>
      <c r="H1228" t="n">
        <v>3</v>
      </c>
      <c r="I1228" t="n">
        <v>3</v>
      </c>
      <c r="J1228" t="n">
        <v>8</v>
      </c>
      <c r="K1228" t="n">
        <v>24</v>
      </c>
      <c r="L1228" t="n">
        <v>24</v>
      </c>
      <c r="M1228" t="n">
        <v>24</v>
      </c>
      <c r="N1228" t="n">
        <v>24</v>
      </c>
      <c r="O1228" t="n">
        <v>40</v>
      </c>
      <c r="P1228" t="n">
        <v>8</v>
      </c>
      <c r="R1228" s="9" t="n">
        <v>0.08</v>
      </c>
      <c r="S1228" s="10" t="inlineStr">
        <is>
          <t>SÍ — integrante</t>
        </is>
      </c>
      <c r="T1228" s="11" t="inlineStr">
        <is>
          <t>B · INTEGRANTE</t>
        </is>
      </c>
      <c r="U1228" s="11" t="inlineStr">
        <is>
          <t>DEL BANCO (se hereda)</t>
        </is>
      </c>
      <c r="V1228" s="11" t="inlineStr">
        <is>
          <t>9152 · INDUSTRIA Y MANUFACTURA</t>
        </is>
      </c>
      <c r="W1228" s="12" t="n"/>
      <c r="X1228" s="12" t="n"/>
    </row>
    <row r="1229" ht="15" customHeight="1">
      <c r="C1229" t="inlineStr">
        <is>
          <t>Actividad económica / giro mercantil</t>
        </is>
      </c>
      <c r="D1229" t="inlineStr">
        <is>
          <t>F12</t>
        </is>
      </c>
      <c r="E1229" t="inlineStr">
        <is>
          <t>INHERENTE</t>
        </is>
      </c>
      <c r="F1229" t="inlineStr">
        <is>
          <t>CLUB SOCIAL</t>
        </is>
      </c>
      <c r="G1229" t="n">
        <v>8813017</v>
      </c>
      <c r="H1229" t="n">
        <v>2</v>
      </c>
      <c r="I1229" t="n">
        <v>2</v>
      </c>
      <c r="J1229" t="n">
        <v>8</v>
      </c>
      <c r="K1229" t="n">
        <v>16</v>
      </c>
      <c r="L1229" t="n">
        <v>16</v>
      </c>
      <c r="M1229" t="n">
        <v>16</v>
      </c>
      <c r="N1229" t="n">
        <v>16</v>
      </c>
      <c r="O1229" t="n">
        <v>40</v>
      </c>
      <c r="P1229" t="n">
        <v>8</v>
      </c>
      <c r="R1229" s="9" t="n">
        <v>0.08</v>
      </c>
      <c r="S1229" s="10" t="inlineStr">
        <is>
          <t>SÍ — integrante</t>
        </is>
      </c>
      <c r="T1229" s="11" t="inlineStr">
        <is>
          <t>B · INTEGRANTE</t>
        </is>
      </c>
      <c r="U1229" s="11" t="inlineStr">
        <is>
          <t>DEL BANCO (se hereda)</t>
        </is>
      </c>
      <c r="V1229" s="11" t="inlineStr">
        <is>
          <t>9154 · OTRAS ACTIVIDADES NO CLASIFICADAS</t>
        </is>
      </c>
      <c r="W1229" s="12" t="n"/>
      <c r="X1229" s="12" t="n"/>
    </row>
    <row r="1230" ht="15" customHeight="1">
      <c r="C1230" t="inlineStr">
        <is>
          <t>Actividad económica / giro mercantil</t>
        </is>
      </c>
      <c r="D1230" t="inlineStr">
        <is>
          <t>F12</t>
        </is>
      </c>
      <c r="E1230" t="inlineStr">
        <is>
          <t>INHERENTE</t>
        </is>
      </c>
      <c r="F1230" t="inlineStr">
        <is>
          <t>CENTRO DEPORTIVO</t>
        </is>
      </c>
      <c r="G1230" t="n">
        <v>8814015</v>
      </c>
      <c r="H1230" t="n">
        <v>4</v>
      </c>
      <c r="I1230" t="n">
        <v>4</v>
      </c>
      <c r="J1230" t="n">
        <v>8</v>
      </c>
      <c r="K1230" t="n">
        <v>32</v>
      </c>
      <c r="L1230" t="n">
        <v>32</v>
      </c>
      <c r="M1230" t="n">
        <v>32</v>
      </c>
      <c r="N1230" t="n">
        <v>32</v>
      </c>
      <c r="O1230" t="n">
        <v>40</v>
      </c>
      <c r="P1230" t="n">
        <v>8</v>
      </c>
      <c r="R1230" s="9" t="n">
        <v>0.08</v>
      </c>
      <c r="S1230" s="10" t="inlineStr">
        <is>
          <t>SÍ — integrante</t>
        </is>
      </c>
      <c r="T1230" s="11" t="inlineStr">
        <is>
          <t>B · INTEGRANTE</t>
        </is>
      </c>
      <c r="U1230" s="11" t="inlineStr">
        <is>
          <t>DEL BANCO (se hereda)</t>
        </is>
      </c>
      <c r="V1230" s="11" t="inlineStr">
        <is>
          <t>9154 · OTRAS ACTIVIDADES NO CLASIFICADAS</t>
        </is>
      </c>
      <c r="W1230" s="12" t="n"/>
      <c r="X1230" s="12" t="n"/>
    </row>
    <row r="1231" ht="15" customHeight="1">
      <c r="C1231" t="inlineStr">
        <is>
          <t>Actividad económica / giro mercantil</t>
        </is>
      </c>
      <c r="D1231" t="inlineStr">
        <is>
          <t>F12</t>
        </is>
      </c>
      <c r="E1231" t="inlineStr">
        <is>
          <t>INHERENTE</t>
        </is>
      </c>
      <c r="F1231" t="inlineStr">
        <is>
          <t>SERVICIOS Y EXPLOTACION DE PLAYAS Y PARQUES DE DESCANSO CLUBES DE EXCURSIONISMO DE CAZA Y PESCA INCLUSO ALQUILER DE LANCHAS,  CABALLOS, CALESAS Y OTROS CON FINES RECREATIVOS Y DEPORTIVOS</t>
        </is>
      </c>
      <c r="G1231" t="n">
        <v>8819015</v>
      </c>
      <c r="H1231" t="n">
        <v>1</v>
      </c>
      <c r="I1231" t="n">
        <v>1</v>
      </c>
      <c r="J1231" t="n">
        <v>8</v>
      </c>
      <c r="K1231" t="n">
        <v>8</v>
      </c>
      <c r="L1231" t="n">
        <v>8</v>
      </c>
      <c r="M1231" t="n">
        <v>8</v>
      </c>
      <c r="N1231" t="n">
        <v>8</v>
      </c>
      <c r="O1231" t="n">
        <v>40</v>
      </c>
      <c r="P1231" t="n">
        <v>8</v>
      </c>
      <c r="R1231" s="9" t="n">
        <v>0.08</v>
      </c>
      <c r="S1231" s="10" t="inlineStr">
        <is>
          <t>SÍ — integrante</t>
        </is>
      </c>
      <c r="T1231" s="11" t="inlineStr">
        <is>
          <t>B · INTEGRANTE</t>
        </is>
      </c>
      <c r="U1231" s="11" t="inlineStr">
        <is>
          <t>DEL BANCO (se hereda)</t>
        </is>
      </c>
      <c r="V1231" s="11" t="inlineStr">
        <is>
          <t>9151 · SECTOR PRIMARIO (agropecuario, pesca, forestal, minería)</t>
        </is>
      </c>
      <c r="W1231" s="12" t="n"/>
      <c r="X1231" s="12" t="n"/>
    </row>
    <row r="1232" ht="15" customHeight="1">
      <c r="C1232" t="inlineStr">
        <is>
          <t>Actividad económica / giro mercantil</t>
        </is>
      </c>
      <c r="D1232" t="inlineStr">
        <is>
          <t>F12</t>
        </is>
      </c>
      <c r="E1232" t="inlineStr">
        <is>
          <t>INHERENTE</t>
        </is>
      </c>
      <c r="F1232" t="inlineStr">
        <is>
          <t>ESTUDIOS CINEMATOGRAFICOS</t>
        </is>
      </c>
      <c r="G1232" t="n">
        <v>8821010</v>
      </c>
      <c r="H1232" t="n">
        <v>1</v>
      </c>
      <c r="I1232" t="n">
        <v>1</v>
      </c>
      <c r="J1232" t="n">
        <v>8</v>
      </c>
      <c r="K1232" t="n">
        <v>8</v>
      </c>
      <c r="L1232" t="n">
        <v>8</v>
      </c>
      <c r="M1232" t="n">
        <v>8</v>
      </c>
      <c r="N1232" t="n">
        <v>8</v>
      </c>
      <c r="O1232" t="n">
        <v>40</v>
      </c>
      <c r="P1232" t="n">
        <v>8</v>
      </c>
      <c r="R1232" s="9" t="n">
        <v>0.08</v>
      </c>
      <c r="S1232" s="10" t="inlineStr">
        <is>
          <t>SÍ — integrante</t>
        </is>
      </c>
      <c r="T1232" s="11" t="inlineStr">
        <is>
          <t>B · INTEGRANTE</t>
        </is>
      </c>
      <c r="U1232" s="11" t="inlineStr">
        <is>
          <t>DEL BANCO (se hereda)</t>
        </is>
      </c>
      <c r="V1232" s="11" t="inlineStr">
        <is>
          <t>9154 · OTRAS ACTIVIDADES NO CLASIFICADAS</t>
        </is>
      </c>
      <c r="W1232" s="12" t="n"/>
      <c r="X1232" s="12" t="n"/>
    </row>
    <row r="1233" ht="15" customHeight="1">
      <c r="C1233" t="inlineStr">
        <is>
          <t>Actividad económica / giro mercantil</t>
        </is>
      </c>
      <c r="D1233" t="inlineStr">
        <is>
          <t>F12</t>
        </is>
      </c>
      <c r="E1233" t="inlineStr">
        <is>
          <t>INHERENTE</t>
        </is>
      </c>
      <c r="F1233" t="inlineStr">
        <is>
          <t>GRABACION DE SONIDO EN PELICULAS</t>
        </is>
      </c>
      <c r="G1233" t="n">
        <v>8821028</v>
      </c>
      <c r="H1233" t="n">
        <v>1</v>
      </c>
      <c r="I1233" t="n">
        <v>1</v>
      </c>
      <c r="J1233" t="n">
        <v>8</v>
      </c>
      <c r="K1233" t="n">
        <v>8</v>
      </c>
      <c r="L1233" t="n">
        <v>8</v>
      </c>
      <c r="M1233" t="n">
        <v>8</v>
      </c>
      <c r="N1233" t="n">
        <v>8</v>
      </c>
      <c r="O1233" t="n">
        <v>40</v>
      </c>
      <c r="P1233" t="n">
        <v>8</v>
      </c>
      <c r="R1233" s="9" t="n">
        <v>0.08</v>
      </c>
      <c r="S1233" s="10" t="inlineStr">
        <is>
          <t>SÍ — integrante</t>
        </is>
      </c>
      <c r="T1233" s="11" t="inlineStr">
        <is>
          <t>B · INTEGRANTE</t>
        </is>
      </c>
      <c r="U1233" s="11" t="inlineStr">
        <is>
          <t>DEL BANCO (se hereda)</t>
        </is>
      </c>
      <c r="V1233" s="11" t="inlineStr">
        <is>
          <t>9154 · OTRAS ACTIVIDADES NO CLASIFICADAS</t>
        </is>
      </c>
      <c r="W1233" s="12" t="n"/>
      <c r="X1233" s="12" t="n"/>
    </row>
    <row r="1234" ht="15" customHeight="1">
      <c r="C1234" t="inlineStr">
        <is>
          <t>Actividad económica / giro mercantil</t>
        </is>
      </c>
      <c r="D1234" t="inlineStr">
        <is>
          <t>F12</t>
        </is>
      </c>
      <c r="E1234" t="inlineStr">
        <is>
          <t>INHERENTE</t>
        </is>
      </c>
      <c r="F1234" t="inlineStr">
        <is>
          <t>LABORATORIOS CINEMATOGRAFICOS</t>
        </is>
      </c>
      <c r="G1234" t="n">
        <v>8821036</v>
      </c>
      <c r="H1234" t="n">
        <v>1</v>
      </c>
      <c r="I1234" t="n">
        <v>1</v>
      </c>
      <c r="J1234" t="n">
        <v>8</v>
      </c>
      <c r="K1234" t="n">
        <v>8</v>
      </c>
      <c r="L1234" t="n">
        <v>8</v>
      </c>
      <c r="M1234" t="n">
        <v>8</v>
      </c>
      <c r="N1234" t="n">
        <v>8</v>
      </c>
      <c r="O1234" t="n">
        <v>40</v>
      </c>
      <c r="P1234" t="n">
        <v>8</v>
      </c>
      <c r="R1234" s="9" t="n">
        <v>0.08</v>
      </c>
      <c r="S1234" s="10" t="inlineStr">
        <is>
          <t>SÍ — integrante</t>
        </is>
      </c>
      <c r="T1234" s="11" t="inlineStr">
        <is>
          <t>B · INTEGRANTE</t>
        </is>
      </c>
      <c r="U1234" s="11" t="inlineStr">
        <is>
          <t>DEL BANCO (se hereda)</t>
        </is>
      </c>
      <c r="V1234" s="11" t="inlineStr">
        <is>
          <t>9154 · OTRAS ACTIVIDADES NO CLASIFICADAS</t>
        </is>
      </c>
      <c r="W1234" s="12" t="n"/>
      <c r="X1234" s="12" t="n"/>
    </row>
    <row r="1235" ht="15" customHeight="1">
      <c r="C1235" t="inlineStr">
        <is>
          <t>Actividad económica / giro mercantil</t>
        </is>
      </c>
      <c r="D1235" t="inlineStr">
        <is>
          <t>F12</t>
        </is>
      </c>
      <c r="E1235" t="inlineStr">
        <is>
          <t>INHERENTE</t>
        </is>
      </c>
      <c r="F1235" t="inlineStr">
        <is>
          <t>PRODUCCION DE PELICULAS</t>
        </is>
      </c>
      <c r="G1235" t="n">
        <v>8821044</v>
      </c>
      <c r="H1235" t="n">
        <v>1</v>
      </c>
      <c r="I1235" t="n">
        <v>1</v>
      </c>
      <c r="J1235" t="n">
        <v>8</v>
      </c>
      <c r="K1235" t="n">
        <v>8</v>
      </c>
      <c r="L1235" t="n">
        <v>8</v>
      </c>
      <c r="M1235" t="n">
        <v>8</v>
      </c>
      <c r="N1235" t="n">
        <v>8</v>
      </c>
      <c r="O1235" t="n">
        <v>40</v>
      </c>
      <c r="P1235" t="n">
        <v>8</v>
      </c>
      <c r="R1235" s="9" t="n">
        <v>0.08</v>
      </c>
      <c r="S1235" s="10" t="inlineStr">
        <is>
          <t>SÍ — integrante</t>
        </is>
      </c>
      <c r="T1235" s="11" t="inlineStr">
        <is>
          <t>B · INTEGRANTE</t>
        </is>
      </c>
      <c r="U1235" s="11" t="inlineStr">
        <is>
          <t>DEL BANCO (se hereda)</t>
        </is>
      </c>
      <c r="V1235" s="11" t="inlineStr">
        <is>
          <t>9152 · INDUSTRIA Y MANUFACTURA</t>
        </is>
      </c>
      <c r="W1235" s="12" t="n"/>
      <c r="X1235" s="12" t="n"/>
    </row>
    <row r="1236" ht="15" customHeight="1">
      <c r="C1236" t="inlineStr">
        <is>
          <t>Actividad económica / giro mercantil</t>
        </is>
      </c>
      <c r="D1236" t="inlineStr">
        <is>
          <t>F12</t>
        </is>
      </c>
      <c r="E1236" t="inlineStr">
        <is>
          <t>INHERENTE</t>
        </is>
      </c>
      <c r="F1236" t="inlineStr">
        <is>
          <t>DISTRIBUCION Y ALQUILER DE PELICULAS</t>
        </is>
      </c>
      <c r="G1236" t="n">
        <v>8822018</v>
      </c>
      <c r="H1236" t="n">
        <v>1</v>
      </c>
      <c r="I1236" t="n">
        <v>1</v>
      </c>
      <c r="J1236" t="n">
        <v>8</v>
      </c>
      <c r="K1236" t="n">
        <v>8</v>
      </c>
      <c r="L1236" t="n">
        <v>8</v>
      </c>
      <c r="M1236" t="n">
        <v>8</v>
      </c>
      <c r="N1236" t="n">
        <v>8</v>
      </c>
      <c r="O1236" t="n">
        <v>40</v>
      </c>
      <c r="P1236" t="n">
        <v>8</v>
      </c>
      <c r="R1236" s="9" t="n">
        <v>0.08</v>
      </c>
      <c r="S1236" s="10" t="inlineStr">
        <is>
          <t>SÍ — integrante</t>
        </is>
      </c>
      <c r="T1236" s="11" t="inlineStr">
        <is>
          <t>B · INTEGRANTE</t>
        </is>
      </c>
      <c r="U1236" s="11" t="inlineStr">
        <is>
          <t>DEL BANCO (se hereda)</t>
        </is>
      </c>
      <c r="V1236" s="11" t="inlineStr">
        <is>
          <t>9154 · OTRAS ACTIVIDADES NO CLASIFICADAS</t>
        </is>
      </c>
      <c r="W1236" s="12" t="n"/>
      <c r="X1236" s="12" t="n"/>
    </row>
    <row r="1237" ht="15" customHeight="1">
      <c r="C1237" t="inlineStr">
        <is>
          <t>Actividad económica / giro mercantil</t>
        </is>
      </c>
      <c r="D1237" t="inlineStr">
        <is>
          <t>F12</t>
        </is>
      </c>
      <c r="E1237" t="inlineStr">
        <is>
          <t>INHERENTE</t>
        </is>
      </c>
      <c r="F1237" t="inlineStr">
        <is>
          <t>SALA DE CINE</t>
        </is>
      </c>
      <c r="G1237" t="n">
        <v>8823016</v>
      </c>
      <c r="H1237" t="n">
        <v>1</v>
      </c>
      <c r="I1237" t="n">
        <v>1</v>
      </c>
      <c r="J1237" t="n">
        <v>8</v>
      </c>
      <c r="K1237" t="n">
        <v>8</v>
      </c>
      <c r="L1237" t="n">
        <v>8</v>
      </c>
      <c r="M1237" t="n">
        <v>8</v>
      </c>
      <c r="N1237" t="n">
        <v>8</v>
      </c>
      <c r="O1237" t="n">
        <v>40</v>
      </c>
      <c r="P1237" t="n">
        <v>8</v>
      </c>
      <c r="R1237" s="9" t="n">
        <v>0.08</v>
      </c>
      <c r="S1237" s="10" t="inlineStr">
        <is>
          <t>SÍ — integrante</t>
        </is>
      </c>
      <c r="T1237" s="11" t="inlineStr">
        <is>
          <t>B · INTEGRANTE</t>
        </is>
      </c>
      <c r="U1237" s="11" t="inlineStr">
        <is>
          <t>DEL BANCO (se hereda)</t>
        </is>
      </c>
      <c r="V1237" s="11" t="inlineStr">
        <is>
          <t>9152 · INDUSTRIA Y MANUFACTURA</t>
        </is>
      </c>
      <c r="W1237" s="12" t="n"/>
      <c r="X1237" s="12" t="n"/>
    </row>
    <row r="1238" ht="15" customHeight="1">
      <c r="C1238" t="inlineStr">
        <is>
          <t>Actividad económica / giro mercantil</t>
        </is>
      </c>
      <c r="D1238" t="inlineStr">
        <is>
          <t>F12</t>
        </is>
      </c>
      <c r="E1238" t="inlineStr">
        <is>
          <t>INHERENTE</t>
        </is>
      </c>
      <c r="F1238" t="inlineStr">
        <is>
          <t>RADIODIFUSORA</t>
        </is>
      </c>
      <c r="G1238" t="n">
        <v>8824014</v>
      </c>
      <c r="H1238" t="n">
        <v>1</v>
      </c>
      <c r="I1238" t="n">
        <v>1</v>
      </c>
      <c r="J1238" t="n">
        <v>8</v>
      </c>
      <c r="K1238" t="n">
        <v>8</v>
      </c>
      <c r="L1238" t="n">
        <v>8</v>
      </c>
      <c r="M1238" t="n">
        <v>8</v>
      </c>
      <c r="N1238" t="n">
        <v>8</v>
      </c>
      <c r="O1238" t="n">
        <v>40</v>
      </c>
      <c r="P1238" t="n">
        <v>8</v>
      </c>
      <c r="R1238" s="9" t="n">
        <v>0.08</v>
      </c>
      <c r="S1238" s="10" t="inlineStr">
        <is>
          <t>SÍ — integrante</t>
        </is>
      </c>
      <c r="T1238" s="11" t="inlineStr">
        <is>
          <t>B · INTEGRANTE</t>
        </is>
      </c>
      <c r="U1238" s="11" t="inlineStr">
        <is>
          <t>DEL BANCO (se hereda)</t>
        </is>
      </c>
      <c r="V1238" s="11" t="inlineStr">
        <is>
          <t>9154 · OTRAS ACTIVIDADES NO CLASIFICADAS</t>
        </is>
      </c>
      <c r="W1238" s="12" t="n"/>
      <c r="X1238" s="12" t="n"/>
    </row>
    <row r="1239" ht="15" customHeight="1">
      <c r="C1239" t="inlineStr">
        <is>
          <t>Actividad económica / giro mercantil</t>
        </is>
      </c>
      <c r="D1239" t="inlineStr">
        <is>
          <t>F12</t>
        </is>
      </c>
      <c r="E1239" t="inlineStr">
        <is>
          <t>INHERENTE</t>
        </is>
      </c>
      <c r="F1239" t="inlineStr">
        <is>
          <t>TELEDIFUSORA</t>
        </is>
      </c>
      <c r="G1239" t="n">
        <v>8825012</v>
      </c>
      <c r="H1239" t="n">
        <v>1</v>
      </c>
      <c r="I1239" t="n">
        <v>1</v>
      </c>
      <c r="J1239" t="n">
        <v>8</v>
      </c>
      <c r="K1239" t="n">
        <v>8</v>
      </c>
      <c r="L1239" t="n">
        <v>8</v>
      </c>
      <c r="M1239" t="n">
        <v>8</v>
      </c>
      <c r="N1239" t="n">
        <v>8</v>
      </c>
      <c r="O1239" t="n">
        <v>40</v>
      </c>
      <c r="P1239" t="n">
        <v>8</v>
      </c>
      <c r="R1239" s="9" t="n">
        <v>0.08</v>
      </c>
      <c r="S1239" s="10" t="inlineStr">
        <is>
          <t>SÍ — integrante</t>
        </is>
      </c>
      <c r="T1239" s="11" t="inlineStr">
        <is>
          <t>B · INTEGRANTE</t>
        </is>
      </c>
      <c r="U1239" s="11" t="inlineStr">
        <is>
          <t>DEL BANCO (se hereda)</t>
        </is>
      </c>
      <c r="V1239" s="11" t="inlineStr">
        <is>
          <t>9154 · OTRAS ACTIVIDADES NO CLASIFICADAS</t>
        </is>
      </c>
      <c r="W1239" s="12" t="n"/>
      <c r="X1239" s="12" t="n"/>
    </row>
    <row r="1240" ht="15" customHeight="1">
      <c r="C1240" t="inlineStr">
        <is>
          <t>Actividad económica / giro mercantil</t>
        </is>
      </c>
      <c r="D1240" t="inlineStr">
        <is>
          <t>F12</t>
        </is>
      </c>
      <c r="E1240" t="inlineStr">
        <is>
          <t>INHERENTE</t>
        </is>
      </c>
      <c r="F1240" t="inlineStr">
        <is>
          <t>TEATRO</t>
        </is>
      </c>
      <c r="G1240" t="n">
        <v>8826010</v>
      </c>
      <c r="H1240" t="n">
        <v>1</v>
      </c>
      <c r="I1240" t="n">
        <v>1</v>
      </c>
      <c r="J1240" t="n">
        <v>8</v>
      </c>
      <c r="K1240" t="n">
        <v>8</v>
      </c>
      <c r="L1240" t="n">
        <v>8</v>
      </c>
      <c r="M1240" t="n">
        <v>8</v>
      </c>
      <c r="N1240" t="n">
        <v>8</v>
      </c>
      <c r="O1240" t="n">
        <v>40</v>
      </c>
      <c r="P1240" t="n">
        <v>8</v>
      </c>
      <c r="R1240" s="9" t="n">
        <v>0.08</v>
      </c>
      <c r="S1240" s="10" t="inlineStr">
        <is>
          <t>SÍ — integrante</t>
        </is>
      </c>
      <c r="T1240" s="11" t="inlineStr">
        <is>
          <t>B · INTEGRANTE</t>
        </is>
      </c>
      <c r="U1240" s="11" t="inlineStr">
        <is>
          <t>DEL BANCO (se hereda)</t>
        </is>
      </c>
      <c r="V1240" s="11" t="inlineStr">
        <is>
          <t>9154 · OTRAS ACTIVIDADES NO CLASIFICADAS</t>
        </is>
      </c>
      <c r="W1240" s="12" t="n"/>
      <c r="X1240" s="12" t="n"/>
    </row>
    <row r="1241" ht="15" customHeight="1">
      <c r="C1241" t="inlineStr">
        <is>
          <t>Actividad económica / giro mercantil</t>
        </is>
      </c>
      <c r="D1241" t="inlineStr">
        <is>
          <t>F12</t>
        </is>
      </c>
      <c r="E1241" t="inlineStr">
        <is>
          <t>INHERENTE</t>
        </is>
      </c>
      <c r="F1241" t="inlineStr">
        <is>
          <t>ACTIVIDADES DE CLUBES DEPORTIVOS PROFESIONALES</t>
        </is>
      </c>
      <c r="G1241" t="n">
        <v>8827018</v>
      </c>
      <c r="H1241" t="n">
        <v>5</v>
      </c>
      <c r="I1241" t="n">
        <v>5</v>
      </c>
      <c r="J1241" t="n">
        <v>8</v>
      </c>
      <c r="K1241" t="n">
        <v>40</v>
      </c>
      <c r="L1241" t="n">
        <v>40</v>
      </c>
      <c r="M1241" t="n">
        <v>40</v>
      </c>
      <c r="N1241" t="n">
        <v>40</v>
      </c>
      <c r="O1241" t="n">
        <v>40</v>
      </c>
      <c r="P1241" t="n">
        <v>8</v>
      </c>
      <c r="R1241" s="9" t="n">
        <v>0.08</v>
      </c>
      <c r="S1241" s="10" t="inlineStr">
        <is>
          <t>SÍ — integrante</t>
        </is>
      </c>
      <c r="T1241" s="11" t="inlineStr">
        <is>
          <t>B · INTEGRANTE</t>
        </is>
      </c>
      <c r="U1241" s="11" t="inlineStr">
        <is>
          <t>DEL BANCO (se hereda)</t>
        </is>
      </c>
      <c r="V1241" s="11" t="inlineStr">
        <is>
          <t>9154 · OTRAS ACTIVIDADES NO CLASIFICADAS</t>
        </is>
      </c>
      <c r="W1241" s="12" t="n"/>
      <c r="X1241" s="12" t="n"/>
    </row>
    <row r="1242" ht="15" customHeight="1">
      <c r="C1242" t="inlineStr">
        <is>
          <t>Actividad económica / giro mercantil</t>
        </is>
      </c>
      <c r="D1242" t="inlineStr">
        <is>
          <t>F12</t>
        </is>
      </c>
      <c r="E1242" t="inlineStr">
        <is>
          <t>INHERENTE</t>
        </is>
      </c>
      <c r="F1242" t="inlineStr">
        <is>
          <t>ESTADIOS Y ARENAS</t>
        </is>
      </c>
      <c r="G1242" t="n">
        <v>8829014</v>
      </c>
      <c r="H1242" t="n">
        <v>5</v>
      </c>
      <c r="I1242" t="n">
        <v>5</v>
      </c>
      <c r="J1242" t="n">
        <v>8</v>
      </c>
      <c r="K1242" t="n">
        <v>40</v>
      </c>
      <c r="L1242" t="n">
        <v>40</v>
      </c>
      <c r="M1242" t="n">
        <v>40</v>
      </c>
      <c r="N1242" t="n">
        <v>40</v>
      </c>
      <c r="O1242" t="n">
        <v>40</v>
      </c>
      <c r="P1242" t="n">
        <v>8</v>
      </c>
      <c r="Q1242" t="inlineStr">
        <is>
          <t>DETERMINANTE</t>
        </is>
      </c>
      <c r="R1242" s="9" t="n">
        <v>0.08</v>
      </c>
      <c r="S1242" s="10" t="inlineStr">
        <is>
          <t>SÍ — integrante</t>
        </is>
      </c>
      <c r="T1242" s="11" t="inlineStr">
        <is>
          <t>B · INTEGRANTE</t>
        </is>
      </c>
      <c r="U1242" s="11" t="inlineStr">
        <is>
          <t>DEL BANCO (se hereda)</t>
        </is>
      </c>
      <c r="V1242" s="11" t="inlineStr">
        <is>
          <t>9154 · OTRAS ACTIVIDADES NO CLASIFICADAS</t>
        </is>
      </c>
      <c r="W1242" s="12" t="n"/>
      <c r="X1242" s="12" t="n"/>
    </row>
    <row r="1243" ht="15" customHeight="1">
      <c r="C1243" t="inlineStr">
        <is>
          <t>Actividad económica / giro mercantil</t>
        </is>
      </c>
      <c r="D1243" t="inlineStr">
        <is>
          <t>F12</t>
        </is>
      </c>
      <c r="E1243" t="inlineStr">
        <is>
          <t>INHERENTE</t>
        </is>
      </c>
      <c r="F1243" t="inlineStr">
        <is>
          <t>HIPÓDROMO</t>
        </is>
      </c>
      <c r="G1243" t="n">
        <v>8829022</v>
      </c>
      <c r="H1243" t="n">
        <v>5</v>
      </c>
      <c r="I1243" t="n">
        <v>5</v>
      </c>
      <c r="J1243" t="n">
        <v>8</v>
      </c>
      <c r="K1243" t="n">
        <v>40</v>
      </c>
      <c r="L1243" t="n">
        <v>40</v>
      </c>
      <c r="M1243" t="n">
        <v>40</v>
      </c>
      <c r="N1243" t="n">
        <v>40</v>
      </c>
      <c r="O1243" t="n">
        <v>40</v>
      </c>
      <c r="P1243" t="n">
        <v>8</v>
      </c>
      <c r="Q1243" t="inlineStr">
        <is>
          <t>DETERMINANTE</t>
        </is>
      </c>
      <c r="R1243" s="9" t="n">
        <v>0.08</v>
      </c>
      <c r="S1243" s="10" t="inlineStr">
        <is>
          <t>SÍ — integrante</t>
        </is>
      </c>
      <c r="T1243" s="11" t="inlineStr">
        <is>
          <t>B · INTEGRANTE</t>
        </is>
      </c>
      <c r="U1243" s="11" t="inlineStr">
        <is>
          <t>DEL BANCO (se hereda)</t>
        </is>
      </c>
      <c r="V1243" s="11" t="inlineStr">
        <is>
          <t>9120 · EFECTIVO INTENSIVO</t>
        </is>
      </c>
      <c r="W1243" s="12" t="n"/>
      <c r="X1243" s="12" t="n"/>
    </row>
    <row r="1244" ht="15" customHeight="1">
      <c r="C1244" t="inlineStr">
        <is>
          <t>Actividad económica / giro mercantil</t>
        </is>
      </c>
      <c r="D1244" t="inlineStr">
        <is>
          <t>F12</t>
        </is>
      </c>
      <c r="E1244" t="inlineStr">
        <is>
          <t>INHERENTE</t>
        </is>
      </c>
      <c r="F1244" t="inlineStr">
        <is>
          <t>PLAZA DE TOROS</t>
        </is>
      </c>
      <c r="G1244" t="n">
        <v>8829030</v>
      </c>
      <c r="H1244" t="n">
        <v>1</v>
      </c>
      <c r="I1244" t="n">
        <v>1</v>
      </c>
      <c r="J1244" t="n">
        <v>8</v>
      </c>
      <c r="K1244" t="n">
        <v>8</v>
      </c>
      <c r="L1244" t="n">
        <v>8</v>
      </c>
      <c r="M1244" t="n">
        <v>8</v>
      </c>
      <c r="N1244" t="n">
        <v>8</v>
      </c>
      <c r="O1244" t="n">
        <v>40</v>
      </c>
      <c r="P1244" t="n">
        <v>8</v>
      </c>
      <c r="R1244" s="9" t="n">
        <v>0.08</v>
      </c>
      <c r="S1244" s="10" t="inlineStr">
        <is>
          <t>SÍ — integrante</t>
        </is>
      </c>
      <c r="T1244" s="11" t="inlineStr">
        <is>
          <t>B · INTEGRANTE</t>
        </is>
      </c>
      <c r="U1244" s="11" t="inlineStr">
        <is>
          <t>DEL BANCO (se hereda)</t>
        </is>
      </c>
      <c r="V1244" s="11" t="inlineStr">
        <is>
          <t>9154 · OTRAS ACTIVIDADES NO CLASIFICADAS</t>
        </is>
      </c>
      <c r="W1244" s="12" t="n"/>
      <c r="X1244" s="12" t="n"/>
    </row>
    <row r="1245" ht="15" customHeight="1">
      <c r="C1245" t="inlineStr">
        <is>
          <t>Actividad económica / giro mercantil</t>
        </is>
      </c>
      <c r="D1245" t="inlineStr">
        <is>
          <t>F12</t>
        </is>
      </c>
      <c r="E1245" t="inlineStr">
        <is>
          <t>INHERENTE</t>
        </is>
      </c>
      <c r="F1245" t="inlineStr">
        <is>
          <t>PROMOCION DE ESPECTACULOS DEPORTIVOS</t>
        </is>
      </c>
      <c r="G1245" t="n">
        <v>8829048</v>
      </c>
      <c r="H1245" t="n">
        <v>5</v>
      </c>
      <c r="I1245" t="n">
        <v>5</v>
      </c>
      <c r="J1245" t="n">
        <v>8</v>
      </c>
      <c r="K1245" t="n">
        <v>40</v>
      </c>
      <c r="L1245" t="n">
        <v>40</v>
      </c>
      <c r="M1245" t="n">
        <v>40</v>
      </c>
      <c r="N1245" t="n">
        <v>40</v>
      </c>
      <c r="O1245" t="n">
        <v>40</v>
      </c>
      <c r="P1245" t="n">
        <v>8</v>
      </c>
      <c r="R1245" s="9" t="n">
        <v>0.08</v>
      </c>
      <c r="S1245" s="10" t="inlineStr">
        <is>
          <t>SÍ — integrante</t>
        </is>
      </c>
      <c r="T1245" s="11" t="inlineStr">
        <is>
          <t>B · INTEGRANTE</t>
        </is>
      </c>
      <c r="U1245" s="11" t="inlineStr">
        <is>
          <t>DEL BANCO (se hereda)</t>
        </is>
      </c>
      <c r="V1245" s="11" t="inlineStr">
        <is>
          <t>9154 · OTRAS ACTIVIDADES NO CLASIFICADAS</t>
        </is>
      </c>
      <c r="W1245" s="12" t="n"/>
      <c r="X1245" s="12" t="n"/>
    </row>
    <row r="1246" ht="15" customHeight="1">
      <c r="C1246" t="inlineStr">
        <is>
          <t>Actividad económica / giro mercantil</t>
        </is>
      </c>
      <c r="D1246" t="inlineStr">
        <is>
          <t>F12</t>
        </is>
      </c>
      <c r="E1246" t="inlineStr">
        <is>
          <t>INHERENTE</t>
        </is>
      </c>
      <c r="F1246" t="inlineStr">
        <is>
          <t>PROMOCION DE ESPECTACULOS TAURINOS</t>
        </is>
      </c>
      <c r="G1246" t="n">
        <v>8829056</v>
      </c>
      <c r="H1246" t="n">
        <v>1</v>
      </c>
      <c r="I1246" t="n">
        <v>1</v>
      </c>
      <c r="J1246" t="n">
        <v>8</v>
      </c>
      <c r="K1246" t="n">
        <v>8</v>
      </c>
      <c r="L1246" t="n">
        <v>8</v>
      </c>
      <c r="M1246" t="n">
        <v>8</v>
      </c>
      <c r="N1246" t="n">
        <v>8</v>
      </c>
      <c r="O1246" t="n">
        <v>40</v>
      </c>
      <c r="P1246" t="n">
        <v>8</v>
      </c>
      <c r="R1246" s="9" t="n">
        <v>0.08</v>
      </c>
      <c r="S1246" s="10" t="inlineStr">
        <is>
          <t>SÍ — integrante</t>
        </is>
      </c>
      <c r="T1246" s="11" t="inlineStr">
        <is>
          <t>B · INTEGRANTE</t>
        </is>
      </c>
      <c r="U1246" s="11" t="inlineStr">
        <is>
          <t>DEL BANCO (se hereda)</t>
        </is>
      </c>
      <c r="V1246" s="11" t="inlineStr">
        <is>
          <t>9154 · OTRAS ACTIVIDADES NO CLASIFICADAS</t>
        </is>
      </c>
      <c r="W1246" s="12" t="n"/>
      <c r="X1246" s="12" t="n"/>
    </row>
    <row r="1247" ht="15" customHeight="1">
      <c r="C1247" t="inlineStr">
        <is>
          <t>Actividad económica / giro mercantil</t>
        </is>
      </c>
      <c r="D1247" t="inlineStr">
        <is>
          <t>F12</t>
        </is>
      </c>
      <c r="E1247" t="inlineStr">
        <is>
          <t>INHERENTE</t>
        </is>
      </c>
      <c r="F1247" t="inlineStr">
        <is>
          <t>CENTRO NOCTURNO</t>
        </is>
      </c>
      <c r="G1247" t="n">
        <v>8831019</v>
      </c>
      <c r="H1247" t="n">
        <v>5</v>
      </c>
      <c r="I1247" t="n">
        <v>5</v>
      </c>
      <c r="J1247" t="n">
        <v>8</v>
      </c>
      <c r="K1247" t="n">
        <v>40</v>
      </c>
      <c r="L1247" t="n">
        <v>40</v>
      </c>
      <c r="M1247" t="n">
        <v>40</v>
      </c>
      <c r="N1247" t="n">
        <v>40</v>
      </c>
      <c r="O1247" t="n">
        <v>40</v>
      </c>
      <c r="P1247" t="n">
        <v>8</v>
      </c>
      <c r="Q1247" t="inlineStr">
        <is>
          <t>DETERMINANTE</t>
        </is>
      </c>
      <c r="R1247" s="9" t="n">
        <v>0.08</v>
      </c>
      <c r="S1247" s="10" t="inlineStr">
        <is>
          <t>SÍ — integrante</t>
        </is>
      </c>
      <c r="T1247" s="11" t="inlineStr">
        <is>
          <t>B · INTEGRANTE</t>
        </is>
      </c>
      <c r="U1247" s="11" t="inlineStr">
        <is>
          <t>DEL BANCO (se hereda)</t>
        </is>
      </c>
      <c r="V1247" s="11" t="inlineStr">
        <is>
          <t>9120 · EFECTIVO INTENSIVO</t>
        </is>
      </c>
      <c r="W1247" s="12" t="n"/>
      <c r="X1247" s="12" t="n"/>
    </row>
    <row r="1248" ht="15" customHeight="1">
      <c r="C1248" t="inlineStr">
        <is>
          <t>Actividad económica / giro mercantil</t>
        </is>
      </c>
      <c r="D1248" t="inlineStr">
        <is>
          <t>F12</t>
        </is>
      </c>
      <c r="E1248" t="inlineStr">
        <is>
          <t>INHERENTE</t>
        </is>
      </c>
      <c r="F1248" t="inlineStr">
        <is>
          <t>GALERIAS DE ARTES GRAFICAS Y MUSEOS</t>
        </is>
      </c>
      <c r="G1248" t="n">
        <v>8832017</v>
      </c>
      <c r="H1248" t="n">
        <v>5</v>
      </c>
      <c r="I1248" t="n">
        <v>5</v>
      </c>
      <c r="J1248" t="n">
        <v>8</v>
      </c>
      <c r="K1248" t="n">
        <v>40</v>
      </c>
      <c r="L1248" t="n">
        <v>40</v>
      </c>
      <c r="M1248" t="n">
        <v>40</v>
      </c>
      <c r="N1248" t="n">
        <v>40</v>
      </c>
      <c r="O1248" t="n">
        <v>40</v>
      </c>
      <c r="P1248" t="n">
        <v>8</v>
      </c>
      <c r="Q1248" t="inlineStr">
        <is>
          <t>DETERMINANTE</t>
        </is>
      </c>
      <c r="R1248" s="9" t="n">
        <v>0.08</v>
      </c>
      <c r="S1248" s="10" t="inlineStr">
        <is>
          <t>SÍ — integrante</t>
        </is>
      </c>
      <c r="T1248" s="11" t="inlineStr">
        <is>
          <t>B · INTEGRANTE</t>
        </is>
      </c>
      <c r="U1248" s="11" t="inlineStr">
        <is>
          <t>DEL BANCO (se hereda)</t>
        </is>
      </c>
      <c r="V1248" s="11" t="inlineStr">
        <is>
          <t>9154 · OTRAS ACTIVIDADES NO CLASIFICADAS</t>
        </is>
      </c>
      <c r="W1248" s="12" t="n"/>
      <c r="X1248" s="12" t="n"/>
    </row>
    <row r="1249" ht="15" customHeight="1">
      <c r="C1249" t="inlineStr">
        <is>
          <t>Actividad económica / giro mercantil</t>
        </is>
      </c>
      <c r="D1249" t="inlineStr">
        <is>
          <t>F12</t>
        </is>
      </c>
      <c r="E1249" t="inlineStr">
        <is>
          <t>INHERENTE</t>
        </is>
      </c>
      <c r="F1249" t="inlineStr">
        <is>
          <t>FEDERACIONES Y ASOCIACIONES DEPORTIVAS Y OTRAS CON FINES RECREATIVOS</t>
        </is>
      </c>
      <c r="G1249" t="n">
        <v>8833015</v>
      </c>
      <c r="H1249" t="n">
        <v>5</v>
      </c>
      <c r="I1249" t="n">
        <v>5</v>
      </c>
      <c r="J1249" t="n">
        <v>8</v>
      </c>
      <c r="K1249" t="n">
        <v>40</v>
      </c>
      <c r="L1249" t="n">
        <v>40</v>
      </c>
      <c r="M1249" t="n">
        <v>40</v>
      </c>
      <c r="N1249" t="n">
        <v>40</v>
      </c>
      <c r="O1249" t="n">
        <v>40</v>
      </c>
      <c r="P1249" t="n">
        <v>8</v>
      </c>
      <c r="Q1249" t="inlineStr">
        <is>
          <t>DETERMINANTE</t>
        </is>
      </c>
      <c r="R1249" s="9" t="n">
        <v>0.08</v>
      </c>
      <c r="S1249" s="10" t="inlineStr">
        <is>
          <t>SÍ — integrante</t>
        </is>
      </c>
      <c r="T1249" s="11" t="inlineStr">
        <is>
          <t>B · INTEGRANTE</t>
        </is>
      </c>
      <c r="U1249" s="11" t="inlineStr">
        <is>
          <t>DEL BANCO (se hereda)</t>
        </is>
      </c>
      <c r="V1249" s="11" t="inlineStr">
        <is>
          <t>9154 · OTRAS ACTIVIDADES NO CLASIFICADAS</t>
        </is>
      </c>
      <c r="W1249" s="12" t="n"/>
      <c r="X1249" s="12" t="n"/>
    </row>
    <row r="1250" ht="15" customHeight="1">
      <c r="C1250" t="inlineStr">
        <is>
          <t>Actividad económica / giro mercantil</t>
        </is>
      </c>
      <c r="D1250" t="inlineStr">
        <is>
          <t>F12</t>
        </is>
      </c>
      <c r="E1250" t="inlineStr">
        <is>
          <t>INHERENTE</t>
        </is>
      </c>
      <c r="F1250" t="inlineStr">
        <is>
          <t>JUEGOS DE FERIA</t>
        </is>
      </c>
      <c r="G1250" t="n">
        <v>8839013</v>
      </c>
      <c r="H1250" t="n">
        <v>5</v>
      </c>
      <c r="I1250" t="n">
        <v>5</v>
      </c>
      <c r="J1250" t="n">
        <v>8</v>
      </c>
      <c r="K1250" t="n">
        <v>40</v>
      </c>
      <c r="L1250" t="n">
        <v>40</v>
      </c>
      <c r="M1250" t="n">
        <v>40</v>
      </c>
      <c r="N1250" t="n">
        <v>40</v>
      </c>
      <c r="O1250" t="n">
        <v>40</v>
      </c>
      <c r="P1250" t="n">
        <v>8</v>
      </c>
      <c r="Q1250" t="inlineStr">
        <is>
          <t>DETERMINANTE</t>
        </is>
      </c>
      <c r="R1250" s="9" t="n">
        <v>0.08</v>
      </c>
      <c r="S1250" s="10" t="inlineStr">
        <is>
          <t>SÍ — integrante</t>
        </is>
      </c>
      <c r="T1250" s="11" t="inlineStr">
        <is>
          <t>B · INTEGRANTE</t>
        </is>
      </c>
      <c r="U1250" s="11" t="inlineStr">
        <is>
          <t>DEL BANCO (se hereda)</t>
        </is>
      </c>
      <c r="V1250" s="11" t="inlineStr">
        <is>
          <t>9120 · EFECTIVO INTENSIVO</t>
        </is>
      </c>
      <c r="W1250" s="12" t="n"/>
      <c r="X1250" s="12" t="n"/>
    </row>
    <row r="1251" ht="15" customHeight="1">
      <c r="C1251" t="inlineStr">
        <is>
          <t>Actividad económica / giro mercantil</t>
        </is>
      </c>
      <c r="D1251" t="inlineStr">
        <is>
          <t>F12</t>
        </is>
      </c>
      <c r="E1251" t="inlineStr">
        <is>
          <t>INHERENTE</t>
        </is>
      </c>
      <c r="F1251" t="inlineStr">
        <is>
          <t>USUARIOS MENORES CINEMATOGRAFIA Y ESPARCIMIENTO</t>
        </is>
      </c>
      <c r="G1251" t="n">
        <v>8839906</v>
      </c>
      <c r="H1251" t="n">
        <v>1</v>
      </c>
      <c r="I1251" t="n">
        <v>1</v>
      </c>
      <c r="J1251" t="n">
        <v>8</v>
      </c>
      <c r="K1251" t="n">
        <v>8</v>
      </c>
      <c r="L1251" t="n">
        <v>8</v>
      </c>
      <c r="M1251" t="n">
        <v>8</v>
      </c>
      <c r="N1251" t="n">
        <v>8</v>
      </c>
      <c r="O1251" t="n">
        <v>40</v>
      </c>
      <c r="P1251" t="n">
        <v>8</v>
      </c>
      <c r="R1251" s="9" t="n">
        <v>0.08</v>
      </c>
      <c r="S1251" s="10" t="inlineStr">
        <is>
          <t>SÍ — integrante</t>
        </is>
      </c>
      <c r="T1251" s="11" t="inlineStr">
        <is>
          <t>B · INTEGRANTE</t>
        </is>
      </c>
      <c r="U1251" s="11" t="inlineStr">
        <is>
          <t>DEL BANCO (se hereda)</t>
        </is>
      </c>
      <c r="V1251" s="11" t="inlineStr">
        <is>
          <t>9154 · OTRAS ACTIVIDADES NO CLASIFICADAS</t>
        </is>
      </c>
      <c r="W1251" s="12" t="n"/>
      <c r="X1251" s="12" t="n"/>
    </row>
    <row r="1252" ht="15" customHeight="1">
      <c r="C1252" t="inlineStr">
        <is>
          <t>Actividad económica / giro mercantil</t>
        </is>
      </c>
      <c r="D1252" t="inlineStr">
        <is>
          <t>F12</t>
        </is>
      </c>
      <c r="E1252" t="inlineStr">
        <is>
          <t>INHERENTE</t>
        </is>
      </c>
      <c r="F1252" t="inlineStr">
        <is>
          <t>CARTERA DE SERVICIOS DE ESPARCIMIENTO DE ESTADOS A</t>
        </is>
      </c>
      <c r="G1252" t="n">
        <v>8839914</v>
      </c>
      <c r="H1252" t="n">
        <v>2</v>
      </c>
      <c r="I1252" t="n">
        <v>2</v>
      </c>
      <c r="J1252" t="n">
        <v>8</v>
      </c>
      <c r="K1252" t="n">
        <v>16</v>
      </c>
      <c r="L1252" t="n">
        <v>16</v>
      </c>
      <c r="M1252" t="n">
        <v>16</v>
      </c>
      <c r="N1252" t="n">
        <v>16</v>
      </c>
      <c r="O1252" t="n">
        <v>40</v>
      </c>
      <c r="P1252" t="n">
        <v>8</v>
      </c>
      <c r="R1252" s="9" t="n">
        <v>0.08</v>
      </c>
      <c r="S1252" s="10" t="inlineStr">
        <is>
          <t>SÍ — integrante</t>
        </is>
      </c>
      <c r="T1252" s="11" t="inlineStr">
        <is>
          <t>B · INTEGRANTE</t>
        </is>
      </c>
      <c r="U1252" s="11" t="inlineStr">
        <is>
          <t>DEL BANCO (se hereda)</t>
        </is>
      </c>
      <c r="V1252" s="11" t="inlineStr">
        <is>
          <t>9154 · OTRAS ACTIVIDADES NO CLASIFICADAS</t>
        </is>
      </c>
      <c r="W1252" s="12" t="n"/>
      <c r="X1252" s="12" t="n"/>
    </row>
    <row r="1253" ht="15" customHeight="1">
      <c r="C1253" t="inlineStr">
        <is>
          <t>Actividad económica / giro mercantil</t>
        </is>
      </c>
      <c r="D1253" t="inlineStr">
        <is>
          <t>F12</t>
        </is>
      </c>
      <c r="E1253" t="inlineStr">
        <is>
          <t>INHERENTE</t>
        </is>
      </c>
      <c r="F1253" t="inlineStr">
        <is>
          <t>SERVICIOS PERSONALES, PARA EL HOGAR Y DIVERSOS</t>
        </is>
      </c>
      <c r="G1253" t="n">
        <v>8900004</v>
      </c>
      <c r="H1253" t="n">
        <v>1</v>
      </c>
      <c r="I1253" t="n">
        <v>1</v>
      </c>
      <c r="J1253" t="n">
        <v>8</v>
      </c>
      <c r="K1253" t="n">
        <v>8</v>
      </c>
      <c r="L1253" t="n">
        <v>8</v>
      </c>
      <c r="M1253" t="n">
        <v>8</v>
      </c>
      <c r="N1253" t="n">
        <v>8</v>
      </c>
      <c r="O1253" t="n">
        <v>40</v>
      </c>
      <c r="P1253" t="n">
        <v>8</v>
      </c>
      <c r="R1253" s="9" t="n">
        <v>0.08</v>
      </c>
      <c r="S1253" s="10" t="inlineStr">
        <is>
          <t>SÍ — integrante</t>
        </is>
      </c>
      <c r="T1253" s="11" t="inlineStr">
        <is>
          <t>B · INTEGRANTE</t>
        </is>
      </c>
      <c r="U1253" s="11" t="inlineStr">
        <is>
          <t>DEL BANCO (se hereda)</t>
        </is>
      </c>
      <c r="V1253" s="11" t="inlineStr">
        <is>
          <t>9111 · SIN ACTIVIDAD DE RIESGO / ASALARIADO</t>
        </is>
      </c>
      <c r="W1253" s="12" t="n"/>
      <c r="X1253" s="12" t="n"/>
    </row>
    <row r="1254" ht="15" customHeight="1">
      <c r="C1254" t="inlineStr">
        <is>
          <t>Actividad económica / giro mercantil</t>
        </is>
      </c>
      <c r="D1254" t="inlineStr">
        <is>
          <t>F12</t>
        </is>
      </c>
      <c r="E1254" t="inlineStr">
        <is>
          <t>INHERENTE</t>
        </is>
      </c>
      <c r="F1254" t="inlineStr">
        <is>
          <t>TALLER DE REPARACION GENERAL DE AUTOMOVILES Y CAMIONES</t>
        </is>
      </c>
      <c r="G1254" t="n">
        <v>8911019</v>
      </c>
      <c r="H1254" t="n">
        <v>1</v>
      </c>
      <c r="I1254" t="n">
        <v>1</v>
      </c>
      <c r="J1254" t="n">
        <v>8</v>
      </c>
      <c r="K1254" t="n">
        <v>8</v>
      </c>
      <c r="L1254" t="n">
        <v>8</v>
      </c>
      <c r="M1254" t="n">
        <v>8</v>
      </c>
      <c r="N1254" t="n">
        <v>8</v>
      </c>
      <c r="O1254" t="n">
        <v>40</v>
      </c>
      <c r="P1254" t="n">
        <v>8</v>
      </c>
      <c r="R1254" s="9" t="n">
        <v>0.08</v>
      </c>
      <c r="S1254" s="10" t="inlineStr">
        <is>
          <t>SÍ — integrante</t>
        </is>
      </c>
      <c r="T1254" s="11" t="inlineStr">
        <is>
          <t>B · INTEGRANTE</t>
        </is>
      </c>
      <c r="U1254" s="11" t="inlineStr">
        <is>
          <t>DEL BANCO (se hereda)</t>
        </is>
      </c>
      <c r="V1254" s="11" t="inlineStr">
        <is>
          <t>9152 · INDUSTRIA Y MANUFACTURA</t>
        </is>
      </c>
      <c r="W1254" s="12" t="n"/>
      <c r="X1254" s="12" t="n"/>
    </row>
    <row r="1255" ht="15" customHeight="1">
      <c r="C1255" t="inlineStr">
        <is>
          <t>Actividad económica / giro mercantil</t>
        </is>
      </c>
      <c r="D1255" t="inlineStr">
        <is>
          <t>F12</t>
        </is>
      </c>
      <c r="E1255" t="inlineStr">
        <is>
          <t>INHERENTE</t>
        </is>
      </c>
      <c r="F1255" t="inlineStr">
        <is>
          <t>SERVICIOS DE REPARACION DE MOTOCICLETAS Y BICICLETAS</t>
        </is>
      </c>
      <c r="G1255" t="n">
        <v>8912017</v>
      </c>
      <c r="H1255" t="n">
        <v>1</v>
      </c>
      <c r="I1255" t="n">
        <v>1</v>
      </c>
      <c r="J1255" t="n">
        <v>8</v>
      </c>
      <c r="K1255" t="n">
        <v>8</v>
      </c>
      <c r="L1255" t="n">
        <v>8</v>
      </c>
      <c r="M1255" t="n">
        <v>8</v>
      </c>
      <c r="N1255" t="n">
        <v>8</v>
      </c>
      <c r="O1255" t="n">
        <v>40</v>
      </c>
      <c r="P1255" t="n">
        <v>8</v>
      </c>
      <c r="R1255" s="9" t="n">
        <v>0.08</v>
      </c>
      <c r="S1255" s="10" t="inlineStr">
        <is>
          <t>SÍ — integrante</t>
        </is>
      </c>
      <c r="T1255" s="11" t="inlineStr">
        <is>
          <t>B · INTEGRANTE</t>
        </is>
      </c>
      <c r="U1255" s="11" t="inlineStr">
        <is>
          <t>DEL BANCO (se hereda)</t>
        </is>
      </c>
      <c r="V1255" s="11" t="inlineStr">
        <is>
          <t>9154 · OTRAS ACTIVIDADES NO CLASIFICADAS</t>
        </is>
      </c>
      <c r="W1255" s="12" t="n"/>
      <c r="X1255" s="12" t="n"/>
    </row>
    <row r="1256" ht="15" customHeight="1">
      <c r="C1256" t="inlineStr">
        <is>
          <t>Actividad económica / giro mercantil</t>
        </is>
      </c>
      <c r="D1256" t="inlineStr">
        <is>
          <t>F12</t>
        </is>
      </c>
      <c r="E1256" t="inlineStr">
        <is>
          <t>INHERENTE</t>
        </is>
      </c>
      <c r="F1256" t="inlineStr">
        <is>
          <t>SERVICIOS DE REPARACION ESPECIALIZADO EN PARTES DE AUTOMOVILES EXCEPTO RECONSTRUCCION DE MOTORES Y CARROCERIAS</t>
        </is>
      </c>
      <c r="G1256" t="n">
        <v>8913015</v>
      </c>
      <c r="H1256" t="n">
        <v>1</v>
      </c>
      <c r="I1256" t="n">
        <v>1</v>
      </c>
      <c r="J1256" t="n">
        <v>8</v>
      </c>
      <c r="K1256" t="n">
        <v>8</v>
      </c>
      <c r="L1256" t="n">
        <v>8</v>
      </c>
      <c r="M1256" t="n">
        <v>8</v>
      </c>
      <c r="N1256" t="n">
        <v>8</v>
      </c>
      <c r="O1256" t="n">
        <v>40</v>
      </c>
      <c r="P1256" t="n">
        <v>8</v>
      </c>
      <c r="R1256" s="9" t="n">
        <v>0.08</v>
      </c>
      <c r="S1256" s="10" t="inlineStr">
        <is>
          <t>SÍ — integrante</t>
        </is>
      </c>
      <c r="T1256" s="11" t="inlineStr">
        <is>
          <t>B · INTEGRANTE</t>
        </is>
      </c>
      <c r="U1256" s="11" t="inlineStr">
        <is>
          <t>DEL BANCO (se hereda)</t>
        </is>
      </c>
      <c r="V1256" s="11" t="inlineStr">
        <is>
          <t>9117 · INMOBILIARIO / CONSTRUCCIÓN</t>
        </is>
      </c>
      <c r="W1256" s="12" t="n"/>
      <c r="X1256" s="12" t="n"/>
    </row>
    <row r="1257" ht="15" customHeight="1">
      <c r="C1257" t="inlineStr">
        <is>
          <t>Actividad económica / giro mercantil</t>
        </is>
      </c>
      <c r="D1257" t="inlineStr">
        <is>
          <t>F12</t>
        </is>
      </c>
      <c r="E1257" t="inlineStr">
        <is>
          <t>INHERENTE</t>
        </is>
      </c>
      <c r="F1257" t="inlineStr">
        <is>
          <t>SERVICIOS DE REPARACION DE CARROCERIAS PINTURA TAPICERIA HOJALATERIA Y CRISTALES DE AUTOMOVILES</t>
        </is>
      </c>
      <c r="G1257" t="n">
        <v>8914013</v>
      </c>
      <c r="H1257" t="n">
        <v>1</v>
      </c>
      <c r="I1257" t="n">
        <v>1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40</v>
      </c>
      <c r="P1257" t="n">
        <v>8</v>
      </c>
      <c r="R1257" s="9" t="n">
        <v>0.08</v>
      </c>
      <c r="S1257" s="10" t="inlineStr">
        <is>
          <t>SÍ — integrante</t>
        </is>
      </c>
      <c r="T1257" s="11" t="inlineStr">
        <is>
          <t>B · INTEGRANTE</t>
        </is>
      </c>
      <c r="U1257" s="11" t="inlineStr">
        <is>
          <t>DEL BANCO (se hereda)</t>
        </is>
      </c>
      <c r="V1257" s="11" t="inlineStr">
        <is>
          <t>9152 · INDUSTRIA Y MANUFACTURA</t>
        </is>
      </c>
      <c r="W1257" s="12" t="n"/>
      <c r="X1257" s="12" t="n"/>
    </row>
    <row r="1258" ht="15" customHeight="1">
      <c r="C1258" t="inlineStr">
        <is>
          <t>Actividad económica / giro mercantil</t>
        </is>
      </c>
      <c r="D1258" t="inlineStr">
        <is>
          <t>F12</t>
        </is>
      </c>
      <c r="E1258" t="inlineStr">
        <is>
          <t>INHERENTE</t>
        </is>
      </c>
      <c r="F1258" t="inlineStr">
        <is>
          <t>SERVICIOS DE LAVADO Y LUBRICACION DE AUTOMOVILES</t>
        </is>
      </c>
      <c r="G1258" t="n">
        <v>8915011</v>
      </c>
      <c r="H1258" t="n">
        <v>3</v>
      </c>
      <c r="I1258" t="n">
        <v>3</v>
      </c>
      <c r="J1258" t="n">
        <v>8</v>
      </c>
      <c r="K1258" t="n">
        <v>24</v>
      </c>
      <c r="L1258" t="n">
        <v>24</v>
      </c>
      <c r="M1258" t="n">
        <v>24</v>
      </c>
      <c r="N1258" t="n">
        <v>24</v>
      </c>
      <c r="O1258" t="n">
        <v>40</v>
      </c>
      <c r="P1258" t="n">
        <v>8</v>
      </c>
      <c r="R1258" s="9" t="n">
        <v>0.08</v>
      </c>
      <c r="S1258" s="10" t="inlineStr">
        <is>
          <t>SÍ — integrante</t>
        </is>
      </c>
      <c r="T1258" s="11" t="inlineStr">
        <is>
          <t>B · INTEGRANTE</t>
        </is>
      </c>
      <c r="U1258" s="11" t="inlineStr">
        <is>
          <t>DEL BANCO (se hereda)</t>
        </is>
      </c>
      <c r="V1258" s="11" t="inlineStr">
        <is>
          <t>9154 · OTRAS ACTIVIDADES NO CLASIFICADAS</t>
        </is>
      </c>
      <c r="W1258" s="12" t="n"/>
      <c r="X1258" s="12" t="n"/>
    </row>
    <row r="1259" ht="15" customHeight="1">
      <c r="C1259" t="inlineStr">
        <is>
          <t>Actividad económica / giro mercantil</t>
        </is>
      </c>
      <c r="D1259" t="inlineStr">
        <is>
          <t>F12</t>
        </is>
      </c>
      <c r="E1259" t="inlineStr">
        <is>
          <t>INHERENTE</t>
        </is>
      </c>
      <c r="F1259" t="inlineStr">
        <is>
          <t>ESTACIONAMIENTO PRIVADO PARA VEHICULOS</t>
        </is>
      </c>
      <c r="G1259" t="n">
        <v>8916019</v>
      </c>
      <c r="H1259" t="n">
        <v>2</v>
      </c>
      <c r="I1259" t="n">
        <v>2</v>
      </c>
      <c r="J1259" t="n">
        <v>8</v>
      </c>
      <c r="K1259" t="n">
        <v>16</v>
      </c>
      <c r="L1259" t="n">
        <v>16</v>
      </c>
      <c r="M1259" t="n">
        <v>16</v>
      </c>
      <c r="N1259" t="n">
        <v>16</v>
      </c>
      <c r="O1259" t="n">
        <v>40</v>
      </c>
      <c r="P1259" t="n">
        <v>8</v>
      </c>
      <c r="R1259" s="9" t="n">
        <v>0.08</v>
      </c>
      <c r="S1259" s="10" t="inlineStr">
        <is>
          <t>SÍ — integrante</t>
        </is>
      </c>
      <c r="T1259" s="11" t="inlineStr">
        <is>
          <t>B · INTEGRANTE</t>
        </is>
      </c>
      <c r="U1259" s="11" t="inlineStr">
        <is>
          <t>DEL BANCO (se hereda)</t>
        </is>
      </c>
      <c r="V1259" s="11" t="inlineStr">
        <is>
          <t>9120 · EFECTIVO INTENSIVO</t>
        </is>
      </c>
      <c r="W1259" s="12" t="n"/>
      <c r="X1259" s="12" t="n"/>
    </row>
    <row r="1260" ht="15" customHeight="1">
      <c r="C1260" t="inlineStr">
        <is>
          <t>Actividad económica / giro mercantil</t>
        </is>
      </c>
      <c r="D1260" t="inlineStr">
        <is>
          <t>F12</t>
        </is>
      </c>
      <c r="E1260" t="inlineStr">
        <is>
          <t>INHERENTE</t>
        </is>
      </c>
      <c r="F1260" t="inlineStr">
        <is>
          <t>ESTACIONAMIENTO PUBLICO PARA VEHICULOS</t>
        </is>
      </c>
      <c r="G1260" t="n">
        <v>8916027</v>
      </c>
      <c r="H1260" t="n">
        <v>2</v>
      </c>
      <c r="I1260" t="n">
        <v>2</v>
      </c>
      <c r="J1260" t="n">
        <v>8</v>
      </c>
      <c r="K1260" t="n">
        <v>16</v>
      </c>
      <c r="L1260" t="n">
        <v>16</v>
      </c>
      <c r="M1260" t="n">
        <v>16</v>
      </c>
      <c r="N1260" t="n">
        <v>16</v>
      </c>
      <c r="O1260" t="n">
        <v>40</v>
      </c>
      <c r="P1260" t="n">
        <v>8</v>
      </c>
      <c r="R1260" s="9" t="n">
        <v>0.08</v>
      </c>
      <c r="S1260" s="10" t="inlineStr">
        <is>
          <t>SÍ — integrante</t>
        </is>
      </c>
      <c r="T1260" s="11" t="inlineStr">
        <is>
          <t>B · INTEGRANTE</t>
        </is>
      </c>
      <c r="U1260" s="11" t="inlineStr">
        <is>
          <t>DEL BANCO (se hereda)</t>
        </is>
      </c>
      <c r="V1260" s="11" t="inlineStr">
        <is>
          <t>9120 · EFECTIVO INTENSIVO</t>
        </is>
      </c>
      <c r="W1260" s="12" t="n"/>
      <c r="X1260" s="12" t="n"/>
    </row>
    <row r="1261" ht="15" customHeight="1">
      <c r="C1261" t="inlineStr">
        <is>
          <t>Actividad económica / giro mercantil</t>
        </is>
      </c>
      <c r="D1261" t="inlineStr">
        <is>
          <t>F12</t>
        </is>
      </c>
      <c r="E1261" t="inlineStr">
        <is>
          <t>INHERENTE</t>
        </is>
      </c>
      <c r="F1261" t="inlineStr">
        <is>
          <t>SERVICIO DE REPARACION DE VEHICULOS DE TRACCION ANIMAL Y PROPULSION A MANO</t>
        </is>
      </c>
      <c r="G1261" t="n">
        <v>8919013</v>
      </c>
      <c r="H1261" t="n">
        <v>1</v>
      </c>
      <c r="I1261" t="n">
        <v>1</v>
      </c>
      <c r="J1261" t="n">
        <v>8</v>
      </c>
      <c r="K1261" t="n">
        <v>8</v>
      </c>
      <c r="L1261" t="n">
        <v>8</v>
      </c>
      <c r="M1261" t="n">
        <v>8</v>
      </c>
      <c r="N1261" t="n">
        <v>8</v>
      </c>
      <c r="O1261" t="n">
        <v>40</v>
      </c>
      <c r="P1261" t="n">
        <v>8</v>
      </c>
      <c r="R1261" s="9" t="n">
        <v>0.08</v>
      </c>
      <c r="S1261" s="10" t="inlineStr">
        <is>
          <t>SÍ — integrante</t>
        </is>
      </c>
      <c r="T1261" s="11" t="inlineStr">
        <is>
          <t>B · INTEGRANTE</t>
        </is>
      </c>
      <c r="U1261" s="11" t="inlineStr">
        <is>
          <t>DEL BANCO (se hereda)</t>
        </is>
      </c>
      <c r="V1261" s="11" t="inlineStr">
        <is>
          <t>9154 · OTRAS ACTIVIDADES NO CLASIFICADAS</t>
        </is>
      </c>
      <c r="W1261" s="12" t="n"/>
      <c r="X1261" s="12" t="n"/>
    </row>
    <row r="1262" ht="15" customHeight="1">
      <c r="C1262" t="inlineStr">
        <is>
          <t>Actividad económica / giro mercantil</t>
        </is>
      </c>
      <c r="D1262" t="inlineStr">
        <is>
          <t>F12</t>
        </is>
      </c>
      <c r="E1262" t="inlineStr">
        <is>
          <t>INHERENTE</t>
        </is>
      </c>
      <c r="F1262" t="inlineStr">
        <is>
          <t>TALLER DE REPARACION DE CALZADO</t>
        </is>
      </c>
      <c r="G1262" t="n">
        <v>8921018</v>
      </c>
      <c r="H1262" t="n">
        <v>1</v>
      </c>
      <c r="I1262" t="n">
        <v>1</v>
      </c>
      <c r="J1262" t="n">
        <v>8</v>
      </c>
      <c r="K1262" t="n">
        <v>8</v>
      </c>
      <c r="L1262" t="n">
        <v>8</v>
      </c>
      <c r="M1262" t="n">
        <v>8</v>
      </c>
      <c r="N1262" t="n">
        <v>8</v>
      </c>
      <c r="O1262" t="n">
        <v>40</v>
      </c>
      <c r="P1262" t="n">
        <v>8</v>
      </c>
      <c r="R1262" s="9" t="n">
        <v>0.08</v>
      </c>
      <c r="S1262" s="10" t="inlineStr">
        <is>
          <t>SÍ — integrante</t>
        </is>
      </c>
      <c r="T1262" s="11" t="inlineStr">
        <is>
          <t>B · INTEGRANTE</t>
        </is>
      </c>
      <c r="U1262" s="11" t="inlineStr">
        <is>
          <t>DEL BANCO (se hereda)</t>
        </is>
      </c>
      <c r="V1262" s="11" t="inlineStr">
        <is>
          <t>9152 · INDUSTRIA Y MANUFACTURA</t>
        </is>
      </c>
      <c r="W1262" s="12" t="n"/>
      <c r="X1262" s="12" t="n"/>
    </row>
    <row r="1263" ht="15" customHeight="1">
      <c r="C1263" t="inlineStr">
        <is>
          <t>Actividad económica / giro mercantil</t>
        </is>
      </c>
      <c r="D1263" t="inlineStr">
        <is>
          <t>F12</t>
        </is>
      </c>
      <c r="E1263" t="inlineStr">
        <is>
          <t>INHERENTE</t>
        </is>
      </c>
      <c r="F1263" t="inlineStr">
        <is>
          <t>TALLER DE REPARACION DE APARATOS ELECTRICOS Y ELECTRONICOS INDUSTRIALES Y COMERCIALES</t>
        </is>
      </c>
      <c r="G1263" t="n">
        <v>8922016</v>
      </c>
      <c r="H1263" t="n">
        <v>1</v>
      </c>
      <c r="I1263" t="n">
        <v>1</v>
      </c>
      <c r="J1263" t="n">
        <v>8</v>
      </c>
      <c r="K1263" t="n">
        <v>8</v>
      </c>
      <c r="L1263" t="n">
        <v>8</v>
      </c>
      <c r="M1263" t="n">
        <v>8</v>
      </c>
      <c r="N1263" t="n">
        <v>8</v>
      </c>
      <c r="O1263" t="n">
        <v>40</v>
      </c>
      <c r="P1263" t="n">
        <v>8</v>
      </c>
      <c r="R1263" s="9" t="n">
        <v>0.08</v>
      </c>
      <c r="S1263" s="10" t="inlineStr">
        <is>
          <t>SÍ — integrante</t>
        </is>
      </c>
      <c r="T1263" s="11" t="inlineStr">
        <is>
          <t>B · INTEGRANTE</t>
        </is>
      </c>
      <c r="U1263" s="11" t="inlineStr">
        <is>
          <t>DEL BANCO (se hereda)</t>
        </is>
      </c>
      <c r="V1263" s="11" t="inlineStr">
        <is>
          <t>9152 · INDUSTRIA Y MANUFACTURA</t>
        </is>
      </c>
      <c r="W1263" s="12" t="n"/>
      <c r="X1263" s="12" t="n"/>
    </row>
    <row r="1264" ht="15" customHeight="1">
      <c r="C1264" t="inlineStr">
        <is>
          <t>Actividad económica / giro mercantil</t>
        </is>
      </c>
      <c r="D1264" t="inlineStr">
        <is>
          <t>F12</t>
        </is>
      </c>
      <c r="E1264" t="inlineStr">
        <is>
          <t>INHERENTE</t>
        </is>
      </c>
      <c r="F1264" t="inlineStr">
        <is>
          <t>TALLER DE REPARACION DE ARTICULOS ELECTRICOS Y ELECTRONICOS PARA EL HOGAR</t>
        </is>
      </c>
      <c r="G1264" t="n">
        <v>8922024</v>
      </c>
      <c r="H1264" t="n">
        <v>1</v>
      </c>
      <c r="I1264" t="n">
        <v>1</v>
      </c>
      <c r="J1264" t="n">
        <v>8</v>
      </c>
      <c r="K1264" t="n">
        <v>8</v>
      </c>
      <c r="L1264" t="n">
        <v>8</v>
      </c>
      <c r="M1264" t="n">
        <v>8</v>
      </c>
      <c r="N1264" t="n">
        <v>8</v>
      </c>
      <c r="O1264" t="n">
        <v>40</v>
      </c>
      <c r="P1264" t="n">
        <v>8</v>
      </c>
      <c r="R1264" s="9" t="n">
        <v>0.08</v>
      </c>
      <c r="S1264" s="10" t="inlineStr">
        <is>
          <t>SÍ — integrante</t>
        </is>
      </c>
      <c r="T1264" s="11" t="inlineStr">
        <is>
          <t>B · INTEGRANTE</t>
        </is>
      </c>
      <c r="U1264" s="11" t="inlineStr">
        <is>
          <t>DEL BANCO (se hereda)</t>
        </is>
      </c>
      <c r="V1264" s="11" t="inlineStr">
        <is>
          <t>9111 · SIN ACTIVIDAD DE RIESGO / ASALARIADO</t>
        </is>
      </c>
      <c r="W1264" s="12" t="n"/>
      <c r="X1264" s="12" t="n"/>
    </row>
    <row r="1265" ht="15" customHeight="1">
      <c r="C1265" t="inlineStr">
        <is>
          <t>Actividad económica / giro mercantil</t>
        </is>
      </c>
      <c r="D1265" t="inlineStr">
        <is>
          <t>F12</t>
        </is>
      </c>
      <c r="E1265" t="inlineStr">
        <is>
          <t>INHERENTE</t>
        </is>
      </c>
      <c r="F1265" t="inlineStr">
        <is>
          <t>SERVICIOS DE REPARACION DE RELOJES Y JOYAS</t>
        </is>
      </c>
      <c r="G1265" t="n">
        <v>8923014</v>
      </c>
      <c r="H1265" t="n">
        <v>4</v>
      </c>
      <c r="I1265" t="n">
        <v>4</v>
      </c>
      <c r="J1265" t="n">
        <v>8</v>
      </c>
      <c r="K1265" t="n">
        <v>32</v>
      </c>
      <c r="L1265" t="n">
        <v>32</v>
      </c>
      <c r="M1265" t="n">
        <v>32</v>
      </c>
      <c r="N1265" t="n">
        <v>32</v>
      </c>
      <c r="O1265" t="n">
        <v>40</v>
      </c>
      <c r="P1265" t="n">
        <v>8</v>
      </c>
      <c r="R1265" s="9" t="n">
        <v>0.08</v>
      </c>
      <c r="S1265" s="10" t="inlineStr">
        <is>
          <t>SÍ — integrante</t>
        </is>
      </c>
      <c r="T1265" s="11" t="inlineStr">
        <is>
          <t>B · INTEGRANTE</t>
        </is>
      </c>
      <c r="U1265" s="11" t="inlineStr">
        <is>
          <t>DEL BANCO (se hereda)</t>
        </is>
      </c>
      <c r="V1265" s="11" t="inlineStr">
        <is>
          <t>9120 · EFECTIVO INTENSIVO</t>
        </is>
      </c>
      <c r="W1265" s="12" t="n"/>
      <c r="X1265" s="12" t="n"/>
    </row>
    <row r="1266" ht="15" customHeight="1">
      <c r="C1266" t="inlineStr">
        <is>
          <t>Actividad económica / giro mercantil</t>
        </is>
      </c>
      <c r="D1266" t="inlineStr">
        <is>
          <t>F12</t>
        </is>
      </c>
      <c r="E1266" t="inlineStr">
        <is>
          <t>INHERENTE</t>
        </is>
      </c>
      <c r="F1266" t="inlineStr">
        <is>
          <t>TALLER DE TAPICERIA</t>
        </is>
      </c>
      <c r="G1266" t="n">
        <v>8924012</v>
      </c>
      <c r="H1266" t="n">
        <v>1</v>
      </c>
      <c r="I1266" t="n">
        <v>1</v>
      </c>
      <c r="J1266" t="n">
        <v>8</v>
      </c>
      <c r="K1266" t="n">
        <v>8</v>
      </c>
      <c r="L1266" t="n">
        <v>8</v>
      </c>
      <c r="M1266" t="n">
        <v>8</v>
      </c>
      <c r="N1266" t="n">
        <v>8</v>
      </c>
      <c r="O1266" t="n">
        <v>40</v>
      </c>
      <c r="P1266" t="n">
        <v>8</v>
      </c>
      <c r="R1266" s="9" t="n">
        <v>0.08</v>
      </c>
      <c r="S1266" s="10" t="inlineStr">
        <is>
          <t>SÍ — integrante</t>
        </is>
      </c>
      <c r="T1266" s="11" t="inlineStr">
        <is>
          <t>B · INTEGRANTE</t>
        </is>
      </c>
      <c r="U1266" s="11" t="inlineStr">
        <is>
          <t>DEL BANCO (se hereda)</t>
        </is>
      </c>
      <c r="V1266" s="11" t="inlineStr">
        <is>
          <t>9152 · INDUSTRIA Y MANUFACTURA</t>
        </is>
      </c>
      <c r="W1266" s="12" t="n"/>
      <c r="X1266" s="12" t="n"/>
    </row>
    <row r="1267" ht="15" customHeight="1">
      <c r="C1267" t="inlineStr">
        <is>
          <t>Actividad económica / giro mercantil</t>
        </is>
      </c>
      <c r="D1267" t="inlineStr">
        <is>
          <t>F12</t>
        </is>
      </c>
      <c r="E1267" t="inlineStr">
        <is>
          <t>INHERENTE</t>
        </is>
      </c>
      <c r="F1267" t="inlineStr">
        <is>
          <t>TALLER DE REPARACION DE PARAGUAS Y SOMBRILLAS</t>
        </is>
      </c>
      <c r="G1267" t="n">
        <v>8929012</v>
      </c>
      <c r="H1267" t="n">
        <v>1</v>
      </c>
      <c r="I1267" t="n">
        <v>1</v>
      </c>
      <c r="J1267" t="n">
        <v>8</v>
      </c>
      <c r="K1267" t="n">
        <v>8</v>
      </c>
      <c r="L1267" t="n">
        <v>8</v>
      </c>
      <c r="M1267" t="n">
        <v>8</v>
      </c>
      <c r="N1267" t="n">
        <v>8</v>
      </c>
      <c r="O1267" t="n">
        <v>40</v>
      </c>
      <c r="P1267" t="n">
        <v>8</v>
      </c>
      <c r="R1267" s="9" t="n">
        <v>0.08</v>
      </c>
      <c r="S1267" s="10" t="inlineStr">
        <is>
          <t>SÍ — integrante</t>
        </is>
      </c>
      <c r="T1267" s="11" t="inlineStr">
        <is>
          <t>B · INTEGRANTE</t>
        </is>
      </c>
      <c r="U1267" s="11" t="inlineStr">
        <is>
          <t>DEL BANCO (se hereda)</t>
        </is>
      </c>
      <c r="V1267" s="11" t="inlineStr">
        <is>
          <t>9152 · INDUSTRIA Y MANUFACTURA</t>
        </is>
      </c>
      <c r="W1267" s="12" t="n"/>
      <c r="X1267" s="12" t="n"/>
    </row>
    <row r="1268" ht="15" customHeight="1">
      <c r="C1268" t="inlineStr">
        <is>
          <t>Actividad económica / giro mercantil</t>
        </is>
      </c>
      <c r="D1268" t="inlineStr">
        <is>
          <t>F12</t>
        </is>
      </c>
      <c r="E1268" t="inlineStr">
        <is>
          <t>INHERENTE</t>
        </is>
      </c>
      <c r="F1268" t="inlineStr">
        <is>
          <t>TALLER DE REPARACION DE ROPA Y MEDIAS</t>
        </is>
      </c>
      <c r="G1268" t="n">
        <v>8929020</v>
      </c>
      <c r="H1268" t="n">
        <v>1</v>
      </c>
      <c r="I1268" t="n">
        <v>1</v>
      </c>
      <c r="J1268" t="n">
        <v>8</v>
      </c>
      <c r="K1268" t="n">
        <v>8</v>
      </c>
      <c r="L1268" t="n">
        <v>8</v>
      </c>
      <c r="M1268" t="n">
        <v>8</v>
      </c>
      <c r="N1268" t="n">
        <v>8</v>
      </c>
      <c r="O1268" t="n">
        <v>40</v>
      </c>
      <c r="P1268" t="n">
        <v>8</v>
      </c>
      <c r="R1268" s="9" t="n">
        <v>0.08</v>
      </c>
      <c r="S1268" s="10" t="inlineStr">
        <is>
          <t>SÍ — integrante</t>
        </is>
      </c>
      <c r="T1268" s="11" t="inlineStr">
        <is>
          <t>B · INTEGRANTE</t>
        </is>
      </c>
      <c r="U1268" s="11" t="inlineStr">
        <is>
          <t>DEL BANCO (se hereda)</t>
        </is>
      </c>
      <c r="V1268" s="11" t="inlineStr">
        <is>
          <t>9152 · INDUSTRIA Y MANUFACTURA</t>
        </is>
      </c>
      <c r="W1268" s="12" t="n"/>
      <c r="X1268" s="12" t="n"/>
    </row>
    <row r="1269" ht="15" customHeight="1">
      <c r="C1269" t="inlineStr">
        <is>
          <t>Actividad económica / giro mercantil</t>
        </is>
      </c>
      <c r="D1269" t="inlineStr">
        <is>
          <t>F12</t>
        </is>
      </c>
      <c r="E1269" t="inlineStr">
        <is>
          <t>INHERENTE</t>
        </is>
      </c>
      <c r="F1269" t="inlineStr">
        <is>
          <t>TALLER DE REPARACION DE SOMBREROS</t>
        </is>
      </c>
      <c r="G1269" t="n">
        <v>8929038</v>
      </c>
      <c r="H1269" t="n">
        <v>1</v>
      </c>
      <c r="I1269" t="n">
        <v>1</v>
      </c>
      <c r="J1269" t="n">
        <v>8</v>
      </c>
      <c r="K1269" t="n">
        <v>8</v>
      </c>
      <c r="L1269" t="n">
        <v>8</v>
      </c>
      <c r="M1269" t="n">
        <v>8</v>
      </c>
      <c r="N1269" t="n">
        <v>8</v>
      </c>
      <c r="O1269" t="n">
        <v>40</v>
      </c>
      <c r="P1269" t="n">
        <v>8</v>
      </c>
      <c r="R1269" s="9" t="n">
        <v>0.08</v>
      </c>
      <c r="S1269" s="10" t="inlineStr">
        <is>
          <t>SÍ — integrante</t>
        </is>
      </c>
      <c r="T1269" s="11" t="inlineStr">
        <is>
          <t>B · INTEGRANTE</t>
        </is>
      </c>
      <c r="U1269" s="11" t="inlineStr">
        <is>
          <t>DEL BANCO (se hereda)</t>
        </is>
      </c>
      <c r="V1269" s="11" t="inlineStr">
        <is>
          <t>9152 · INDUSTRIA Y MANUFACTURA</t>
        </is>
      </c>
      <c r="W1269" s="12" t="n"/>
      <c r="X1269" s="12" t="n"/>
    </row>
    <row r="1270" ht="15" customHeight="1">
      <c r="C1270" t="inlineStr">
        <is>
          <t>Actividad económica / giro mercantil</t>
        </is>
      </c>
      <c r="D1270" t="inlineStr">
        <is>
          <t>F12</t>
        </is>
      </c>
      <c r="E1270" t="inlineStr">
        <is>
          <t>INHERENTE</t>
        </is>
      </c>
      <c r="F1270" t="inlineStr">
        <is>
          <t>BAÑOS</t>
        </is>
      </c>
      <c r="G1270" t="n">
        <v>8931017</v>
      </c>
      <c r="H1270" t="n">
        <v>2</v>
      </c>
      <c r="I1270" t="n">
        <v>2</v>
      </c>
      <c r="J1270" t="n">
        <v>8</v>
      </c>
      <c r="K1270" t="n">
        <v>16</v>
      </c>
      <c r="L1270" t="n">
        <v>16</v>
      </c>
      <c r="M1270" t="n">
        <v>16</v>
      </c>
      <c r="N1270" t="n">
        <v>16</v>
      </c>
      <c r="O1270" t="n">
        <v>40</v>
      </c>
      <c r="P1270" t="n">
        <v>8</v>
      </c>
      <c r="R1270" s="9" t="n">
        <v>0.08</v>
      </c>
      <c r="S1270" s="10" t="inlineStr">
        <is>
          <t>SÍ — integrante</t>
        </is>
      </c>
      <c r="T1270" s="11" t="inlineStr">
        <is>
          <t>B · INTEGRANTE</t>
        </is>
      </c>
      <c r="U1270" s="11" t="inlineStr">
        <is>
          <t>DEL BANCO (se hereda)</t>
        </is>
      </c>
      <c r="V1270" s="11" t="inlineStr">
        <is>
          <t>9154 · OTRAS ACTIVIDADES NO CLASIFICADAS</t>
        </is>
      </c>
      <c r="W1270" s="12" t="n"/>
      <c r="X1270" s="12" t="n"/>
    </row>
    <row r="1271" ht="15" customHeight="1">
      <c r="C1271" t="inlineStr">
        <is>
          <t>Actividad económica / giro mercantil</t>
        </is>
      </c>
      <c r="D1271" t="inlineStr">
        <is>
          <t>F12</t>
        </is>
      </c>
      <c r="E1271" t="inlineStr">
        <is>
          <t>INHERENTE</t>
        </is>
      </c>
      <c r="F1271" t="inlineStr">
        <is>
          <t>BARBERIA Y PELUQUERIA</t>
        </is>
      </c>
      <c r="G1271" t="n">
        <v>8932015</v>
      </c>
      <c r="H1271" t="n">
        <v>4</v>
      </c>
      <c r="I1271" t="n">
        <v>4</v>
      </c>
      <c r="J1271" t="n">
        <v>8</v>
      </c>
      <c r="K1271" t="n">
        <v>32</v>
      </c>
      <c r="L1271" t="n">
        <v>32</v>
      </c>
      <c r="M1271" t="n">
        <v>32</v>
      </c>
      <c r="N1271" t="n">
        <v>32</v>
      </c>
      <c r="O1271" t="n">
        <v>40</v>
      </c>
      <c r="P1271" t="n">
        <v>8</v>
      </c>
      <c r="R1271" s="9" t="n">
        <v>0.08</v>
      </c>
      <c r="S1271" s="10" t="inlineStr">
        <is>
          <t>SÍ — integrante</t>
        </is>
      </c>
      <c r="T1271" s="11" t="inlineStr">
        <is>
          <t>B · INTEGRANTE</t>
        </is>
      </c>
      <c r="U1271" s="11" t="inlineStr">
        <is>
          <t>DEL BANCO (se hereda)</t>
        </is>
      </c>
      <c r="V1271" s="11" t="inlineStr">
        <is>
          <t>9154 · OTRAS ACTIVIDADES NO CLASIFICADAS</t>
        </is>
      </c>
      <c r="W1271" s="12" t="n"/>
      <c r="X1271" s="12" t="n"/>
    </row>
    <row r="1272" ht="15" customHeight="1">
      <c r="C1272" t="inlineStr">
        <is>
          <t>Actividad económica / giro mercantil</t>
        </is>
      </c>
      <c r="D1272" t="inlineStr">
        <is>
          <t>F12</t>
        </is>
      </c>
      <c r="E1272" t="inlineStr">
        <is>
          <t>INHERENTE</t>
        </is>
      </c>
      <c r="F1272" t="inlineStr">
        <is>
          <t>SALON DE BELLEZA</t>
        </is>
      </c>
      <c r="G1272" t="n">
        <v>8933013</v>
      </c>
      <c r="H1272" t="n">
        <v>4</v>
      </c>
      <c r="I1272" t="n">
        <v>4</v>
      </c>
      <c r="J1272" t="n">
        <v>8</v>
      </c>
      <c r="K1272" t="n">
        <v>32</v>
      </c>
      <c r="L1272" t="n">
        <v>32</v>
      </c>
      <c r="M1272" t="n">
        <v>32</v>
      </c>
      <c r="N1272" t="n">
        <v>32</v>
      </c>
      <c r="O1272" t="n">
        <v>40</v>
      </c>
      <c r="P1272" t="n">
        <v>8</v>
      </c>
      <c r="R1272" s="9" t="n">
        <v>0.08</v>
      </c>
      <c r="S1272" s="10" t="inlineStr">
        <is>
          <t>SÍ — integrante</t>
        </is>
      </c>
      <c r="T1272" s="11" t="inlineStr">
        <is>
          <t>B · INTEGRANTE</t>
        </is>
      </c>
      <c r="U1272" s="11" t="inlineStr">
        <is>
          <t>DEL BANCO (se hereda)</t>
        </is>
      </c>
      <c r="V1272" s="11" t="inlineStr">
        <is>
          <t>9152 · INDUSTRIA Y MANUFACTURA</t>
        </is>
      </c>
      <c r="W1272" s="12" t="n"/>
      <c r="X1272" s="12" t="n"/>
    </row>
    <row r="1273" ht="15" customHeight="1">
      <c r="C1273" t="inlineStr">
        <is>
          <t>Actividad económica / giro mercantil</t>
        </is>
      </c>
      <c r="D1273" t="inlineStr">
        <is>
          <t>F12</t>
        </is>
      </c>
      <c r="E1273" t="inlineStr">
        <is>
          <t>INHERENTE</t>
        </is>
      </c>
      <c r="F1273" t="inlineStr">
        <is>
          <t>LAVANDERIA</t>
        </is>
      </c>
      <c r="G1273" t="n">
        <v>8934011</v>
      </c>
      <c r="H1273" t="n">
        <v>2</v>
      </c>
      <c r="I1273" t="n">
        <v>2</v>
      </c>
      <c r="J1273" t="n">
        <v>8</v>
      </c>
      <c r="K1273" t="n">
        <v>16</v>
      </c>
      <c r="L1273" t="n">
        <v>16</v>
      </c>
      <c r="M1273" t="n">
        <v>16</v>
      </c>
      <c r="N1273" t="n">
        <v>16</v>
      </c>
      <c r="O1273" t="n">
        <v>40</v>
      </c>
      <c r="P1273" t="n">
        <v>8</v>
      </c>
      <c r="R1273" s="9" t="n">
        <v>0.08</v>
      </c>
      <c r="S1273" s="10" t="inlineStr">
        <is>
          <t>SÍ — integrante</t>
        </is>
      </c>
      <c r="T1273" s="11" t="inlineStr">
        <is>
          <t>B · INTEGRANTE</t>
        </is>
      </c>
      <c r="U1273" s="11" t="inlineStr">
        <is>
          <t>DEL BANCO (se hereda)</t>
        </is>
      </c>
      <c r="V1273" s="11" t="inlineStr">
        <is>
          <t>9154 · OTRAS ACTIVIDADES NO CLASIFICADAS</t>
        </is>
      </c>
      <c r="W1273" s="12" t="n"/>
      <c r="X1273" s="12" t="n"/>
    </row>
    <row r="1274" ht="15" customHeight="1">
      <c r="C1274" t="inlineStr">
        <is>
          <t>Actividad económica / giro mercantil</t>
        </is>
      </c>
      <c r="D1274" t="inlineStr">
        <is>
          <t>F12</t>
        </is>
      </c>
      <c r="E1274" t="inlineStr">
        <is>
          <t>INHERENTE</t>
        </is>
      </c>
      <c r="F1274" t="inlineStr">
        <is>
          <t>TINTORERIA Y PLANCHADURIA</t>
        </is>
      </c>
      <c r="G1274" t="n">
        <v>8934029</v>
      </c>
      <c r="H1274" t="n">
        <v>1</v>
      </c>
      <c r="I1274" t="n">
        <v>1</v>
      </c>
      <c r="J1274" t="n">
        <v>8</v>
      </c>
      <c r="K1274" t="n">
        <v>8</v>
      </c>
      <c r="L1274" t="n">
        <v>8</v>
      </c>
      <c r="M1274" t="n">
        <v>8</v>
      </c>
      <c r="N1274" t="n">
        <v>8</v>
      </c>
      <c r="O1274" t="n">
        <v>40</v>
      </c>
      <c r="P1274" t="n">
        <v>8</v>
      </c>
      <c r="R1274" s="9" t="n">
        <v>0.08</v>
      </c>
      <c r="S1274" s="10" t="inlineStr">
        <is>
          <t>SÍ — integrante</t>
        </is>
      </c>
      <c r="T1274" s="11" t="inlineStr">
        <is>
          <t>B · INTEGRANTE</t>
        </is>
      </c>
      <c r="U1274" s="11" t="inlineStr">
        <is>
          <t>DEL BANCO (se hereda)</t>
        </is>
      </c>
      <c r="V1274" s="11" t="inlineStr">
        <is>
          <t>9154 · OTRAS ACTIVIDADES NO CLASIFICADAS</t>
        </is>
      </c>
      <c r="W1274" s="12" t="n"/>
      <c r="X1274" s="12" t="n"/>
    </row>
    <row r="1275" ht="15" customHeight="1">
      <c r="C1275" t="inlineStr">
        <is>
          <t>Actividad económica / giro mercantil</t>
        </is>
      </c>
      <c r="D1275" t="inlineStr">
        <is>
          <t>F12</t>
        </is>
      </c>
      <c r="E1275" t="inlineStr">
        <is>
          <t>INHERENTE</t>
        </is>
      </c>
      <c r="F1275" t="inlineStr">
        <is>
          <t>EMPRESA DE SERVICIO DE LIMPIEZA</t>
        </is>
      </c>
      <c r="G1275" t="n">
        <v>8935019</v>
      </c>
      <c r="H1275" t="n">
        <v>1</v>
      </c>
      <c r="I1275" t="n">
        <v>1</v>
      </c>
      <c r="J1275" t="n">
        <v>8</v>
      </c>
      <c r="K1275" t="n">
        <v>8</v>
      </c>
      <c r="L1275" t="n">
        <v>8</v>
      </c>
      <c r="M1275" t="n">
        <v>8</v>
      </c>
      <c r="N1275" t="n">
        <v>8</v>
      </c>
      <c r="O1275" t="n">
        <v>40</v>
      </c>
      <c r="P1275" t="n">
        <v>8</v>
      </c>
      <c r="R1275" s="9" t="n">
        <v>0.08</v>
      </c>
      <c r="S1275" s="10" t="inlineStr">
        <is>
          <t>SÍ — integrante</t>
        </is>
      </c>
      <c r="T1275" s="11" t="inlineStr">
        <is>
          <t>B · INTEGRANTE</t>
        </is>
      </c>
      <c r="U1275" s="11" t="inlineStr">
        <is>
          <t>DEL BANCO (se hereda)</t>
        </is>
      </c>
      <c r="V1275" s="11" t="inlineStr">
        <is>
          <t>9154 · OTRAS ACTIVIDADES NO CLASIFICADAS</t>
        </is>
      </c>
      <c r="W1275" s="12" t="n"/>
      <c r="X1275" s="12" t="n"/>
    </row>
    <row r="1276" ht="15" customHeight="1">
      <c r="C1276" t="inlineStr">
        <is>
          <t>Actividad económica / giro mercantil</t>
        </is>
      </c>
      <c r="D1276" t="inlineStr">
        <is>
          <t>F12</t>
        </is>
      </c>
      <c r="E1276" t="inlineStr">
        <is>
          <t>INHERENTE</t>
        </is>
      </c>
      <c r="F1276" t="inlineStr">
        <is>
          <t>SERVICIOS DE FUMIGACION  DESINFECCION Y CONTROL DE PLAGAS</t>
        </is>
      </c>
      <c r="G1276" t="n">
        <v>8936017</v>
      </c>
      <c r="H1276" t="n">
        <v>1</v>
      </c>
      <c r="I1276" t="n">
        <v>1</v>
      </c>
      <c r="J1276" t="n">
        <v>8</v>
      </c>
      <c r="K1276" t="n">
        <v>8</v>
      </c>
      <c r="L1276" t="n">
        <v>8</v>
      </c>
      <c r="M1276" t="n">
        <v>8</v>
      </c>
      <c r="N1276" t="n">
        <v>8</v>
      </c>
      <c r="O1276" t="n">
        <v>40</v>
      </c>
      <c r="P1276" t="n">
        <v>8</v>
      </c>
      <c r="R1276" s="9" t="n">
        <v>0.08</v>
      </c>
      <c r="S1276" s="10" t="inlineStr">
        <is>
          <t>SÍ — integrante</t>
        </is>
      </c>
      <c r="T1276" s="11" t="inlineStr">
        <is>
          <t>B · INTEGRANTE</t>
        </is>
      </c>
      <c r="U1276" s="11" t="inlineStr">
        <is>
          <t>DEL BANCO (se hereda)</t>
        </is>
      </c>
      <c r="V1276" s="11" t="inlineStr">
        <is>
          <t>9154 · OTRAS ACTIVIDADES NO CLASIFICADAS</t>
        </is>
      </c>
      <c r="W1276" s="12" t="n"/>
      <c r="X1276" s="12" t="n"/>
    </row>
    <row r="1277" ht="15" customHeight="1">
      <c r="C1277" t="inlineStr">
        <is>
          <t>Actividad económica / giro mercantil</t>
        </is>
      </c>
      <c r="D1277" t="inlineStr">
        <is>
          <t>F12</t>
        </is>
      </c>
      <c r="E1277" t="inlineStr">
        <is>
          <t>INHERENTE</t>
        </is>
      </c>
      <c r="F1277" t="inlineStr">
        <is>
          <t>SERVICIOS DE BOLERIAS  MASAJISTAS  SANITARIOS PUBLICOS Y OTROS SERVICIOS DE ASEO Y LIMPIEZA</t>
        </is>
      </c>
      <c r="G1277" t="n">
        <v>8939011</v>
      </c>
      <c r="H1277" t="n">
        <v>2</v>
      </c>
      <c r="I1277" t="n">
        <v>2</v>
      </c>
      <c r="J1277" t="n">
        <v>8</v>
      </c>
      <c r="K1277" t="n">
        <v>16</v>
      </c>
      <c r="L1277" t="n">
        <v>16</v>
      </c>
      <c r="M1277" t="n">
        <v>16</v>
      </c>
      <c r="N1277" t="n">
        <v>16</v>
      </c>
      <c r="O1277" t="n">
        <v>40</v>
      </c>
      <c r="P1277" t="n">
        <v>8</v>
      </c>
      <c r="R1277" s="9" t="n">
        <v>0.08</v>
      </c>
      <c r="S1277" s="10" t="inlineStr">
        <is>
          <t>SÍ — integrante</t>
        </is>
      </c>
      <c r="T1277" s="11" t="inlineStr">
        <is>
          <t>B · INTEGRANTE</t>
        </is>
      </c>
      <c r="U1277" s="11" t="inlineStr">
        <is>
          <t>DEL BANCO (se hereda)</t>
        </is>
      </c>
      <c r="V1277" s="11" t="inlineStr">
        <is>
          <t>9154 · OTRAS ACTIVIDADES NO CLASIFICADAS</t>
        </is>
      </c>
      <c r="W1277" s="12" t="n"/>
      <c r="X1277" s="12" t="n"/>
    </row>
    <row r="1278" ht="15" customHeight="1">
      <c r="C1278" t="inlineStr">
        <is>
          <t>Actividad económica / giro mercantil</t>
        </is>
      </c>
      <c r="D1278" t="inlineStr">
        <is>
          <t>F12</t>
        </is>
      </c>
      <c r="E1278" t="inlineStr">
        <is>
          <t>INHERENTE</t>
        </is>
      </c>
      <c r="F1278" t="inlineStr">
        <is>
          <t>ESTUDIO FOTOGRAFICO</t>
        </is>
      </c>
      <c r="G1278" t="n">
        <v>8941016</v>
      </c>
      <c r="H1278" t="n">
        <v>1</v>
      </c>
      <c r="I1278" t="n">
        <v>1</v>
      </c>
      <c r="J1278" t="n">
        <v>8</v>
      </c>
      <c r="K1278" t="n">
        <v>8</v>
      </c>
      <c r="L1278" t="n">
        <v>8</v>
      </c>
      <c r="M1278" t="n">
        <v>8</v>
      </c>
      <c r="N1278" t="n">
        <v>8</v>
      </c>
      <c r="O1278" t="n">
        <v>40</v>
      </c>
      <c r="P1278" t="n">
        <v>8</v>
      </c>
      <c r="R1278" s="9" t="n">
        <v>0.08</v>
      </c>
      <c r="S1278" s="10" t="inlineStr">
        <is>
          <t>SÍ — integrante</t>
        </is>
      </c>
      <c r="T1278" s="11" t="inlineStr">
        <is>
          <t>B · INTEGRANTE</t>
        </is>
      </c>
      <c r="U1278" s="11" t="inlineStr">
        <is>
          <t>DEL BANCO (se hereda)</t>
        </is>
      </c>
      <c r="V1278" s="11" t="inlineStr">
        <is>
          <t>9154 · OTRAS ACTIVIDADES NO CLASIFICADAS</t>
        </is>
      </c>
      <c r="W1278" s="12" t="n"/>
      <c r="X1278" s="12" t="n"/>
    </row>
    <row r="1279" ht="15" customHeight="1">
      <c r="C1279" t="inlineStr">
        <is>
          <t>Actividad económica / giro mercantil</t>
        </is>
      </c>
      <c r="D1279" t="inlineStr">
        <is>
          <t>F12</t>
        </is>
      </c>
      <c r="E1279" t="inlineStr">
        <is>
          <t>INHERENTE</t>
        </is>
      </c>
      <c r="F1279" t="inlineStr">
        <is>
          <t>DECORACION EN GENERAL</t>
        </is>
      </c>
      <c r="G1279" t="n">
        <v>8942014</v>
      </c>
      <c r="H1279" t="n">
        <v>3</v>
      </c>
      <c r="I1279" t="n">
        <v>3</v>
      </c>
      <c r="J1279" t="n">
        <v>8</v>
      </c>
      <c r="K1279" t="n">
        <v>24</v>
      </c>
      <c r="L1279" t="n">
        <v>24</v>
      </c>
      <c r="M1279" t="n">
        <v>24</v>
      </c>
      <c r="N1279" t="n">
        <v>24</v>
      </c>
      <c r="O1279" t="n">
        <v>40</v>
      </c>
      <c r="P1279" t="n">
        <v>8</v>
      </c>
      <c r="R1279" s="9" t="n">
        <v>0.08</v>
      </c>
      <c r="S1279" s="10" t="inlineStr">
        <is>
          <t>SÍ — integrante</t>
        </is>
      </c>
      <c r="T1279" s="11" t="inlineStr">
        <is>
          <t>B · INTEGRANTE</t>
        </is>
      </c>
      <c r="U1279" s="11" t="inlineStr">
        <is>
          <t>DEL BANCO (se hereda)</t>
        </is>
      </c>
      <c r="V1279" s="11" t="inlineStr">
        <is>
          <t>9154 · OTRAS ACTIVIDADES NO CLASIFICADAS</t>
        </is>
      </c>
      <c r="W1279" s="12" t="n"/>
      <c r="X1279" s="12" t="n"/>
    </row>
    <row r="1280" ht="15" customHeight="1">
      <c r="C1280" t="inlineStr">
        <is>
          <t>Actividad económica / giro mercantil</t>
        </is>
      </c>
      <c r="D1280" t="inlineStr">
        <is>
          <t>F12</t>
        </is>
      </c>
      <c r="E1280" t="inlineStr">
        <is>
          <t>INHERENTE</t>
        </is>
      </c>
      <c r="F1280" t="inlineStr">
        <is>
          <t>AGENCIA DE INHUMACIONES</t>
        </is>
      </c>
      <c r="G1280" t="n">
        <v>8943012</v>
      </c>
      <c r="H1280" t="n">
        <v>2</v>
      </c>
      <c r="I1280" t="n">
        <v>2</v>
      </c>
      <c r="J1280" t="n">
        <v>8</v>
      </c>
      <c r="K1280" t="n">
        <v>16</v>
      </c>
      <c r="L1280" t="n">
        <v>16</v>
      </c>
      <c r="M1280" t="n">
        <v>16</v>
      </c>
      <c r="N1280" t="n">
        <v>16</v>
      </c>
      <c r="O1280" t="n">
        <v>40</v>
      </c>
      <c r="P1280" t="n">
        <v>8</v>
      </c>
      <c r="R1280" s="9" t="n">
        <v>0.08</v>
      </c>
      <c r="S1280" s="10" t="inlineStr">
        <is>
          <t>SÍ — integrante</t>
        </is>
      </c>
      <c r="T1280" s="11" t="inlineStr">
        <is>
          <t>B · INTEGRANTE</t>
        </is>
      </c>
      <c r="U1280" s="11" t="inlineStr">
        <is>
          <t>DEL BANCO (se hereda)</t>
        </is>
      </c>
      <c r="V1280" s="11" t="inlineStr">
        <is>
          <t>9154 · OTRAS ACTIVIDADES NO CLASIFICADAS</t>
        </is>
      </c>
      <c r="W1280" s="12" t="n"/>
      <c r="X1280" s="12" t="n"/>
    </row>
    <row r="1281" ht="15" customHeight="1">
      <c r="C1281" t="inlineStr">
        <is>
          <t>Actividad económica / giro mercantil</t>
        </is>
      </c>
      <c r="D1281" t="inlineStr">
        <is>
          <t>F12</t>
        </is>
      </c>
      <c r="E1281" t="inlineStr">
        <is>
          <t>INHERENTE</t>
        </is>
      </c>
      <c r="F1281" t="inlineStr">
        <is>
          <t>PANTEON</t>
        </is>
      </c>
      <c r="G1281" t="n">
        <v>8944010</v>
      </c>
      <c r="H1281" t="n">
        <v>1</v>
      </c>
      <c r="I1281" t="n">
        <v>1</v>
      </c>
      <c r="J1281" t="n">
        <v>8</v>
      </c>
      <c r="K1281" t="n">
        <v>8</v>
      </c>
      <c r="L1281" t="n">
        <v>8</v>
      </c>
      <c r="M1281" t="n">
        <v>8</v>
      </c>
      <c r="N1281" t="n">
        <v>8</v>
      </c>
      <c r="O1281" t="n">
        <v>40</v>
      </c>
      <c r="P1281" t="n">
        <v>8</v>
      </c>
      <c r="R1281" s="9" t="n">
        <v>0.08</v>
      </c>
      <c r="S1281" s="10" t="inlineStr">
        <is>
          <t>SÍ — integrante</t>
        </is>
      </c>
      <c r="T1281" s="11" t="inlineStr">
        <is>
          <t>B · INTEGRANTE</t>
        </is>
      </c>
      <c r="U1281" s="11" t="inlineStr">
        <is>
          <t>DEL BANCO (se hereda)</t>
        </is>
      </c>
      <c r="V1281" s="11" t="inlineStr">
        <is>
          <t>9154 · OTRAS ACTIVIDADES NO CLASIFICADAS</t>
        </is>
      </c>
      <c r="W1281" s="12" t="n"/>
      <c r="X1281" s="12" t="n"/>
    </row>
    <row r="1282" ht="15" customHeight="1">
      <c r="C1282" t="inlineStr">
        <is>
          <t>Actividad económica / giro mercantil</t>
        </is>
      </c>
      <c r="D1282" t="inlineStr">
        <is>
          <t>F12</t>
        </is>
      </c>
      <c r="E1282" t="inlineStr">
        <is>
          <t>INHERENTE</t>
        </is>
      </c>
      <c r="F1282" t="inlineStr">
        <is>
          <t>USUARIOS MENORES SERVICIOS PROFESIONALES Y TECNICOS</t>
        </is>
      </c>
      <c r="G1282" t="n">
        <v>8944028</v>
      </c>
      <c r="H1282" t="n">
        <v>1</v>
      </c>
      <c r="I1282" t="n">
        <v>1</v>
      </c>
      <c r="J1282" t="n">
        <v>8</v>
      </c>
      <c r="K1282" t="n">
        <v>8</v>
      </c>
      <c r="L1282" t="n">
        <v>8</v>
      </c>
      <c r="M1282" t="n">
        <v>8</v>
      </c>
      <c r="N1282" t="n">
        <v>8</v>
      </c>
      <c r="O1282" t="n">
        <v>40</v>
      </c>
      <c r="P1282" t="n">
        <v>8</v>
      </c>
      <c r="R1282" s="9" t="n">
        <v>0.08</v>
      </c>
      <c r="S1282" s="10" t="inlineStr">
        <is>
          <t>SÍ — integrante</t>
        </is>
      </c>
      <c r="T1282" s="11" t="inlineStr">
        <is>
          <t>B · INTEGRANTE</t>
        </is>
      </c>
      <c r="U1282" s="11" t="inlineStr">
        <is>
          <t>DEL BANCO (se hereda)</t>
        </is>
      </c>
      <c r="V1282" s="11" t="inlineStr">
        <is>
          <t>9112 · SERVICIOS PROFESIONALES</t>
        </is>
      </c>
      <c r="W1282" s="12" t="n"/>
      <c r="X1282" s="12" t="n"/>
    </row>
    <row r="1283" ht="15" customHeight="1">
      <c r="C1283" t="inlineStr">
        <is>
          <t>Actividad económica / giro mercantil</t>
        </is>
      </c>
      <c r="D1283" t="inlineStr">
        <is>
          <t>F12</t>
        </is>
      </c>
      <c r="E1283" t="inlineStr">
        <is>
          <t>INHERENTE</t>
        </is>
      </c>
      <c r="F1283" t="inlineStr">
        <is>
          <t>EMPLEADO PRIVADO</t>
        </is>
      </c>
      <c r="G1283" t="n">
        <v>8944098</v>
      </c>
      <c r="H1283" t="n">
        <v>1</v>
      </c>
      <c r="I1283" t="n">
        <v>1</v>
      </c>
      <c r="J1283" t="n">
        <v>8</v>
      </c>
      <c r="K1283" t="n">
        <v>8</v>
      </c>
      <c r="L1283" t="n">
        <v>8</v>
      </c>
      <c r="M1283" t="n">
        <v>8</v>
      </c>
      <c r="N1283" t="n">
        <v>8</v>
      </c>
      <c r="O1283" t="n">
        <v>40</v>
      </c>
      <c r="P1283" t="n">
        <v>8</v>
      </c>
      <c r="R1283" s="9" t="n">
        <v>0.08</v>
      </c>
      <c r="S1283" s="10" t="inlineStr">
        <is>
          <t>SÍ — integrante</t>
        </is>
      </c>
      <c r="T1283" s="11" t="inlineStr">
        <is>
          <t>B · INTEGRANTE</t>
        </is>
      </c>
      <c r="U1283" s="11" t="inlineStr">
        <is>
          <t>DEL BANCO (se hereda)</t>
        </is>
      </c>
      <c r="V1283" s="11" t="inlineStr">
        <is>
          <t>9111 · SIN ACTIVIDAD DE RIESGO / ASALARIADO</t>
        </is>
      </c>
      <c r="W1283" s="12" t="n"/>
      <c r="X1283" s="12" t="n"/>
    </row>
    <row r="1284" ht="15" customHeight="1">
      <c r="C1284" t="inlineStr">
        <is>
          <t>Actividad económica / giro mercantil</t>
        </is>
      </c>
      <c r="D1284" t="inlineStr">
        <is>
          <t>F12</t>
        </is>
      </c>
      <c r="E1284" t="inlineStr">
        <is>
          <t>INHERENTE</t>
        </is>
      </c>
      <c r="F1284" t="inlineStr">
        <is>
          <t>TAXIDERMISTA</t>
        </is>
      </c>
      <c r="G1284" t="n">
        <v>8949010</v>
      </c>
      <c r="H1284" t="n">
        <v>1</v>
      </c>
      <c r="I1284" t="n">
        <v>1</v>
      </c>
      <c r="J1284" t="n">
        <v>8</v>
      </c>
      <c r="K1284" t="n">
        <v>8</v>
      </c>
      <c r="L1284" t="n">
        <v>8</v>
      </c>
      <c r="M1284" t="n">
        <v>8</v>
      </c>
      <c r="N1284" t="n">
        <v>8</v>
      </c>
      <c r="O1284" t="n">
        <v>40</v>
      </c>
      <c r="P1284" t="n">
        <v>8</v>
      </c>
      <c r="R1284" s="9" t="n">
        <v>0.08</v>
      </c>
      <c r="S1284" s="10" t="inlineStr">
        <is>
          <t>SÍ — integrante</t>
        </is>
      </c>
      <c r="T1284" s="11" t="inlineStr">
        <is>
          <t>B · INTEGRANTE</t>
        </is>
      </c>
      <c r="U1284" s="11" t="inlineStr">
        <is>
          <t>DEL BANCO (se hereda)</t>
        </is>
      </c>
      <c r="V1284" s="11" t="inlineStr">
        <is>
          <t>9154 · OTRAS ACTIVIDADES NO CLASIFICADAS</t>
        </is>
      </c>
      <c r="W1284" s="12" t="n"/>
      <c r="X1284" s="12" t="n"/>
    </row>
    <row r="1285" ht="15" customHeight="1">
      <c r="C1285" t="inlineStr">
        <is>
          <t>Actividad económica / giro mercantil</t>
        </is>
      </c>
      <c r="D1285" t="inlineStr">
        <is>
          <t>F12</t>
        </is>
      </c>
      <c r="E1285" t="inlineStr">
        <is>
          <t>INHERENTE</t>
        </is>
      </c>
      <c r="F1285" t="inlineStr">
        <is>
          <t>USUARIOS MENORES OTRAS ACTIVIDADES</t>
        </is>
      </c>
      <c r="G1285" t="n">
        <v>8949888</v>
      </c>
      <c r="H1285" t="n">
        <v>1</v>
      </c>
      <c r="I1285" t="n">
        <v>1</v>
      </c>
      <c r="J1285" t="n">
        <v>8</v>
      </c>
      <c r="K1285" t="n">
        <v>8</v>
      </c>
      <c r="L1285" t="n">
        <v>8</v>
      </c>
      <c r="M1285" t="n">
        <v>8</v>
      </c>
      <c r="N1285" t="n">
        <v>8</v>
      </c>
      <c r="O1285" t="n">
        <v>40</v>
      </c>
      <c r="P1285" t="n">
        <v>8</v>
      </c>
      <c r="R1285" s="9" t="n">
        <v>0.08</v>
      </c>
      <c r="S1285" s="10" t="inlineStr">
        <is>
          <t>SÍ — integrante</t>
        </is>
      </c>
      <c r="T1285" s="11" t="inlineStr">
        <is>
          <t>B · INTEGRANTE</t>
        </is>
      </c>
      <c r="U1285" s="11" t="inlineStr">
        <is>
          <t>DEL BANCO (se hereda)</t>
        </is>
      </c>
      <c r="V1285" s="11" t="inlineStr">
        <is>
          <t>9154 · OTRAS ACTIVIDADES NO CLASIFICADAS</t>
        </is>
      </c>
      <c r="W1285" s="12" t="n"/>
      <c r="X1285" s="12" t="n"/>
    </row>
    <row r="1286" ht="15" customHeight="1">
      <c r="C1286" t="inlineStr">
        <is>
          <t>Actividad económica / giro mercantil</t>
        </is>
      </c>
      <c r="D1286" t="inlineStr">
        <is>
          <t>F12</t>
        </is>
      </c>
      <c r="E1286" t="inlineStr">
        <is>
          <t>INHERENTE</t>
        </is>
      </c>
      <c r="F1286" t="inlineStr">
        <is>
          <t>CARTERA DE OTRAS ACTIVIDADES DE ESTADOS ANALITICOS</t>
        </is>
      </c>
      <c r="G1286" t="n">
        <v>8949896</v>
      </c>
      <c r="H1286" t="n">
        <v>2</v>
      </c>
      <c r="I1286" t="n">
        <v>2</v>
      </c>
      <c r="J1286" t="n">
        <v>8</v>
      </c>
      <c r="K1286" t="n">
        <v>16</v>
      </c>
      <c r="L1286" t="n">
        <v>16</v>
      </c>
      <c r="M1286" t="n">
        <v>16</v>
      </c>
      <c r="N1286" t="n">
        <v>16</v>
      </c>
      <c r="O1286" t="n">
        <v>40</v>
      </c>
      <c r="P1286" t="n">
        <v>8</v>
      </c>
      <c r="R1286" s="9" t="n">
        <v>0.08</v>
      </c>
      <c r="S1286" s="10" t="inlineStr">
        <is>
          <t>SÍ — integrante</t>
        </is>
      </c>
      <c r="T1286" s="11" t="inlineStr">
        <is>
          <t>B · INTEGRANTE</t>
        </is>
      </c>
      <c r="U1286" s="11" t="inlineStr">
        <is>
          <t>DEL BANCO (se hereda)</t>
        </is>
      </c>
      <c r="V1286" s="11" t="inlineStr">
        <is>
          <t>9154 · OTRAS ACTIVIDADES NO CLASIFICADAS</t>
        </is>
      </c>
      <c r="W1286" s="12" t="n"/>
      <c r="X1286" s="12" t="n"/>
    </row>
    <row r="1287" ht="15" customHeight="1">
      <c r="C1287" t="inlineStr">
        <is>
          <t>Actividad económica / giro mercantil</t>
        </is>
      </c>
      <c r="D1287" t="inlineStr">
        <is>
          <t>F12</t>
        </is>
      </c>
      <c r="E1287" t="inlineStr">
        <is>
          <t>INHERENTE</t>
        </is>
      </c>
      <c r="F1287" t="inlineStr">
        <is>
          <t>USUARIOS MENORES DE SERVICIOS</t>
        </is>
      </c>
      <c r="G1287" t="n">
        <v>8949903</v>
      </c>
      <c r="H1287" t="n">
        <v>1</v>
      </c>
      <c r="I1287" t="n">
        <v>1</v>
      </c>
      <c r="J1287" t="n">
        <v>8</v>
      </c>
      <c r="K1287" t="n">
        <v>8</v>
      </c>
      <c r="L1287" t="n">
        <v>8</v>
      </c>
      <c r="M1287" t="n">
        <v>8</v>
      </c>
      <c r="N1287" t="n">
        <v>8</v>
      </c>
      <c r="O1287" t="n">
        <v>40</v>
      </c>
      <c r="P1287" t="n">
        <v>8</v>
      </c>
      <c r="R1287" s="9" t="n">
        <v>0.08</v>
      </c>
      <c r="S1287" s="10" t="inlineStr">
        <is>
          <t>SÍ — integrante</t>
        </is>
      </c>
      <c r="T1287" s="11" t="inlineStr">
        <is>
          <t>B · INTEGRANTE</t>
        </is>
      </c>
      <c r="U1287" s="11" t="inlineStr">
        <is>
          <t>DEL BANCO (se hereda)</t>
        </is>
      </c>
      <c r="V1287" s="11" t="inlineStr">
        <is>
          <t>9154 · OTRAS ACTIVIDADES NO CLASIFICADAS</t>
        </is>
      </c>
      <c r="W1287" s="12" t="n"/>
      <c r="X1287" s="12" t="n"/>
    </row>
    <row r="1288" ht="15" customHeight="1">
      <c r="C1288" t="inlineStr">
        <is>
          <t>Actividad económica / giro mercantil</t>
        </is>
      </c>
      <c r="D1288" t="inlineStr">
        <is>
          <t>F12</t>
        </is>
      </c>
      <c r="E1288" t="inlineStr">
        <is>
          <t>INHERENTE</t>
        </is>
      </c>
      <c r="F1288" t="inlineStr">
        <is>
          <t>CARTERA DE SERVICIOS DE ESTADOS ANALITICOS</t>
        </is>
      </c>
      <c r="G1288" t="n">
        <v>8949911</v>
      </c>
      <c r="H1288" t="n">
        <v>2</v>
      </c>
      <c r="I1288" t="n">
        <v>2</v>
      </c>
      <c r="J1288" t="n">
        <v>8</v>
      </c>
      <c r="K1288" t="n">
        <v>16</v>
      </c>
      <c r="L1288" t="n">
        <v>16</v>
      </c>
      <c r="M1288" t="n">
        <v>16</v>
      </c>
      <c r="N1288" t="n">
        <v>16</v>
      </c>
      <c r="O1288" t="n">
        <v>40</v>
      </c>
      <c r="P1288" t="n">
        <v>8</v>
      </c>
      <c r="R1288" s="9" t="n">
        <v>0.08</v>
      </c>
      <c r="S1288" s="10" t="inlineStr">
        <is>
          <t>SÍ — integrante</t>
        </is>
      </c>
      <c r="T1288" s="11" t="inlineStr">
        <is>
          <t>B · INTEGRANTE</t>
        </is>
      </c>
      <c r="U1288" s="11" t="inlineStr">
        <is>
          <t>DEL BANCO (se hereda)</t>
        </is>
      </c>
      <c r="V1288" s="11" t="inlineStr">
        <is>
          <t>9154 · OTRAS ACTIVIDADES NO CLASIFICADAS</t>
        </is>
      </c>
      <c r="W1288" s="12" t="n"/>
      <c r="X1288" s="12" t="n"/>
    </row>
    <row r="1289" ht="15" customHeight="1">
      <c r="C1289" t="inlineStr">
        <is>
          <t>Actividad económica / giro mercantil</t>
        </is>
      </c>
      <c r="D1289" t="inlineStr">
        <is>
          <t>F12</t>
        </is>
      </c>
      <c r="E1289" t="inlineStr">
        <is>
          <t>INHERENTE</t>
        </is>
      </c>
      <c r="F1289" t="inlineStr">
        <is>
          <t>QUEHACERES DEL HOGAR</t>
        </is>
      </c>
      <c r="G1289" t="n">
        <v>8991011</v>
      </c>
      <c r="H1289" t="n">
        <v>4</v>
      </c>
      <c r="I1289" t="n">
        <v>4</v>
      </c>
      <c r="J1289" t="n">
        <v>8</v>
      </c>
      <c r="K1289" t="n">
        <v>32</v>
      </c>
      <c r="L1289" t="n">
        <v>32</v>
      </c>
      <c r="M1289" t="n">
        <v>32</v>
      </c>
      <c r="N1289" t="n">
        <v>32</v>
      </c>
      <c r="O1289" t="n">
        <v>40</v>
      </c>
      <c r="P1289" t="n">
        <v>8</v>
      </c>
      <c r="R1289" s="9" t="n">
        <v>0.08</v>
      </c>
      <c r="S1289" s="10" t="inlineStr">
        <is>
          <t>SÍ — integrante</t>
        </is>
      </c>
      <c r="T1289" s="11" t="inlineStr">
        <is>
          <t>B · INTEGRANTE</t>
        </is>
      </c>
      <c r="U1289" s="11" t="inlineStr">
        <is>
          <t>DEL BANCO (se hereda)</t>
        </is>
      </c>
      <c r="V1289" s="11" t="inlineStr">
        <is>
          <t>9111 · SIN ACTIVIDAD DE RIESGO / ASALARIADO</t>
        </is>
      </c>
      <c r="W1289" s="12" t="n"/>
      <c r="X1289" s="12" t="n"/>
    </row>
    <row r="1290" ht="15" customHeight="1">
      <c r="C1290" t="inlineStr">
        <is>
          <t>Actividad económica / giro mercantil</t>
        </is>
      </c>
      <c r="D1290" t="inlineStr">
        <is>
          <t>F12</t>
        </is>
      </c>
      <c r="E1290" t="inlineStr">
        <is>
          <t>INHERENTE</t>
        </is>
      </c>
      <c r="F1290" t="inlineStr">
        <is>
          <t>SERVICIOS DE ENSEÑANZA, INVESTIGACIÓN CIENTÍFICA Y DIFUSIÓN CULTURAL</t>
        </is>
      </c>
      <c r="G1290" t="n">
        <v>9100009</v>
      </c>
      <c r="H1290" t="n">
        <v>1</v>
      </c>
      <c r="I1290" t="n">
        <v>1</v>
      </c>
      <c r="J1290" t="n">
        <v>8</v>
      </c>
      <c r="K1290" t="n">
        <v>8</v>
      </c>
      <c r="L1290" t="n">
        <v>8</v>
      </c>
      <c r="M1290" t="n">
        <v>8</v>
      </c>
      <c r="N1290" t="n">
        <v>8</v>
      </c>
      <c r="O1290" t="n">
        <v>40</v>
      </c>
      <c r="P1290" t="n">
        <v>8</v>
      </c>
      <c r="R1290" s="9" t="n">
        <v>0.08</v>
      </c>
      <c r="S1290" s="10" t="inlineStr">
        <is>
          <t>SÍ — integrante</t>
        </is>
      </c>
      <c r="T1290" s="11" t="inlineStr">
        <is>
          <t>B · INTEGRANTE</t>
        </is>
      </c>
      <c r="U1290" s="11" t="inlineStr">
        <is>
          <t>DEL BANCO (se hereda)</t>
        </is>
      </c>
      <c r="V1290" s="11" t="inlineStr">
        <is>
          <t>9154 · OTRAS ACTIVIDADES NO CLASIFICADAS</t>
        </is>
      </c>
      <c r="W1290" s="12" t="n"/>
      <c r="X1290" s="12" t="n"/>
    </row>
    <row r="1291" ht="15" customHeight="1">
      <c r="C1291" t="inlineStr">
        <is>
          <t>Actividad económica / giro mercantil</t>
        </is>
      </c>
      <c r="D1291" t="inlineStr">
        <is>
          <t>F12</t>
        </is>
      </c>
      <c r="E1291" t="inlineStr">
        <is>
          <t>INHERENTE</t>
        </is>
      </c>
      <c r="F1291" t="inlineStr">
        <is>
          <t>SERVICIOS DE ENSEÑANZA PRERRIMARIA Y PRIMARIA</t>
        </is>
      </c>
      <c r="G1291" t="n">
        <v>9112012</v>
      </c>
      <c r="H1291" t="n">
        <v>1</v>
      </c>
      <c r="I1291" t="n">
        <v>1</v>
      </c>
      <c r="J1291" t="n">
        <v>8</v>
      </c>
      <c r="K1291" t="n">
        <v>8</v>
      </c>
      <c r="L1291" t="n">
        <v>8</v>
      </c>
      <c r="M1291" t="n">
        <v>8</v>
      </c>
      <c r="N1291" t="n">
        <v>8</v>
      </c>
      <c r="O1291" t="n">
        <v>40</v>
      </c>
      <c r="P1291" t="n">
        <v>8</v>
      </c>
      <c r="R1291" s="9" t="n">
        <v>0.08</v>
      </c>
      <c r="S1291" s="10" t="inlineStr">
        <is>
          <t>SÍ — integrante</t>
        </is>
      </c>
      <c r="T1291" s="11" t="inlineStr">
        <is>
          <t>B · INTEGRANTE</t>
        </is>
      </c>
      <c r="U1291" s="11" t="inlineStr">
        <is>
          <t>DEL BANCO (se hereda)</t>
        </is>
      </c>
      <c r="V1291" s="11" t="inlineStr">
        <is>
          <t>9154 · OTRAS ACTIVIDADES NO CLASIFICADAS</t>
        </is>
      </c>
      <c r="W1291" s="12" t="n"/>
      <c r="X1291" s="12" t="n"/>
    </row>
    <row r="1292" ht="15" customHeight="1">
      <c r="C1292" t="inlineStr">
        <is>
          <t>Actividad económica / giro mercantil</t>
        </is>
      </c>
      <c r="D1292" t="inlineStr">
        <is>
          <t>F12</t>
        </is>
      </c>
      <c r="E1292" t="inlineStr">
        <is>
          <t>INHERENTE</t>
        </is>
      </c>
      <c r="F1292" t="inlineStr">
        <is>
          <t>SERVICIOS DE ENSEÑANZA SECUNDARIA</t>
        </is>
      </c>
      <c r="G1292" t="n">
        <v>9113010</v>
      </c>
      <c r="H1292" t="n">
        <v>1</v>
      </c>
      <c r="I1292" t="n">
        <v>1</v>
      </c>
      <c r="J1292" t="n">
        <v>8</v>
      </c>
      <c r="K1292" t="n">
        <v>8</v>
      </c>
      <c r="L1292" t="n">
        <v>8</v>
      </c>
      <c r="M1292" t="n">
        <v>8</v>
      </c>
      <c r="N1292" t="n">
        <v>8</v>
      </c>
      <c r="O1292" t="n">
        <v>40</v>
      </c>
      <c r="P1292" t="n">
        <v>8</v>
      </c>
      <c r="R1292" s="9" t="n">
        <v>0.08</v>
      </c>
      <c r="S1292" s="10" t="inlineStr">
        <is>
          <t>SÍ — integrante</t>
        </is>
      </c>
      <c r="T1292" s="11" t="inlineStr">
        <is>
          <t>B · INTEGRANTE</t>
        </is>
      </c>
      <c r="U1292" s="11" t="inlineStr">
        <is>
          <t>DEL BANCO (se hereda)</t>
        </is>
      </c>
      <c r="V1292" s="11" t="inlineStr">
        <is>
          <t>9154 · OTRAS ACTIVIDADES NO CLASIFICADAS</t>
        </is>
      </c>
      <c r="W1292" s="12" t="n"/>
      <c r="X1292" s="12" t="n"/>
    </row>
    <row r="1293" ht="15" customHeight="1">
      <c r="C1293" t="inlineStr">
        <is>
          <t>Actividad económica / giro mercantil</t>
        </is>
      </c>
      <c r="D1293" t="inlineStr">
        <is>
          <t>F12</t>
        </is>
      </c>
      <c r="E1293" t="inlineStr">
        <is>
          <t>INHERENTE</t>
        </is>
      </c>
      <c r="F1293" t="inlineStr">
        <is>
          <t>ESTABLECIMIENTOS PUBLICOS DE INSTRUCCION  EDUCACION SUBPROFESIONAL Y PROFESIONAL  CULTURA E INVESTIGACION</t>
        </is>
      </c>
      <c r="G1293" t="n">
        <v>9115016</v>
      </c>
      <c r="H1293" t="n">
        <v>2</v>
      </c>
      <c r="I1293" t="n">
        <v>2</v>
      </c>
      <c r="J1293" t="n">
        <v>8</v>
      </c>
      <c r="K1293" t="n">
        <v>16</v>
      </c>
      <c r="L1293" t="n">
        <v>16</v>
      </c>
      <c r="M1293" t="n">
        <v>16</v>
      </c>
      <c r="N1293" t="n">
        <v>16</v>
      </c>
      <c r="O1293" t="n">
        <v>40</v>
      </c>
      <c r="P1293" t="n">
        <v>8</v>
      </c>
      <c r="R1293" s="9" t="n">
        <v>0.08</v>
      </c>
      <c r="S1293" s="10" t="inlineStr">
        <is>
          <t>SÍ — integrante</t>
        </is>
      </c>
      <c r="T1293" s="11" t="inlineStr">
        <is>
          <t>B · INTEGRANTE</t>
        </is>
      </c>
      <c r="U1293" s="11" t="inlineStr">
        <is>
          <t>DEL BANCO (se hereda)</t>
        </is>
      </c>
      <c r="V1293" s="11" t="inlineStr">
        <is>
          <t>9154 · OTRAS ACTIVIDADES NO CLASIFICADAS</t>
        </is>
      </c>
      <c r="W1293" s="12" t="n"/>
      <c r="X1293" s="12" t="n"/>
    </row>
    <row r="1294" ht="15" customHeight="1">
      <c r="C1294" t="inlineStr">
        <is>
          <t>Actividad económica / giro mercantil</t>
        </is>
      </c>
      <c r="D1294" t="inlineStr">
        <is>
          <t>F12</t>
        </is>
      </c>
      <c r="E1294" t="inlineStr">
        <is>
          <t>INHERENTE</t>
        </is>
      </c>
      <c r="F1294" t="inlineStr">
        <is>
          <t>ESTABLECIMIENTOS PRIVADOS DE INSTRUCCION EDUCACION CULTURA E INVESTIGACION</t>
        </is>
      </c>
      <c r="G1294" t="n">
        <v>9119018</v>
      </c>
      <c r="H1294" t="n">
        <v>5</v>
      </c>
      <c r="I1294" t="n">
        <v>5</v>
      </c>
      <c r="J1294" t="n">
        <v>8</v>
      </c>
      <c r="K1294" t="n">
        <v>40</v>
      </c>
      <c r="L1294" t="n">
        <v>40</v>
      </c>
      <c r="M1294" t="n">
        <v>40</v>
      </c>
      <c r="N1294" t="n">
        <v>40</v>
      </c>
      <c r="O1294" t="n">
        <v>40</v>
      </c>
      <c r="P1294" t="n">
        <v>8</v>
      </c>
      <c r="Q1294" t="inlineStr">
        <is>
          <t>DETERMINANTE</t>
        </is>
      </c>
      <c r="R1294" s="9" t="n">
        <v>0.08</v>
      </c>
      <c r="S1294" s="10" t="inlineStr">
        <is>
          <t>SÍ — integrante</t>
        </is>
      </c>
      <c r="T1294" s="11" t="inlineStr">
        <is>
          <t>B · INTEGRANTE</t>
        </is>
      </c>
      <c r="U1294" s="11" t="inlineStr">
        <is>
          <t>DEL BANCO (se hereda)</t>
        </is>
      </c>
      <c r="V1294" s="11" t="inlineStr">
        <is>
          <t>9154 · OTRAS ACTIVIDADES NO CLASIFICADAS</t>
        </is>
      </c>
      <c r="W1294" s="12" t="n"/>
      <c r="X1294" s="12" t="n"/>
    </row>
    <row r="1295" ht="15" customHeight="1">
      <c r="C1295" t="inlineStr">
        <is>
          <t>Actividad económica / giro mercantil</t>
        </is>
      </c>
      <c r="D1295" t="inlineStr">
        <is>
          <t>F12</t>
        </is>
      </c>
      <c r="E1295" t="inlineStr">
        <is>
          <t>INHERENTE</t>
        </is>
      </c>
      <c r="F1295" t="inlineStr">
        <is>
          <t>SERVICIOS DE ENSEÑANZA COMERCIAL Y DE IDIOMA</t>
        </is>
      </c>
      <c r="G1295" t="n">
        <v>9121013</v>
      </c>
      <c r="H1295" t="n">
        <v>1</v>
      </c>
      <c r="I1295" t="n">
        <v>1</v>
      </c>
      <c r="J1295" t="n">
        <v>8</v>
      </c>
      <c r="K1295" t="n">
        <v>8</v>
      </c>
      <c r="L1295" t="n">
        <v>8</v>
      </c>
      <c r="M1295" t="n">
        <v>8</v>
      </c>
      <c r="N1295" t="n">
        <v>8</v>
      </c>
      <c r="O1295" t="n">
        <v>40</v>
      </c>
      <c r="P1295" t="n">
        <v>8</v>
      </c>
      <c r="R1295" s="9" t="n">
        <v>0.08</v>
      </c>
      <c r="S1295" s="10" t="inlineStr">
        <is>
          <t>SÍ — integrante</t>
        </is>
      </c>
      <c r="T1295" s="11" t="inlineStr">
        <is>
          <t>B · INTEGRANTE</t>
        </is>
      </c>
      <c r="U1295" s="11" t="inlineStr">
        <is>
          <t>DEL BANCO (se hereda)</t>
        </is>
      </c>
      <c r="V1295" s="11" t="inlineStr">
        <is>
          <t>9154 · OTRAS ACTIVIDADES NO CLASIFICADAS</t>
        </is>
      </c>
      <c r="W1295" s="12" t="n"/>
      <c r="X1295" s="12" t="n"/>
    </row>
    <row r="1296" ht="15" customHeight="1">
      <c r="C1296" t="inlineStr">
        <is>
          <t>Actividad económica / giro mercantil</t>
        </is>
      </c>
      <c r="D1296" t="inlineStr">
        <is>
          <t>F12</t>
        </is>
      </c>
      <c r="E1296" t="inlineStr">
        <is>
          <t>INHERENTE</t>
        </is>
      </c>
      <c r="F1296" t="inlineStr">
        <is>
          <t>SERVICIOS DE CAPACITACION TECNICA DE OFICIOS Y ARTESANIAS</t>
        </is>
      </c>
      <c r="G1296" t="n">
        <v>9122011</v>
      </c>
      <c r="H1296" t="n">
        <v>1</v>
      </c>
      <c r="I1296" t="n">
        <v>1</v>
      </c>
      <c r="J1296" t="n">
        <v>8</v>
      </c>
      <c r="K1296" t="n">
        <v>8</v>
      </c>
      <c r="L1296" t="n">
        <v>8</v>
      </c>
      <c r="M1296" t="n">
        <v>8</v>
      </c>
      <c r="N1296" t="n">
        <v>8</v>
      </c>
      <c r="O1296" t="n">
        <v>40</v>
      </c>
      <c r="P1296" t="n">
        <v>8</v>
      </c>
      <c r="R1296" s="9" t="n">
        <v>0.08</v>
      </c>
      <c r="S1296" s="10" t="inlineStr">
        <is>
          <t>SÍ — integrante</t>
        </is>
      </c>
      <c r="T1296" s="11" t="inlineStr">
        <is>
          <t>B · INTEGRANTE</t>
        </is>
      </c>
      <c r="U1296" s="11" t="inlineStr">
        <is>
          <t>DEL BANCO (se hereda)</t>
        </is>
      </c>
      <c r="V1296" s="11" t="inlineStr">
        <is>
          <t>9154 · OTRAS ACTIVIDADES NO CLASIFICADAS</t>
        </is>
      </c>
      <c r="W1296" s="12" t="n"/>
      <c r="X1296" s="12" t="n"/>
    </row>
    <row r="1297" ht="15" customHeight="1">
      <c r="C1297" t="inlineStr">
        <is>
          <t>Actividad económica / giro mercantil</t>
        </is>
      </c>
      <c r="D1297" t="inlineStr">
        <is>
          <t>F12</t>
        </is>
      </c>
      <c r="E1297" t="inlineStr">
        <is>
          <t>INHERENTE</t>
        </is>
      </c>
      <c r="F1297" t="inlineStr">
        <is>
          <t>SERVICIOS DE ENSEÑANZA DE MUSICA DANZA Y OTRAS ARTES CULTURA FISICA MANEJO DE VEHICULOS Y OTROS ESPECIALIZADOS</t>
        </is>
      </c>
      <c r="G1297" t="n">
        <v>9129017</v>
      </c>
      <c r="H1297" t="n">
        <v>1</v>
      </c>
      <c r="I1297" t="n">
        <v>1</v>
      </c>
      <c r="J1297" t="n">
        <v>8</v>
      </c>
      <c r="K1297" t="n">
        <v>8</v>
      </c>
      <c r="L1297" t="n">
        <v>8</v>
      </c>
      <c r="M1297" t="n">
        <v>8</v>
      </c>
      <c r="N1297" t="n">
        <v>8</v>
      </c>
      <c r="O1297" t="n">
        <v>40</v>
      </c>
      <c r="P1297" t="n">
        <v>8</v>
      </c>
      <c r="R1297" s="9" t="n">
        <v>0.08</v>
      </c>
      <c r="S1297" s="10" t="inlineStr">
        <is>
          <t>SÍ — integrante</t>
        </is>
      </c>
      <c r="T1297" s="11" t="inlineStr">
        <is>
          <t>B · INTEGRANTE</t>
        </is>
      </c>
      <c r="U1297" s="11" t="inlineStr">
        <is>
          <t>DEL BANCO (se hereda)</t>
        </is>
      </c>
      <c r="V1297" s="11" t="inlineStr">
        <is>
          <t>9154 · OTRAS ACTIVIDADES NO CLASIFICADAS</t>
        </is>
      </c>
      <c r="W1297" s="12" t="n"/>
      <c r="X1297" s="12" t="n"/>
    </row>
    <row r="1298" ht="15" customHeight="1">
      <c r="C1298" t="inlineStr">
        <is>
          <t>Actividad económica / giro mercantil</t>
        </is>
      </c>
      <c r="D1298" t="inlineStr">
        <is>
          <t>F12</t>
        </is>
      </c>
      <c r="E1298" t="inlineStr">
        <is>
          <t>INHERENTE</t>
        </is>
      </c>
      <c r="F1298" t="inlineStr">
        <is>
          <t>SERVICIOS DE INVESTIGACION CIENTIFICA</t>
        </is>
      </c>
      <c r="G1298" t="n">
        <v>9191016</v>
      </c>
      <c r="H1298" t="n">
        <v>1</v>
      </c>
      <c r="I1298" t="n">
        <v>1</v>
      </c>
      <c r="J1298" t="n">
        <v>8</v>
      </c>
      <c r="K1298" t="n">
        <v>8</v>
      </c>
      <c r="L1298" t="n">
        <v>8</v>
      </c>
      <c r="M1298" t="n">
        <v>8</v>
      </c>
      <c r="N1298" t="n">
        <v>8</v>
      </c>
      <c r="O1298" t="n">
        <v>40</v>
      </c>
      <c r="P1298" t="n">
        <v>8</v>
      </c>
      <c r="R1298" s="9" t="n">
        <v>0.08</v>
      </c>
      <c r="S1298" s="10" t="inlineStr">
        <is>
          <t>SÍ — integrante</t>
        </is>
      </c>
      <c r="T1298" s="11" t="inlineStr">
        <is>
          <t>B · INTEGRANTE</t>
        </is>
      </c>
      <c r="U1298" s="11" t="inlineStr">
        <is>
          <t>DEL BANCO (se hereda)</t>
        </is>
      </c>
      <c r="V1298" s="11" t="inlineStr">
        <is>
          <t>9154 · OTRAS ACTIVIDADES NO CLASIFICADAS</t>
        </is>
      </c>
      <c r="W1298" s="12" t="n"/>
      <c r="X1298" s="12" t="n"/>
    </row>
    <row r="1299" ht="15" customHeight="1">
      <c r="C1299" t="inlineStr">
        <is>
          <t>Actividad económica / giro mercantil</t>
        </is>
      </c>
      <c r="D1299" t="inlineStr">
        <is>
          <t>F12</t>
        </is>
      </c>
      <c r="E1299" t="inlineStr">
        <is>
          <t>INHERENTE</t>
        </is>
      </c>
      <c r="F1299" t="inlineStr">
        <is>
          <t>SERVICIOS DE BIBLIOTECAS MUSEOS JARDINES BOTANICOS Y OTROS SERVICIOS DE DIFUSION CULTURAL</t>
        </is>
      </c>
      <c r="G1299" t="n">
        <v>9199010</v>
      </c>
      <c r="H1299" t="n">
        <v>1</v>
      </c>
      <c r="I1299" t="n">
        <v>1</v>
      </c>
      <c r="J1299" t="n">
        <v>8</v>
      </c>
      <c r="K1299" t="n">
        <v>8</v>
      </c>
      <c r="L1299" t="n">
        <v>8</v>
      </c>
      <c r="M1299" t="n">
        <v>8</v>
      </c>
      <c r="N1299" t="n">
        <v>8</v>
      </c>
      <c r="O1299" t="n">
        <v>40</v>
      </c>
      <c r="P1299" t="n">
        <v>8</v>
      </c>
      <c r="R1299" s="9" t="n">
        <v>0.08</v>
      </c>
      <c r="S1299" s="10" t="inlineStr">
        <is>
          <t>SÍ — integrante</t>
        </is>
      </c>
      <c r="T1299" s="11" t="inlineStr">
        <is>
          <t>B · INTEGRANTE</t>
        </is>
      </c>
      <c r="U1299" s="11" t="inlineStr">
        <is>
          <t>DEL BANCO (se hereda)</t>
        </is>
      </c>
      <c r="V1299" s="11" t="inlineStr">
        <is>
          <t>9154 · OTRAS ACTIVIDADES NO CLASIFICADAS</t>
        </is>
      </c>
      <c r="W1299" s="12" t="n"/>
      <c r="X1299" s="12" t="n"/>
    </row>
    <row r="1300" ht="15" customHeight="1">
      <c r="C1300" t="inlineStr">
        <is>
          <t>Actividad económica / giro mercantil</t>
        </is>
      </c>
      <c r="D1300" t="inlineStr">
        <is>
          <t>F12</t>
        </is>
      </c>
      <c r="E1300" t="inlineStr">
        <is>
          <t>INHERENTE</t>
        </is>
      </c>
      <c r="F1300" t="inlineStr">
        <is>
          <t>SERVICIOS MÉDICOS, DE ASISTENCIA SOCIAL Y VETERINARIOS</t>
        </is>
      </c>
      <c r="G1300" t="n">
        <v>9200007</v>
      </c>
      <c r="H1300" t="n">
        <v>1</v>
      </c>
      <c r="I1300" t="n">
        <v>1</v>
      </c>
      <c r="J1300" t="n">
        <v>8</v>
      </c>
      <c r="K1300" t="n">
        <v>8</v>
      </c>
      <c r="L1300" t="n">
        <v>8</v>
      </c>
      <c r="M1300" t="n">
        <v>8</v>
      </c>
      <c r="N1300" t="n">
        <v>8</v>
      </c>
      <c r="O1300" t="n">
        <v>40</v>
      </c>
      <c r="P1300" t="n">
        <v>8</v>
      </c>
      <c r="R1300" s="9" t="n">
        <v>0.08</v>
      </c>
      <c r="S1300" s="10" t="inlineStr">
        <is>
          <t>SÍ — integrante</t>
        </is>
      </c>
      <c r="T1300" s="11" t="inlineStr">
        <is>
          <t>B · INTEGRANTE</t>
        </is>
      </c>
      <c r="U1300" s="11" t="inlineStr">
        <is>
          <t>DEL BANCO (se hereda)</t>
        </is>
      </c>
      <c r="V1300" s="11" t="inlineStr">
        <is>
          <t>9112 · SERVICIOS PROFESIONALES</t>
        </is>
      </c>
      <c r="W1300" s="12" t="n"/>
      <c r="X1300" s="12" t="n"/>
    </row>
    <row r="1301" ht="15" customHeight="1">
      <c r="C1301" t="inlineStr">
        <is>
          <t>Actividad económica / giro mercantil</t>
        </is>
      </c>
      <c r="D1301" t="inlineStr">
        <is>
          <t>F12</t>
        </is>
      </c>
      <c r="E1301" t="inlineStr">
        <is>
          <t>INHERENTE</t>
        </is>
      </c>
      <c r="F1301" t="inlineStr">
        <is>
          <t>HOSPITALES  SANATORIOS  CLINICAS Y MATERNIDADES</t>
        </is>
      </c>
      <c r="G1301" t="n">
        <v>9211012</v>
      </c>
      <c r="H1301" t="n">
        <v>1</v>
      </c>
      <c r="I1301" t="n">
        <v>1</v>
      </c>
      <c r="J1301" t="n">
        <v>8</v>
      </c>
      <c r="K1301" t="n">
        <v>8</v>
      </c>
      <c r="L1301" t="n">
        <v>8</v>
      </c>
      <c r="M1301" t="n">
        <v>8</v>
      </c>
      <c r="N1301" t="n">
        <v>8</v>
      </c>
      <c r="O1301" t="n">
        <v>40</v>
      </c>
      <c r="P1301" t="n">
        <v>8</v>
      </c>
      <c r="R1301" s="9" t="n">
        <v>0.08</v>
      </c>
      <c r="S1301" s="10" t="inlineStr">
        <is>
          <t>SÍ — integrante</t>
        </is>
      </c>
      <c r="T1301" s="11" t="inlineStr">
        <is>
          <t>B · INTEGRANTE</t>
        </is>
      </c>
      <c r="U1301" s="11" t="inlineStr">
        <is>
          <t>DEL BANCO (se hereda)</t>
        </is>
      </c>
      <c r="V1301" s="11" t="inlineStr">
        <is>
          <t>9154 · OTRAS ACTIVIDADES NO CLASIFICADAS</t>
        </is>
      </c>
      <c r="W1301" s="12" t="n"/>
      <c r="X1301" s="12" t="n"/>
    </row>
    <row r="1302" ht="15" customHeight="1">
      <c r="C1302" t="inlineStr">
        <is>
          <t>Actividad económica / giro mercantil</t>
        </is>
      </c>
      <c r="D1302" t="inlineStr">
        <is>
          <t>F12</t>
        </is>
      </c>
      <c r="E1302" t="inlineStr">
        <is>
          <t>INHERENTE</t>
        </is>
      </c>
      <c r="F1302" t="inlineStr">
        <is>
          <t>SERVICIOS MEDICO GENERAL Y ESPECIALIZADO EN CONSULTORIOS</t>
        </is>
      </c>
      <c r="G1302" t="n">
        <v>9212010</v>
      </c>
      <c r="H1302" t="n">
        <v>1</v>
      </c>
      <c r="I1302" t="n">
        <v>1</v>
      </c>
      <c r="J1302" t="n">
        <v>8</v>
      </c>
      <c r="K1302" t="n">
        <v>8</v>
      </c>
      <c r="L1302" t="n">
        <v>8</v>
      </c>
      <c r="M1302" t="n">
        <v>8</v>
      </c>
      <c r="N1302" t="n">
        <v>8</v>
      </c>
      <c r="O1302" t="n">
        <v>40</v>
      </c>
      <c r="P1302" t="n">
        <v>8</v>
      </c>
      <c r="R1302" s="9" t="n">
        <v>0.08</v>
      </c>
      <c r="S1302" s="10" t="inlineStr">
        <is>
          <t>SÍ — integrante</t>
        </is>
      </c>
      <c r="T1302" s="11" t="inlineStr">
        <is>
          <t>B · INTEGRANTE</t>
        </is>
      </c>
      <c r="U1302" s="11" t="inlineStr">
        <is>
          <t>DEL BANCO (se hereda)</t>
        </is>
      </c>
      <c r="V1302" s="11" t="inlineStr">
        <is>
          <t>9153 · GOBIERNO Y SECTOR PÚBLICO</t>
        </is>
      </c>
      <c r="W1302" s="12" t="n"/>
      <c r="X1302" s="12" t="n"/>
    </row>
    <row r="1303" ht="15" customHeight="1">
      <c r="C1303" t="inlineStr">
        <is>
          <t>Actividad económica / giro mercantil</t>
        </is>
      </c>
      <c r="D1303" t="inlineStr">
        <is>
          <t>F12</t>
        </is>
      </c>
      <c r="E1303" t="inlineStr">
        <is>
          <t>INHERENTE</t>
        </is>
      </c>
      <c r="F1303" t="inlineStr">
        <is>
          <t>SERVICIOS DE CONSULTORIOS Y CLINICAS DENTALES</t>
        </is>
      </c>
      <c r="G1303" t="n">
        <v>9213018</v>
      </c>
      <c r="H1303" t="n">
        <v>1</v>
      </c>
      <c r="I1303" t="n">
        <v>1</v>
      </c>
      <c r="J1303" t="n">
        <v>8</v>
      </c>
      <c r="K1303" t="n">
        <v>8</v>
      </c>
      <c r="L1303" t="n">
        <v>8</v>
      </c>
      <c r="M1303" t="n">
        <v>8</v>
      </c>
      <c r="N1303" t="n">
        <v>8</v>
      </c>
      <c r="O1303" t="n">
        <v>40</v>
      </c>
      <c r="P1303" t="n">
        <v>8</v>
      </c>
      <c r="R1303" s="9" t="n">
        <v>0.08</v>
      </c>
      <c r="S1303" s="10" t="inlineStr">
        <is>
          <t>SÍ — integrante</t>
        </is>
      </c>
      <c r="T1303" s="11" t="inlineStr">
        <is>
          <t>B · INTEGRANTE</t>
        </is>
      </c>
      <c r="U1303" s="11" t="inlineStr">
        <is>
          <t>DEL BANCO (se hereda)</t>
        </is>
      </c>
      <c r="V1303" s="11" t="inlineStr">
        <is>
          <t>9153 · GOBIERNO Y SECTOR PÚBLICO</t>
        </is>
      </c>
      <c r="W1303" s="12" t="n"/>
      <c r="X1303" s="12" t="n"/>
    </row>
    <row r="1304" ht="15" customHeight="1">
      <c r="C1304" t="inlineStr">
        <is>
          <t>Actividad económica / giro mercantil</t>
        </is>
      </c>
      <c r="D1304" t="inlineStr">
        <is>
          <t>F12</t>
        </is>
      </c>
      <c r="E1304" t="inlineStr">
        <is>
          <t>INHERENTE</t>
        </is>
      </c>
      <c r="F1304" t="inlineStr">
        <is>
          <t>LABORATORIOS DE ANALISIS CLINICOS</t>
        </is>
      </c>
      <c r="G1304" t="n">
        <v>9214016</v>
      </c>
      <c r="H1304" t="n">
        <v>1</v>
      </c>
      <c r="I1304" t="n">
        <v>1</v>
      </c>
      <c r="J1304" t="n">
        <v>8</v>
      </c>
      <c r="K1304" t="n">
        <v>8</v>
      </c>
      <c r="L1304" t="n">
        <v>8</v>
      </c>
      <c r="M1304" t="n">
        <v>8</v>
      </c>
      <c r="N1304" t="n">
        <v>8</v>
      </c>
      <c r="O1304" t="n">
        <v>40</v>
      </c>
      <c r="P1304" t="n">
        <v>8</v>
      </c>
      <c r="R1304" s="9" t="n">
        <v>0.08</v>
      </c>
      <c r="S1304" s="10" t="inlineStr">
        <is>
          <t>SÍ — integrante</t>
        </is>
      </c>
      <c r="T1304" s="11" t="inlineStr">
        <is>
          <t>B · INTEGRANTE</t>
        </is>
      </c>
      <c r="U1304" s="11" t="inlineStr">
        <is>
          <t>DEL BANCO (se hereda)</t>
        </is>
      </c>
      <c r="V1304" s="11" t="inlineStr">
        <is>
          <t>9154 · OTRAS ACTIVIDADES NO CLASIFICADAS</t>
        </is>
      </c>
      <c r="W1304" s="12" t="n"/>
      <c r="X1304" s="12" t="n"/>
    </row>
    <row r="1305" ht="15" customHeight="1">
      <c r="C1305" t="inlineStr">
        <is>
          <t>Actividad económica / giro mercantil</t>
        </is>
      </c>
      <c r="D1305" t="inlineStr">
        <is>
          <t>F12</t>
        </is>
      </c>
      <c r="E1305" t="inlineStr">
        <is>
          <t>INHERENTE</t>
        </is>
      </c>
      <c r="F1305" t="inlineStr">
        <is>
          <t>SERVICIOS DE LABORATORIOS DE RADIOLOGIA Y RADIOSCOPIA</t>
        </is>
      </c>
      <c r="G1305" t="n">
        <v>9215014</v>
      </c>
      <c r="H1305" t="n">
        <v>1</v>
      </c>
      <c r="I1305" t="n">
        <v>1</v>
      </c>
      <c r="J1305" t="n">
        <v>8</v>
      </c>
      <c r="K1305" t="n">
        <v>8</v>
      </c>
      <c r="L1305" t="n">
        <v>8</v>
      </c>
      <c r="M1305" t="n">
        <v>8</v>
      </c>
      <c r="N1305" t="n">
        <v>8</v>
      </c>
      <c r="O1305" t="n">
        <v>40</v>
      </c>
      <c r="P1305" t="n">
        <v>8</v>
      </c>
      <c r="R1305" s="9" t="n">
        <v>0.08</v>
      </c>
      <c r="S1305" s="10" t="inlineStr">
        <is>
          <t>SÍ — integrante</t>
        </is>
      </c>
      <c r="T1305" s="11" t="inlineStr">
        <is>
          <t>B · INTEGRANTE</t>
        </is>
      </c>
      <c r="U1305" s="11" t="inlineStr">
        <is>
          <t>DEL BANCO (se hereda)</t>
        </is>
      </c>
      <c r="V1305" s="11" t="inlineStr">
        <is>
          <t>9154 · OTRAS ACTIVIDADES NO CLASIFICADAS</t>
        </is>
      </c>
      <c r="W1305" s="12" t="n"/>
      <c r="X1305" s="12" t="n"/>
    </row>
    <row r="1306" ht="15" customHeight="1">
      <c r="C1306" t="inlineStr">
        <is>
          <t>Actividad económica / giro mercantil</t>
        </is>
      </c>
      <c r="D1306" t="inlineStr">
        <is>
          <t>F12</t>
        </is>
      </c>
      <c r="E1306" t="inlineStr">
        <is>
          <t>INHERENTE</t>
        </is>
      </c>
      <c r="F1306" t="inlineStr">
        <is>
          <t>SERVICIOS DE FISIOTERAPIA  BANCOS DE SANGRE Y OTROS SERVICIOS MEDICOS</t>
        </is>
      </c>
      <c r="G1306" t="n">
        <v>9219016</v>
      </c>
      <c r="H1306" t="n">
        <v>1</v>
      </c>
      <c r="I1306" t="n">
        <v>1</v>
      </c>
      <c r="J1306" t="n">
        <v>8</v>
      </c>
      <c r="K1306" t="n">
        <v>8</v>
      </c>
      <c r="L1306" t="n">
        <v>8</v>
      </c>
      <c r="M1306" t="n">
        <v>8</v>
      </c>
      <c r="N1306" t="n">
        <v>8</v>
      </c>
      <c r="O1306" t="n">
        <v>40</v>
      </c>
      <c r="P1306" t="n">
        <v>8</v>
      </c>
      <c r="R1306" s="9" t="n">
        <v>0.08</v>
      </c>
      <c r="S1306" s="10" t="inlineStr">
        <is>
          <t>SÍ — integrante</t>
        </is>
      </c>
      <c r="T1306" s="11" t="inlineStr">
        <is>
          <t>B · INTEGRANTE</t>
        </is>
      </c>
      <c r="U1306" s="11" t="inlineStr">
        <is>
          <t>DEL BANCO (se hereda)</t>
        </is>
      </c>
      <c r="V1306" s="11" t="inlineStr">
        <is>
          <t>9114 · INSTITUCIÓN DE CRÉDITO (BANCO)</t>
        </is>
      </c>
      <c r="W1306" s="12" t="n"/>
      <c r="X1306" s="12" t="n"/>
    </row>
    <row r="1307" ht="15" customHeight="1">
      <c r="C1307" t="inlineStr">
        <is>
          <t>Actividad económica / giro mercantil</t>
        </is>
      </c>
      <c r="D1307" t="inlineStr">
        <is>
          <t>F12</t>
        </is>
      </c>
      <c r="E1307" t="inlineStr">
        <is>
          <t>INHERENTE</t>
        </is>
      </c>
      <c r="F1307" t="inlineStr">
        <is>
          <t>CENTRO DE BENEFICENCIA</t>
        </is>
      </c>
      <c r="G1307" t="n">
        <v>9221011</v>
      </c>
      <c r="H1307" t="n">
        <v>5</v>
      </c>
      <c r="I1307" t="n">
        <v>5</v>
      </c>
      <c r="J1307" t="n">
        <v>8</v>
      </c>
      <c r="K1307" t="n">
        <v>40</v>
      </c>
      <c r="L1307" t="n">
        <v>40</v>
      </c>
      <c r="M1307" t="n">
        <v>40</v>
      </c>
      <c r="N1307" t="n">
        <v>40</v>
      </c>
      <c r="O1307" t="n">
        <v>40</v>
      </c>
      <c r="P1307" t="n">
        <v>8</v>
      </c>
      <c r="Q1307" t="inlineStr">
        <is>
          <t>DETERMINANTE</t>
        </is>
      </c>
      <c r="R1307" s="9" t="n">
        <v>0.08</v>
      </c>
      <c r="S1307" s="10" t="inlineStr">
        <is>
          <t>SÍ — integrante</t>
        </is>
      </c>
      <c r="T1307" s="11" t="inlineStr">
        <is>
          <t>B · INTEGRANTE</t>
        </is>
      </c>
      <c r="U1307" s="11" t="inlineStr">
        <is>
          <t>DEL BANCO (se hereda)</t>
        </is>
      </c>
      <c r="V1307" s="11" t="inlineStr">
        <is>
          <t>9154 · OTRAS ACTIVIDADES NO CLASIFICADAS</t>
        </is>
      </c>
      <c r="W1307" s="12" t="n"/>
      <c r="X1307" s="12" t="n"/>
    </row>
    <row r="1308" ht="15" customHeight="1">
      <c r="C1308" t="inlineStr">
        <is>
          <t>Actividad económica / giro mercantil</t>
        </is>
      </c>
      <c r="D1308" t="inlineStr">
        <is>
          <t>F12</t>
        </is>
      </c>
      <c r="E1308" t="inlineStr">
        <is>
          <t>INHERENTE</t>
        </is>
      </c>
      <c r="F1308" t="inlineStr">
        <is>
          <t>SERVICIOS VETERINARIOS EN CLINICAS Y CONSULTORIOS  INCLUSO ZOOTECNISTAS  PENSIONES DE ANIMALES Y OTROS SERVICIOS AUXILIARES</t>
        </is>
      </c>
      <c r="G1308" t="n">
        <v>9231010</v>
      </c>
      <c r="H1308" t="n">
        <v>1</v>
      </c>
      <c r="I1308" t="n">
        <v>1</v>
      </c>
      <c r="J1308" t="n">
        <v>8</v>
      </c>
      <c r="K1308" t="n">
        <v>8</v>
      </c>
      <c r="L1308" t="n">
        <v>8</v>
      </c>
      <c r="M1308" t="n">
        <v>8</v>
      </c>
      <c r="N1308" t="n">
        <v>8</v>
      </c>
      <c r="O1308" t="n">
        <v>40</v>
      </c>
      <c r="P1308" t="n">
        <v>8</v>
      </c>
      <c r="R1308" s="9" t="n">
        <v>0.08</v>
      </c>
      <c r="S1308" s="10" t="inlineStr">
        <is>
          <t>SÍ — integrante</t>
        </is>
      </c>
      <c r="T1308" s="11" t="inlineStr">
        <is>
          <t>B · INTEGRANTE</t>
        </is>
      </c>
      <c r="U1308" s="11" t="inlineStr">
        <is>
          <t>DEL BANCO (se hereda)</t>
        </is>
      </c>
      <c r="V1308" s="11" t="inlineStr">
        <is>
          <t>9153 · GOBIERNO Y SECTOR PÚBLICO</t>
        </is>
      </c>
      <c r="W1308" s="12" t="n"/>
      <c r="X1308" s="12" t="n"/>
    </row>
    <row r="1309" ht="15" customHeight="1">
      <c r="C1309" t="inlineStr">
        <is>
          <t>Actividad económica / giro mercantil</t>
        </is>
      </c>
      <c r="D1309" t="inlineStr">
        <is>
          <t>F12</t>
        </is>
      </c>
      <c r="E1309" t="inlineStr">
        <is>
          <t>INHERENTE</t>
        </is>
      </c>
      <c r="F1309" t="inlineStr">
        <is>
          <t>USUARIOS MENORES SERVICIOS MEDICOS</t>
        </is>
      </c>
      <c r="G1309" t="n">
        <v>9231028</v>
      </c>
      <c r="H1309" t="n">
        <v>1</v>
      </c>
      <c r="I1309" t="n">
        <v>1</v>
      </c>
      <c r="J1309" t="n">
        <v>8</v>
      </c>
      <c r="K1309" t="n">
        <v>8</v>
      </c>
      <c r="L1309" t="n">
        <v>8</v>
      </c>
      <c r="M1309" t="n">
        <v>8</v>
      </c>
      <c r="N1309" t="n">
        <v>8</v>
      </c>
      <c r="O1309" t="n">
        <v>40</v>
      </c>
      <c r="P1309" t="n">
        <v>8</v>
      </c>
      <c r="R1309" s="9" t="n">
        <v>0.08</v>
      </c>
      <c r="S1309" s="10" t="inlineStr">
        <is>
          <t>SÍ — integrante</t>
        </is>
      </c>
      <c r="T1309" s="11" t="inlineStr">
        <is>
          <t>B · INTEGRANTE</t>
        </is>
      </c>
      <c r="U1309" s="11" t="inlineStr">
        <is>
          <t>DEL BANCO (se hereda)</t>
        </is>
      </c>
      <c r="V1309" s="11" t="inlineStr">
        <is>
          <t>9112 · SERVICIOS PROFESIONALES</t>
        </is>
      </c>
      <c r="W1309" s="12" t="n"/>
      <c r="X1309" s="12" t="n"/>
    </row>
    <row r="1310" ht="15" customHeight="1">
      <c r="C1310" t="inlineStr">
        <is>
          <t>Actividad económica / giro mercantil</t>
        </is>
      </c>
      <c r="D1310" t="inlineStr">
        <is>
          <t>F12</t>
        </is>
      </c>
      <c r="E1310" t="inlineStr">
        <is>
          <t>INHERENTE</t>
        </is>
      </c>
      <c r="F1310" t="inlineStr">
        <is>
          <t>ORGANIZACIONES DE ABOGADOS</t>
        </is>
      </c>
      <c r="G1310" t="n">
        <v>9300001</v>
      </c>
      <c r="H1310" t="n">
        <v>1</v>
      </c>
      <c r="I1310" t="n">
        <v>1</v>
      </c>
      <c r="J1310" t="n">
        <v>8</v>
      </c>
      <c r="K1310" t="n">
        <v>8</v>
      </c>
      <c r="L1310" t="n">
        <v>8</v>
      </c>
      <c r="M1310" t="n">
        <v>8</v>
      </c>
      <c r="N1310" t="n">
        <v>8</v>
      </c>
      <c r="O1310" t="n">
        <v>40</v>
      </c>
      <c r="P1310" t="n">
        <v>8</v>
      </c>
      <c r="R1310" s="9" t="n">
        <v>0.08</v>
      </c>
      <c r="S1310" s="10" t="inlineStr">
        <is>
          <t>SÍ — integrante</t>
        </is>
      </c>
      <c r="T1310" s="11" t="inlineStr">
        <is>
          <t>B · INTEGRANTE</t>
        </is>
      </c>
      <c r="U1310" s="11" t="inlineStr">
        <is>
          <t>DEL BANCO (se hereda)</t>
        </is>
      </c>
      <c r="V1310" s="11" t="inlineStr">
        <is>
          <t>9112 · SERVICIOS PROFESIONALES</t>
        </is>
      </c>
      <c r="W1310" s="12" t="n"/>
      <c r="X1310" s="12" t="n"/>
    </row>
    <row r="1311" ht="15" customHeight="1">
      <c r="C1311" t="inlineStr">
        <is>
          <t>Actividad económica / giro mercantil</t>
        </is>
      </c>
      <c r="D1311" t="inlineStr">
        <is>
          <t>F12</t>
        </is>
      </c>
      <c r="E1311" t="inlineStr">
        <is>
          <t>INHERENTE</t>
        </is>
      </c>
      <c r="F1311" t="inlineStr">
        <is>
          <t>AGRUPACIONES MERCANTILES, PROFESIONALES, CÍVICAS, POLÍTICAS, LABORALES Y RELIGIOSAS</t>
        </is>
      </c>
      <c r="G1311" t="n">
        <v>9300005</v>
      </c>
      <c r="H1311" t="n">
        <v>2</v>
      </c>
      <c r="I1311" t="n">
        <v>2</v>
      </c>
      <c r="J1311" t="n">
        <v>8</v>
      </c>
      <c r="K1311" t="n">
        <v>16</v>
      </c>
      <c r="L1311" t="n">
        <v>16</v>
      </c>
      <c r="M1311" t="n">
        <v>16</v>
      </c>
      <c r="N1311" t="n">
        <v>16</v>
      </c>
      <c r="O1311" t="n">
        <v>40</v>
      </c>
      <c r="P1311" t="n">
        <v>8</v>
      </c>
      <c r="R1311" s="9" t="n">
        <v>0.08</v>
      </c>
      <c r="S1311" s="10" t="inlineStr">
        <is>
          <t>SÍ — integrante</t>
        </is>
      </c>
      <c r="T1311" s="11" t="inlineStr">
        <is>
          <t>B · INTEGRANTE</t>
        </is>
      </c>
      <c r="U1311" s="11" t="inlineStr">
        <is>
          <t>DEL BANCO (se hereda)</t>
        </is>
      </c>
      <c r="V1311" s="11" t="inlineStr">
        <is>
          <t>9154 · OTRAS ACTIVIDADES NO CLASIFICADAS</t>
        </is>
      </c>
      <c r="W1311" s="12" t="n"/>
      <c r="X1311" s="12" t="n"/>
    </row>
    <row r="1312" ht="15" customHeight="1">
      <c r="C1312" t="inlineStr">
        <is>
          <t>Actividad económica / giro mercantil</t>
        </is>
      </c>
      <c r="D1312" t="inlineStr">
        <is>
          <t>F12</t>
        </is>
      </c>
      <c r="E1312" t="inlineStr">
        <is>
          <t>INHERENTE</t>
        </is>
      </c>
      <c r="F1312" t="inlineStr">
        <is>
          <t>ASOCIACIONES Y CONFEDERACIONES</t>
        </is>
      </c>
      <c r="G1312" t="n">
        <v>9311010</v>
      </c>
      <c r="H1312" t="n">
        <v>5</v>
      </c>
      <c r="I1312" t="n">
        <v>5</v>
      </c>
      <c r="J1312" t="n">
        <v>8</v>
      </c>
      <c r="K1312" t="n">
        <v>40</v>
      </c>
      <c r="L1312" t="n">
        <v>40</v>
      </c>
      <c r="M1312" t="n">
        <v>40</v>
      </c>
      <c r="N1312" t="n">
        <v>40</v>
      </c>
      <c r="O1312" t="n">
        <v>40</v>
      </c>
      <c r="P1312" t="n">
        <v>8</v>
      </c>
      <c r="Q1312" t="inlineStr">
        <is>
          <t>DETERMINANTE</t>
        </is>
      </c>
      <c r="R1312" s="9" t="n">
        <v>0.08</v>
      </c>
      <c r="S1312" s="10" t="inlineStr">
        <is>
          <t>SÍ — integrante</t>
        </is>
      </c>
      <c r="T1312" s="11" t="inlineStr">
        <is>
          <t>B · INTEGRANTE</t>
        </is>
      </c>
      <c r="U1312" s="11" t="inlineStr">
        <is>
          <t>DEL BANCO (se hereda)</t>
        </is>
      </c>
      <c r="V1312" s="11" t="inlineStr">
        <is>
          <t>9154 · OTRAS ACTIVIDADES NO CLASIFICADAS</t>
        </is>
      </c>
      <c r="W1312" s="12" t="n"/>
      <c r="X1312" s="12" t="n"/>
    </row>
    <row r="1313" ht="15" customHeight="1">
      <c r="C1313" t="inlineStr">
        <is>
          <t>Actividad económica / giro mercantil</t>
        </is>
      </c>
      <c r="D1313" t="inlineStr">
        <is>
          <t>F12</t>
        </is>
      </c>
      <c r="E1313" t="inlineStr">
        <is>
          <t>INHERENTE</t>
        </is>
      </c>
      <c r="F1313" t="inlineStr">
        <is>
          <t>CAMARAS DE COMERCIO</t>
        </is>
      </c>
      <c r="G1313" t="n">
        <v>9311028</v>
      </c>
      <c r="H1313" t="n">
        <v>3</v>
      </c>
      <c r="I1313" t="n">
        <v>3</v>
      </c>
      <c r="J1313" t="n">
        <v>8</v>
      </c>
      <c r="K1313" t="n">
        <v>24</v>
      </c>
      <c r="L1313" t="n">
        <v>24</v>
      </c>
      <c r="M1313" t="n">
        <v>24</v>
      </c>
      <c r="N1313" t="n">
        <v>24</v>
      </c>
      <c r="O1313" t="n">
        <v>40</v>
      </c>
      <c r="P1313" t="n">
        <v>8</v>
      </c>
      <c r="R1313" s="9" t="n">
        <v>0.08</v>
      </c>
      <c r="S1313" s="10" t="inlineStr">
        <is>
          <t>SÍ — integrante</t>
        </is>
      </c>
      <c r="T1313" s="11" t="inlineStr">
        <is>
          <t>B · INTEGRANTE</t>
        </is>
      </c>
      <c r="U1313" s="11" t="inlineStr">
        <is>
          <t>DEL BANCO (se hereda)</t>
        </is>
      </c>
      <c r="V1313" s="11" t="inlineStr">
        <is>
          <t>9113 · COMERCIO GENERAL</t>
        </is>
      </c>
      <c r="W1313" s="12" t="n"/>
      <c r="X1313" s="12" t="n"/>
    </row>
    <row r="1314" ht="15" customHeight="1">
      <c r="C1314" t="inlineStr">
        <is>
          <t>Actividad económica / giro mercantil</t>
        </is>
      </c>
      <c r="D1314" t="inlineStr">
        <is>
          <t>F12</t>
        </is>
      </c>
      <c r="E1314" t="inlineStr">
        <is>
          <t>INHERENTE</t>
        </is>
      </c>
      <c r="F1314" t="inlineStr">
        <is>
          <t>CAMARAS INDUSTRIALES</t>
        </is>
      </c>
      <c r="G1314" t="n">
        <v>9311036</v>
      </c>
      <c r="H1314" t="n">
        <v>3</v>
      </c>
      <c r="I1314" t="n">
        <v>3</v>
      </c>
      <c r="J1314" t="n">
        <v>8</v>
      </c>
      <c r="K1314" t="n">
        <v>24</v>
      </c>
      <c r="L1314" t="n">
        <v>24</v>
      </c>
      <c r="M1314" t="n">
        <v>24</v>
      </c>
      <c r="N1314" t="n">
        <v>24</v>
      </c>
      <c r="O1314" t="n">
        <v>40</v>
      </c>
      <c r="P1314" t="n">
        <v>8</v>
      </c>
      <c r="R1314" s="9" t="n">
        <v>0.08</v>
      </c>
      <c r="S1314" s="10" t="inlineStr">
        <is>
          <t>SÍ — integrante</t>
        </is>
      </c>
      <c r="T1314" s="11" t="inlineStr">
        <is>
          <t>B · INTEGRANTE</t>
        </is>
      </c>
      <c r="U1314" s="11" t="inlineStr">
        <is>
          <t>DEL BANCO (se hereda)</t>
        </is>
      </c>
      <c r="V1314" s="11" t="inlineStr">
        <is>
          <t>9152 · INDUSTRIA Y MANUFACTURA</t>
        </is>
      </c>
      <c r="W1314" s="12" t="n"/>
      <c r="X1314" s="12" t="n"/>
    </row>
    <row r="1315" ht="15" customHeight="1">
      <c r="C1315" t="inlineStr">
        <is>
          <t>Actividad económica / giro mercantil</t>
        </is>
      </c>
      <c r="D1315" t="inlineStr">
        <is>
          <t>F12</t>
        </is>
      </c>
      <c r="E1315" t="inlineStr">
        <is>
          <t>INHERENTE</t>
        </is>
      </c>
      <c r="F1315" t="inlineStr">
        <is>
          <t>SOCIEDADES COOPERATIVAS</t>
        </is>
      </c>
      <c r="G1315" t="n">
        <v>9311044</v>
      </c>
      <c r="H1315" t="n">
        <v>5</v>
      </c>
      <c r="I1315" t="n">
        <v>5</v>
      </c>
      <c r="J1315" t="n">
        <v>8</v>
      </c>
      <c r="K1315" t="n">
        <v>40</v>
      </c>
      <c r="L1315" t="n">
        <v>40</v>
      </c>
      <c r="M1315" t="n">
        <v>40</v>
      </c>
      <c r="N1315" t="n">
        <v>40</v>
      </c>
      <c r="O1315" t="n">
        <v>40</v>
      </c>
      <c r="P1315" t="n">
        <v>8</v>
      </c>
      <c r="Q1315" t="inlineStr">
        <is>
          <t>DETERMINANTE</t>
        </is>
      </c>
      <c r="R1315" s="9" t="n">
        <v>0.08</v>
      </c>
      <c r="S1315" s="10" t="inlineStr">
        <is>
          <t>SÍ — integrante</t>
        </is>
      </c>
      <c r="T1315" s="11" t="inlineStr">
        <is>
          <t>B · INTEGRANTE</t>
        </is>
      </c>
      <c r="U1315" s="11" t="inlineStr">
        <is>
          <t>DEL BANCO (se hereda)</t>
        </is>
      </c>
      <c r="V1315" s="11" t="inlineStr">
        <is>
          <t>9154 · OTRAS ACTIVIDADES NO CLASIFICADAS</t>
        </is>
      </c>
      <c r="W1315" s="12" t="n"/>
      <c r="X1315" s="12" t="n"/>
    </row>
    <row r="1316" ht="15" customHeight="1">
      <c r="C1316" t="inlineStr">
        <is>
          <t>Actividad económica / giro mercantil</t>
        </is>
      </c>
      <c r="D1316" t="inlineStr">
        <is>
          <t>F12</t>
        </is>
      </c>
      <c r="E1316" t="inlineStr">
        <is>
          <t>INHERENTE</t>
        </is>
      </c>
      <c r="F1316" t="inlineStr">
        <is>
          <t>ORGANIZACIONES DE ABOGADOS MEDICOS INGENIEROS Y OTRAS ASOCIACIONES DE PROFESIONALES</t>
        </is>
      </c>
      <c r="G1316" t="n">
        <v>9312018</v>
      </c>
      <c r="H1316" t="n">
        <v>1</v>
      </c>
      <c r="I1316" t="n">
        <v>1</v>
      </c>
      <c r="J1316" t="n">
        <v>8</v>
      </c>
      <c r="K1316" t="n">
        <v>8</v>
      </c>
      <c r="L1316" t="n">
        <v>8</v>
      </c>
      <c r="M1316" t="n">
        <v>8</v>
      </c>
      <c r="N1316" t="n">
        <v>8</v>
      </c>
      <c r="O1316" t="n">
        <v>40</v>
      </c>
      <c r="P1316" t="n">
        <v>8</v>
      </c>
      <c r="R1316" s="9" t="n">
        <v>0.08</v>
      </c>
      <c r="S1316" s="10" t="inlineStr">
        <is>
          <t>SÍ — integrante</t>
        </is>
      </c>
      <c r="T1316" s="11" t="inlineStr">
        <is>
          <t>B · INTEGRANTE</t>
        </is>
      </c>
      <c r="U1316" s="11" t="inlineStr">
        <is>
          <t>DEL BANCO (se hereda)</t>
        </is>
      </c>
      <c r="V1316" s="11" t="inlineStr">
        <is>
          <t>9112 · SERVICIOS PROFESIONALES</t>
        </is>
      </c>
      <c r="W1316" s="12" t="n"/>
      <c r="X1316" s="12" t="n"/>
    </row>
    <row r="1317" ht="15" customHeight="1">
      <c r="C1317" t="inlineStr">
        <is>
          <t>Actividad económica / giro mercantil</t>
        </is>
      </c>
      <c r="D1317" t="inlineStr">
        <is>
          <t>F12</t>
        </is>
      </c>
      <c r="E1317" t="inlineStr">
        <is>
          <t>INHERENTE</t>
        </is>
      </c>
      <c r="F1317" t="inlineStr">
        <is>
          <t>ORGANIZACIONES CIVICAS</t>
        </is>
      </c>
      <c r="G1317" t="n">
        <v>9319014</v>
      </c>
      <c r="H1317" t="n">
        <v>5</v>
      </c>
      <c r="I1317" t="n">
        <v>5</v>
      </c>
      <c r="J1317" t="n">
        <v>8</v>
      </c>
      <c r="K1317" t="n">
        <v>40</v>
      </c>
      <c r="L1317" t="n">
        <v>40</v>
      </c>
      <c r="M1317" t="n">
        <v>40</v>
      </c>
      <c r="N1317" t="n">
        <v>40</v>
      </c>
      <c r="O1317" t="n">
        <v>40</v>
      </c>
      <c r="P1317" t="n">
        <v>8</v>
      </c>
      <c r="Q1317" t="inlineStr">
        <is>
          <t>DETERMINANTE</t>
        </is>
      </c>
      <c r="R1317" s="9" t="n">
        <v>0.08</v>
      </c>
      <c r="S1317" s="10" t="inlineStr">
        <is>
          <t>SÍ — integrante</t>
        </is>
      </c>
      <c r="T1317" s="11" t="inlineStr">
        <is>
          <t>B · INTEGRANTE</t>
        </is>
      </c>
      <c r="U1317" s="11" t="inlineStr">
        <is>
          <t>DEL BANCO (se hereda)</t>
        </is>
      </c>
      <c r="V1317" s="11" t="inlineStr">
        <is>
          <t>9154 · OTRAS ACTIVIDADES NO CLASIFICADAS</t>
        </is>
      </c>
      <c r="W1317" s="12" t="n"/>
      <c r="X1317" s="12" t="n"/>
    </row>
    <row r="1318" ht="15" customHeight="1">
      <c r="C1318" t="inlineStr">
        <is>
          <t>Actividad económica / giro mercantil</t>
        </is>
      </c>
      <c r="D1318" t="inlineStr">
        <is>
          <t>F12</t>
        </is>
      </c>
      <c r="E1318" t="inlineStr">
        <is>
          <t>INHERENTE</t>
        </is>
      </c>
      <c r="F1318" t="inlineStr">
        <is>
          <t>ORGANIZACIONES LABORALES Y SINDICALES</t>
        </is>
      </c>
      <c r="G1318" t="n">
        <v>9321019</v>
      </c>
      <c r="H1318" t="n">
        <v>5</v>
      </c>
      <c r="I1318" t="n">
        <v>5</v>
      </c>
      <c r="J1318" t="n">
        <v>8</v>
      </c>
      <c r="K1318" t="n">
        <v>40</v>
      </c>
      <c r="L1318" t="n">
        <v>40</v>
      </c>
      <c r="M1318" t="n">
        <v>40</v>
      </c>
      <c r="N1318" t="n">
        <v>40</v>
      </c>
      <c r="O1318" t="n">
        <v>40</v>
      </c>
      <c r="P1318" t="n">
        <v>8</v>
      </c>
      <c r="Q1318" t="inlineStr">
        <is>
          <t>PROHIBITIVO</t>
        </is>
      </c>
      <c r="R1318" s="9" t="n">
        <v>0.08</v>
      </c>
      <c r="S1318" s="10" t="inlineStr">
        <is>
          <t>SÍ — integrante</t>
        </is>
      </c>
      <c r="T1318" s="11" t="inlineStr">
        <is>
          <t>B · INTEGRANTE</t>
        </is>
      </c>
      <c r="U1318" s="11" t="inlineStr">
        <is>
          <t>DEL BANCO (se hereda)</t>
        </is>
      </c>
      <c r="V1318" s="11" t="inlineStr">
        <is>
          <t>9154 · OTRAS ACTIVIDADES NO CLASIFICADAS</t>
        </is>
      </c>
      <c r="W1318" s="12" t="n"/>
      <c r="X1318" s="12" t="n"/>
    </row>
    <row r="1319" ht="15" customHeight="1">
      <c r="C1319" t="inlineStr">
        <is>
          <t>Actividad económica / giro mercantil</t>
        </is>
      </c>
      <c r="D1319" t="inlineStr">
        <is>
          <t>F12</t>
        </is>
      </c>
      <c r="E1319" t="inlineStr">
        <is>
          <t>INHERENTE</t>
        </is>
      </c>
      <c r="F1319" t="inlineStr">
        <is>
          <t>ORGANIZACIONES POLITICAS</t>
        </is>
      </c>
      <c r="G1319" t="n">
        <v>9322017</v>
      </c>
      <c r="H1319" t="n">
        <v>5</v>
      </c>
      <c r="I1319" t="n">
        <v>5</v>
      </c>
      <c r="J1319" t="n">
        <v>8</v>
      </c>
      <c r="K1319" t="n">
        <v>40</v>
      </c>
      <c r="L1319" t="n">
        <v>40</v>
      </c>
      <c r="M1319" t="n">
        <v>40</v>
      </c>
      <c r="N1319" t="n">
        <v>40</v>
      </c>
      <c r="O1319" t="n">
        <v>40</v>
      </c>
      <c r="P1319" t="n">
        <v>8</v>
      </c>
      <c r="Q1319" t="inlineStr">
        <is>
          <t>DETERMINANTE</t>
        </is>
      </c>
      <c r="R1319" s="9" t="n">
        <v>0.08</v>
      </c>
      <c r="S1319" s="10" t="inlineStr">
        <is>
          <t>SÍ — integrante</t>
        </is>
      </c>
      <c r="T1319" s="11" t="inlineStr">
        <is>
          <t>B · INTEGRANTE</t>
        </is>
      </c>
      <c r="U1319" s="11" t="inlineStr">
        <is>
          <t>DEL BANCO (se hereda)</t>
        </is>
      </c>
      <c r="V1319" s="11" t="inlineStr">
        <is>
          <t>9154 · OTRAS ACTIVIDADES NO CLASIFICADAS</t>
        </is>
      </c>
      <c r="W1319" s="12" t="n"/>
      <c r="X1319" s="12" t="n"/>
    </row>
    <row r="1320" ht="15" customHeight="1">
      <c r="C1320" t="inlineStr">
        <is>
          <t>Actividad económica / giro mercantil</t>
        </is>
      </c>
      <c r="D1320" t="inlineStr">
        <is>
          <t>F12</t>
        </is>
      </c>
      <c r="E1320" t="inlineStr">
        <is>
          <t>INHERENTE</t>
        </is>
      </c>
      <c r="F1320" t="inlineStr">
        <is>
          <t>ORGANIZACIONES RELIGIOSAS</t>
        </is>
      </c>
      <c r="G1320" t="n">
        <v>9331018</v>
      </c>
      <c r="H1320" t="n">
        <v>5</v>
      </c>
      <c r="I1320" t="n">
        <v>5</v>
      </c>
      <c r="J1320" t="n">
        <v>8</v>
      </c>
      <c r="K1320" t="n">
        <v>40</v>
      </c>
      <c r="L1320" t="n">
        <v>40</v>
      </c>
      <c r="M1320" t="n">
        <v>40</v>
      </c>
      <c r="N1320" t="n">
        <v>40</v>
      </c>
      <c r="O1320" t="n">
        <v>40</v>
      </c>
      <c r="P1320" t="n">
        <v>8</v>
      </c>
      <c r="Q1320" t="inlineStr">
        <is>
          <t>DETERMINANTE</t>
        </is>
      </c>
      <c r="R1320" s="9" t="n">
        <v>0.08</v>
      </c>
      <c r="S1320" s="10" t="inlineStr">
        <is>
          <t>SÍ — integrante</t>
        </is>
      </c>
      <c r="T1320" s="11" t="inlineStr">
        <is>
          <t>B · INTEGRANTE</t>
        </is>
      </c>
      <c r="U1320" s="11" t="inlineStr">
        <is>
          <t>DEL BANCO (se hereda)</t>
        </is>
      </c>
      <c r="V1320" s="11" t="inlineStr">
        <is>
          <t>9154 · OTRAS ACTIVIDADES NO CLASIFICADAS</t>
        </is>
      </c>
      <c r="W1320" s="12" t="n"/>
      <c r="X1320" s="12" t="n"/>
    </row>
    <row r="1321" ht="15" customHeight="1">
      <c r="C1321" t="inlineStr">
        <is>
          <t>Actividad económica / giro mercantil</t>
        </is>
      </c>
      <c r="D1321" t="inlineStr">
        <is>
          <t>F12</t>
        </is>
      </c>
      <c r="E1321" t="inlineStr">
        <is>
          <t>INHERENTE</t>
        </is>
      </c>
      <c r="F1321" t="inlineStr">
        <is>
          <t>SERVICIOS DE ADMINISTRACIÓN PÚBLICA, DEFENSA Y SEGURIDAD SOCIAL</t>
        </is>
      </c>
      <c r="G1321" t="n">
        <v>9400003</v>
      </c>
      <c r="H1321" t="n">
        <v>4</v>
      </c>
      <c r="I1321" t="n">
        <v>4</v>
      </c>
      <c r="J1321" t="n">
        <v>8</v>
      </c>
      <c r="K1321" t="n">
        <v>32</v>
      </c>
      <c r="L1321" t="n">
        <v>32</v>
      </c>
      <c r="M1321" t="n">
        <v>32</v>
      </c>
      <c r="N1321" t="n">
        <v>32</v>
      </c>
      <c r="O1321" t="n">
        <v>40</v>
      </c>
      <c r="P1321" t="n">
        <v>8</v>
      </c>
      <c r="R1321" s="9" t="n">
        <v>0.08</v>
      </c>
      <c r="S1321" s="10" t="inlineStr">
        <is>
          <t>SÍ — integrante</t>
        </is>
      </c>
      <c r="T1321" s="11" t="inlineStr">
        <is>
          <t>B · INTEGRANTE</t>
        </is>
      </c>
      <c r="U1321" s="11" t="inlineStr">
        <is>
          <t>DEL BANCO (se hereda)</t>
        </is>
      </c>
      <c r="V1321" s="11" t="inlineStr">
        <is>
          <t>9154 · OTRAS ACTIVIDADES NO CLASIFICADAS</t>
        </is>
      </c>
      <c r="W1321" s="12" t="n"/>
      <c r="X1321" s="12" t="n"/>
    </row>
    <row r="1322" ht="15" customHeight="1">
      <c r="C1322" t="inlineStr">
        <is>
          <t>Actividad económica / giro mercantil</t>
        </is>
      </c>
      <c r="D1322" t="inlineStr">
        <is>
          <t>F12</t>
        </is>
      </c>
      <c r="E1322" t="inlineStr">
        <is>
          <t>INHERENTE</t>
        </is>
      </c>
      <c r="F1322" t="inlineStr">
        <is>
          <t>GOBIERNO FEDERAL</t>
        </is>
      </c>
      <c r="G1322" t="n">
        <v>9411018</v>
      </c>
      <c r="H1322" t="n">
        <v>5</v>
      </c>
      <c r="I1322" t="n">
        <v>5</v>
      </c>
      <c r="J1322" t="n">
        <v>8</v>
      </c>
      <c r="K1322" t="n">
        <v>40</v>
      </c>
      <c r="L1322" t="n">
        <v>40</v>
      </c>
      <c r="M1322" t="n">
        <v>40</v>
      </c>
      <c r="N1322" t="n">
        <v>40</v>
      </c>
      <c r="O1322" t="n">
        <v>40</v>
      </c>
      <c r="P1322" t="n">
        <v>8</v>
      </c>
      <c r="R1322" s="9" t="n">
        <v>0.08</v>
      </c>
      <c r="S1322" s="10" t="inlineStr">
        <is>
          <t>SÍ — integrante</t>
        </is>
      </c>
      <c r="T1322" s="11" t="inlineStr">
        <is>
          <t>B · INTEGRANTE</t>
        </is>
      </c>
      <c r="U1322" s="11" t="inlineStr">
        <is>
          <t>DEL BANCO (se hereda)</t>
        </is>
      </c>
      <c r="V1322" s="11" t="inlineStr">
        <is>
          <t>9153 · GOBIERNO Y SECTOR PÚBLICO</t>
        </is>
      </c>
      <c r="W1322" s="12" t="n"/>
      <c r="X1322" s="12" t="n"/>
    </row>
    <row r="1323" ht="15" customHeight="1">
      <c r="C1323" t="inlineStr">
        <is>
          <t>Actividad económica / giro mercantil</t>
        </is>
      </c>
      <c r="D1323" t="inlineStr">
        <is>
          <t>F12</t>
        </is>
      </c>
      <c r="E1323" t="inlineStr">
        <is>
          <t>INHERENTE</t>
        </is>
      </c>
      <c r="F1323" t="inlineStr">
        <is>
          <t>GOBIERNO ESTATAL</t>
        </is>
      </c>
      <c r="G1323" t="n">
        <v>9411026</v>
      </c>
      <c r="H1323" t="n">
        <v>5</v>
      </c>
      <c r="I1323" t="n">
        <v>5</v>
      </c>
      <c r="J1323" t="n">
        <v>8</v>
      </c>
      <c r="K1323" t="n">
        <v>40</v>
      </c>
      <c r="L1323" t="n">
        <v>40</v>
      </c>
      <c r="M1323" t="n">
        <v>40</v>
      </c>
      <c r="N1323" t="n">
        <v>40</v>
      </c>
      <c r="O1323" t="n">
        <v>40</v>
      </c>
      <c r="P1323" t="n">
        <v>8</v>
      </c>
      <c r="R1323" s="9" t="n">
        <v>0.08</v>
      </c>
      <c r="S1323" s="10" t="inlineStr">
        <is>
          <t>SÍ — integrante</t>
        </is>
      </c>
      <c r="T1323" s="11" t="inlineStr">
        <is>
          <t>B · INTEGRANTE</t>
        </is>
      </c>
      <c r="U1323" s="11" t="inlineStr">
        <is>
          <t>DEL BANCO (se hereda)</t>
        </is>
      </c>
      <c r="V1323" s="11" t="inlineStr">
        <is>
          <t>9153 · GOBIERNO Y SECTOR PÚBLICO</t>
        </is>
      </c>
      <c r="W1323" s="12" t="n"/>
      <c r="X1323" s="12" t="n"/>
    </row>
    <row r="1324" ht="15" customHeight="1">
      <c r="C1324" t="inlineStr">
        <is>
          <t>Actividad económica / giro mercantil</t>
        </is>
      </c>
      <c r="D1324" t="inlineStr">
        <is>
          <t>F12</t>
        </is>
      </c>
      <c r="E1324" t="inlineStr">
        <is>
          <t>INHERENTE</t>
        </is>
      </c>
      <c r="F1324" t="inlineStr">
        <is>
          <t>GOBIERNO MUNICIPAL</t>
        </is>
      </c>
      <c r="G1324" t="n">
        <v>9411034</v>
      </c>
      <c r="H1324" t="n">
        <v>5</v>
      </c>
      <c r="I1324" t="n">
        <v>5</v>
      </c>
      <c r="J1324" t="n">
        <v>8</v>
      </c>
      <c r="K1324" t="n">
        <v>40</v>
      </c>
      <c r="L1324" t="n">
        <v>40</v>
      </c>
      <c r="M1324" t="n">
        <v>40</v>
      </c>
      <c r="N1324" t="n">
        <v>40</v>
      </c>
      <c r="O1324" t="n">
        <v>40</v>
      </c>
      <c r="P1324" t="n">
        <v>8</v>
      </c>
      <c r="R1324" s="9" t="n">
        <v>0.08</v>
      </c>
      <c r="S1324" s="10" t="inlineStr">
        <is>
          <t>SÍ — integrante</t>
        </is>
      </c>
      <c r="T1324" s="11" t="inlineStr">
        <is>
          <t>B · INTEGRANTE</t>
        </is>
      </c>
      <c r="U1324" s="11" t="inlineStr">
        <is>
          <t>DEL BANCO (se hereda)</t>
        </is>
      </c>
      <c r="V1324" s="11" t="inlineStr">
        <is>
          <t>9153 · GOBIERNO Y SECTOR PÚBLICO</t>
        </is>
      </c>
      <c r="W1324" s="12" t="n"/>
      <c r="X1324" s="12" t="n"/>
    </row>
    <row r="1325" ht="15" customHeight="1">
      <c r="C1325" t="inlineStr">
        <is>
          <t>Actividad económica / giro mercantil</t>
        </is>
      </c>
      <c r="D1325" t="inlineStr">
        <is>
          <t>F12</t>
        </is>
      </c>
      <c r="E1325" t="inlineStr">
        <is>
          <t>INHERENTE</t>
        </is>
      </c>
      <c r="F1325" t="inlineStr">
        <is>
          <t>DEPARTAMENTO DEL DF</t>
        </is>
      </c>
      <c r="G1325" t="n">
        <v>9411042</v>
      </c>
      <c r="H1325" t="n">
        <v>3</v>
      </c>
      <c r="I1325" t="n">
        <v>3</v>
      </c>
      <c r="J1325" t="n">
        <v>8</v>
      </c>
      <c r="K1325" t="n">
        <v>24</v>
      </c>
      <c r="L1325" t="n">
        <v>24</v>
      </c>
      <c r="M1325" t="n">
        <v>24</v>
      </c>
      <c r="N1325" t="n">
        <v>24</v>
      </c>
      <c r="O1325" t="n">
        <v>40</v>
      </c>
      <c r="P1325" t="n">
        <v>8</v>
      </c>
      <c r="R1325" s="9" t="n">
        <v>0.08</v>
      </c>
      <c r="S1325" s="10" t="inlineStr">
        <is>
          <t>SÍ — integrante</t>
        </is>
      </c>
      <c r="T1325" s="11" t="inlineStr">
        <is>
          <t>B · INTEGRANTE</t>
        </is>
      </c>
      <c r="U1325" s="11" t="inlineStr">
        <is>
          <t>DEL BANCO (se hereda)</t>
        </is>
      </c>
      <c r="V1325" s="11" t="inlineStr">
        <is>
          <t>9154 · OTRAS ACTIVIDADES NO CLASIFICADAS</t>
        </is>
      </c>
      <c r="W1325" s="12" t="n"/>
      <c r="X1325" s="12" t="n"/>
    </row>
    <row r="1326" ht="15" customHeight="1">
      <c r="C1326" t="inlineStr">
        <is>
          <t>Actividad económica / giro mercantil</t>
        </is>
      </c>
      <c r="D1326" t="inlineStr">
        <is>
          <t>F12</t>
        </is>
      </c>
      <c r="E1326" t="inlineStr">
        <is>
          <t>INHERENTE</t>
        </is>
      </c>
      <c r="F1326" t="inlineStr">
        <is>
          <t>USUARIOS MENORES GOBIERNO FEDERAL</t>
        </is>
      </c>
      <c r="G1326" t="n">
        <v>9411886</v>
      </c>
      <c r="H1326" t="n">
        <v>1</v>
      </c>
      <c r="I1326" t="n">
        <v>1</v>
      </c>
      <c r="J1326" t="n">
        <v>8</v>
      </c>
      <c r="K1326" t="n">
        <v>8</v>
      </c>
      <c r="L1326" t="n">
        <v>8</v>
      </c>
      <c r="M1326" t="n">
        <v>8</v>
      </c>
      <c r="N1326" t="n">
        <v>8</v>
      </c>
      <c r="O1326" t="n">
        <v>40</v>
      </c>
      <c r="P1326" t="n">
        <v>8</v>
      </c>
      <c r="R1326" s="9" t="n">
        <v>0.08</v>
      </c>
      <c r="S1326" s="10" t="inlineStr">
        <is>
          <t>SÍ — integrante</t>
        </is>
      </c>
      <c r="T1326" s="11" t="inlineStr">
        <is>
          <t>B · INTEGRANTE</t>
        </is>
      </c>
      <c r="U1326" s="11" t="inlineStr">
        <is>
          <t>DEL BANCO (se hereda)</t>
        </is>
      </c>
      <c r="V1326" s="11" t="inlineStr">
        <is>
          <t>9153 · GOBIERNO Y SECTOR PÚBLICO</t>
        </is>
      </c>
      <c r="W1326" s="12" t="n"/>
      <c r="X1326" s="12" t="n"/>
    </row>
    <row r="1327" ht="15" customHeight="1">
      <c r="C1327" t="inlineStr">
        <is>
          <t>Actividad económica / giro mercantil</t>
        </is>
      </c>
      <c r="D1327" t="inlineStr">
        <is>
          <t>F12</t>
        </is>
      </c>
      <c r="E1327" t="inlineStr">
        <is>
          <t>INHERENTE</t>
        </is>
      </c>
      <c r="F1327" t="inlineStr">
        <is>
          <t>CARTERA DE GOBIERNO FEDERAL DE ESTADOS ANALITICOS</t>
        </is>
      </c>
      <c r="G1327" t="n">
        <v>9411894</v>
      </c>
      <c r="H1327" t="n">
        <v>2</v>
      </c>
      <c r="I1327" t="n">
        <v>2</v>
      </c>
      <c r="J1327" t="n">
        <v>8</v>
      </c>
      <c r="K1327" t="n">
        <v>16</v>
      </c>
      <c r="L1327" t="n">
        <v>16</v>
      </c>
      <c r="M1327" t="n">
        <v>16</v>
      </c>
      <c r="N1327" t="n">
        <v>16</v>
      </c>
      <c r="O1327" t="n">
        <v>40</v>
      </c>
      <c r="P1327" t="n">
        <v>8</v>
      </c>
      <c r="R1327" s="9" t="n">
        <v>0.08</v>
      </c>
      <c r="S1327" s="10" t="inlineStr">
        <is>
          <t>SÍ — integrante</t>
        </is>
      </c>
      <c r="T1327" s="11" t="inlineStr">
        <is>
          <t>B · INTEGRANTE</t>
        </is>
      </c>
      <c r="U1327" s="11" t="inlineStr">
        <is>
          <t>DEL BANCO (se hereda)</t>
        </is>
      </c>
      <c r="V1327" s="11" t="inlineStr">
        <is>
          <t>9153 · GOBIERNO Y SECTOR PÚBLICO</t>
        </is>
      </c>
      <c r="W1327" s="12" t="n"/>
      <c r="X1327" s="12" t="n"/>
    </row>
    <row r="1328" ht="15" customHeight="1">
      <c r="C1328" t="inlineStr">
        <is>
          <t>Actividad económica / giro mercantil</t>
        </is>
      </c>
      <c r="D1328" t="inlineStr">
        <is>
          <t>F12</t>
        </is>
      </c>
      <c r="E1328" t="inlineStr">
        <is>
          <t>INHERENTE</t>
        </is>
      </c>
      <c r="F1328" t="inlineStr">
        <is>
          <t>USUARIOS MENORES GOBIERNO ESTATAL Y MUNICIPAL</t>
        </is>
      </c>
      <c r="G1328" t="n">
        <v>9411901</v>
      </c>
      <c r="H1328" t="n">
        <v>1</v>
      </c>
      <c r="I1328" t="n">
        <v>1</v>
      </c>
      <c r="J1328" t="n">
        <v>8</v>
      </c>
      <c r="K1328" t="n">
        <v>8</v>
      </c>
      <c r="L1328" t="n">
        <v>8</v>
      </c>
      <c r="M1328" t="n">
        <v>8</v>
      </c>
      <c r="N1328" t="n">
        <v>8</v>
      </c>
      <c r="O1328" t="n">
        <v>40</v>
      </c>
      <c r="P1328" t="n">
        <v>8</v>
      </c>
      <c r="R1328" s="9" t="n">
        <v>0.08</v>
      </c>
      <c r="S1328" s="10" t="inlineStr">
        <is>
          <t>SÍ — integrante</t>
        </is>
      </c>
      <c r="T1328" s="11" t="inlineStr">
        <is>
          <t>B · INTEGRANTE</t>
        </is>
      </c>
      <c r="U1328" s="11" t="inlineStr">
        <is>
          <t>DEL BANCO (se hereda)</t>
        </is>
      </c>
      <c r="V1328" s="11" t="inlineStr">
        <is>
          <t>9153 · GOBIERNO Y SECTOR PÚBLICO</t>
        </is>
      </c>
      <c r="W1328" s="12" t="n"/>
      <c r="X1328" s="12" t="n"/>
    </row>
    <row r="1329" ht="15" customHeight="1">
      <c r="C1329" t="inlineStr">
        <is>
          <t>Actividad económica / giro mercantil</t>
        </is>
      </c>
      <c r="D1329" t="inlineStr">
        <is>
          <t>F12</t>
        </is>
      </c>
      <c r="E1329" t="inlineStr">
        <is>
          <t>INHERENTE</t>
        </is>
      </c>
      <c r="F1329" t="inlineStr">
        <is>
          <t>CARTERA DE GOBIERNO ESTATAL Y MUNICIPAL DE ESTADOS</t>
        </is>
      </c>
      <c r="G1329" t="n">
        <v>9411919</v>
      </c>
      <c r="H1329" t="n">
        <v>2</v>
      </c>
      <c r="I1329" t="n">
        <v>2</v>
      </c>
      <c r="J1329" t="n">
        <v>8</v>
      </c>
      <c r="K1329" t="n">
        <v>16</v>
      </c>
      <c r="L1329" t="n">
        <v>16</v>
      </c>
      <c r="M1329" t="n">
        <v>16</v>
      </c>
      <c r="N1329" t="n">
        <v>16</v>
      </c>
      <c r="O1329" t="n">
        <v>40</v>
      </c>
      <c r="P1329" t="n">
        <v>8</v>
      </c>
      <c r="R1329" s="9" t="n">
        <v>0.08</v>
      </c>
      <c r="S1329" s="10" t="inlineStr">
        <is>
          <t>SÍ — integrante</t>
        </is>
      </c>
      <c r="T1329" s="11" t="inlineStr">
        <is>
          <t>B · INTEGRANTE</t>
        </is>
      </c>
      <c r="U1329" s="11" t="inlineStr">
        <is>
          <t>DEL BANCO (se hereda)</t>
        </is>
      </c>
      <c r="V1329" s="11" t="inlineStr">
        <is>
          <t>9153 · GOBIERNO Y SECTOR PÚBLICO</t>
        </is>
      </c>
      <c r="W1329" s="12" t="n"/>
      <c r="X1329" s="12" t="n"/>
    </row>
    <row r="1330" ht="15" customHeight="1">
      <c r="C1330" t="inlineStr">
        <is>
          <t>Actividad económica / giro mercantil</t>
        </is>
      </c>
      <c r="D1330" t="inlineStr">
        <is>
          <t>F12</t>
        </is>
      </c>
      <c r="E1330" t="inlineStr">
        <is>
          <t>INHERENTE</t>
        </is>
      </c>
      <c r="F1330" t="inlineStr">
        <is>
          <t>EMPLEADO PUBLICO</t>
        </is>
      </c>
      <c r="G1330" t="n">
        <v>9411998</v>
      </c>
      <c r="H1330" t="n">
        <v>5</v>
      </c>
      <c r="I1330" t="n">
        <v>5</v>
      </c>
      <c r="J1330" t="n">
        <v>8</v>
      </c>
      <c r="K1330" t="n">
        <v>40</v>
      </c>
      <c r="L1330" t="n">
        <v>40</v>
      </c>
      <c r="M1330" t="n">
        <v>40</v>
      </c>
      <c r="N1330" t="n">
        <v>40</v>
      </c>
      <c r="O1330" t="n">
        <v>40</v>
      </c>
      <c r="P1330" t="n">
        <v>8</v>
      </c>
      <c r="R1330" s="9" t="n">
        <v>0.08</v>
      </c>
      <c r="S1330" s="10" t="inlineStr">
        <is>
          <t>SÍ — integrante</t>
        </is>
      </c>
      <c r="T1330" s="11" t="inlineStr">
        <is>
          <t>B · INTEGRANTE</t>
        </is>
      </c>
      <c r="U1330" s="11" t="inlineStr">
        <is>
          <t>DEL BANCO (se hereda)</t>
        </is>
      </c>
      <c r="V1330" s="11" t="inlineStr">
        <is>
          <t>9111 · SIN ACTIVIDAD DE RIESGO / ASALARIADO</t>
        </is>
      </c>
      <c r="W1330" s="12" t="n"/>
      <c r="X1330" s="12" t="n"/>
    </row>
    <row r="1331" ht="15" customHeight="1">
      <c r="C1331" t="inlineStr">
        <is>
          <t>Actividad económica / giro mercantil</t>
        </is>
      </c>
      <c r="D1331" t="inlineStr">
        <is>
          <t>F12</t>
        </is>
      </c>
      <c r="E1331" t="inlineStr">
        <is>
          <t>INHERENTE</t>
        </is>
      </c>
      <c r="F1331" t="inlineStr">
        <is>
          <t>PRESTACION DE SERVICIOS PUBLICOS Y SOCIALES</t>
        </is>
      </c>
      <c r="G1331" t="n">
        <v>9471012</v>
      </c>
      <c r="H1331" t="n">
        <v>4</v>
      </c>
      <c r="I1331" t="n">
        <v>4</v>
      </c>
      <c r="J1331" t="n">
        <v>8</v>
      </c>
      <c r="K1331" t="n">
        <v>32</v>
      </c>
      <c r="L1331" t="n">
        <v>32</v>
      </c>
      <c r="M1331" t="n">
        <v>32</v>
      </c>
      <c r="N1331" t="n">
        <v>32</v>
      </c>
      <c r="O1331" t="n">
        <v>40</v>
      </c>
      <c r="P1331" t="n">
        <v>8</v>
      </c>
      <c r="R1331" s="9" t="n">
        <v>0.08</v>
      </c>
      <c r="S1331" s="10" t="inlineStr">
        <is>
          <t>SÍ — integrante</t>
        </is>
      </c>
      <c r="T1331" s="11" t="inlineStr">
        <is>
          <t>B · INTEGRANTE</t>
        </is>
      </c>
      <c r="U1331" s="11" t="inlineStr">
        <is>
          <t>DEL BANCO (se hereda)</t>
        </is>
      </c>
      <c r="V1331" s="11" t="inlineStr">
        <is>
          <t>9120 · EFECTIVO INTENSIVO</t>
        </is>
      </c>
      <c r="W1331" s="12" t="n"/>
      <c r="X1331" s="12" t="n"/>
    </row>
    <row r="1332" ht="15" customHeight="1">
      <c r="C1332" t="inlineStr">
        <is>
          <t>Actividad económica / giro mercantil</t>
        </is>
      </c>
      <c r="D1332" t="inlineStr">
        <is>
          <t>F12</t>
        </is>
      </c>
      <c r="E1332" t="inlineStr">
        <is>
          <t>INHERENTE</t>
        </is>
      </c>
      <c r="F1332" t="inlineStr">
        <is>
          <t>EMPLEADO DEL SECTOR PRIVADO (U.I.F)</t>
        </is>
      </c>
      <c r="G1332" t="n">
        <v>9501009</v>
      </c>
      <c r="H1332" t="n">
        <v>1</v>
      </c>
      <c r="I1332" t="n">
        <v>1</v>
      </c>
      <c r="J1332" t="n">
        <v>8</v>
      </c>
      <c r="K1332" t="n">
        <v>8</v>
      </c>
      <c r="L1332" t="n">
        <v>8</v>
      </c>
      <c r="M1332" t="n">
        <v>8</v>
      </c>
      <c r="N1332" t="n">
        <v>8</v>
      </c>
      <c r="O1332" t="n">
        <v>40</v>
      </c>
      <c r="P1332" t="n">
        <v>8</v>
      </c>
      <c r="R1332" s="9" t="n">
        <v>0.08</v>
      </c>
      <c r="S1332" s="10" t="inlineStr">
        <is>
          <t>SÍ — integrante</t>
        </is>
      </c>
      <c r="T1332" s="11" t="inlineStr">
        <is>
          <t>B · INTEGRANTE</t>
        </is>
      </c>
      <c r="U1332" s="11" t="inlineStr">
        <is>
          <t>DEL BANCO (se hereda)</t>
        </is>
      </c>
      <c r="V1332" s="11" t="inlineStr">
        <is>
          <t>9111 · SIN ACTIVIDAD DE RIESGO / ASALARIADO</t>
        </is>
      </c>
      <c r="W1332" s="12" t="n"/>
      <c r="X1332" s="12" t="n"/>
    </row>
    <row r="1333" ht="15" customHeight="1">
      <c r="C1333" t="inlineStr">
        <is>
          <t>Actividad económica / giro mercantil</t>
        </is>
      </c>
      <c r="D1333" t="inlineStr">
        <is>
          <t>F12</t>
        </is>
      </c>
      <c r="E1333" t="inlineStr">
        <is>
          <t>INHERENTE</t>
        </is>
      </c>
      <c r="F1333" t="inlineStr">
        <is>
          <t>EMPLEADO DEL SECTOR PUBLICO  (U.I.F)</t>
        </is>
      </c>
      <c r="G1333" t="n">
        <v>9502007</v>
      </c>
      <c r="H1333" t="n">
        <v>5</v>
      </c>
      <c r="I1333" t="n">
        <v>5</v>
      </c>
      <c r="J1333" t="n">
        <v>8</v>
      </c>
      <c r="K1333" t="n">
        <v>40</v>
      </c>
      <c r="L1333" t="n">
        <v>40</v>
      </c>
      <c r="M1333" t="n">
        <v>40</v>
      </c>
      <c r="N1333" t="n">
        <v>40</v>
      </c>
      <c r="O1333" t="n">
        <v>40</v>
      </c>
      <c r="P1333" t="n">
        <v>8</v>
      </c>
      <c r="R1333" s="9" t="n">
        <v>0.08</v>
      </c>
      <c r="S1333" s="10" t="inlineStr">
        <is>
          <t>SÍ — integrante</t>
        </is>
      </c>
      <c r="T1333" s="11" t="inlineStr">
        <is>
          <t>B · INTEGRANTE</t>
        </is>
      </c>
      <c r="U1333" s="11" t="inlineStr">
        <is>
          <t>DEL BANCO (se hereda)</t>
        </is>
      </c>
      <c r="V1333" s="11" t="inlineStr">
        <is>
          <t>9111 · SIN ACTIVIDAD DE RIESGO / ASALARIADO</t>
        </is>
      </c>
      <c r="W1333" s="12" t="n"/>
      <c r="X1333" s="12" t="n"/>
    </row>
    <row r="1334" ht="15" customHeight="1">
      <c r="C1334" t="inlineStr">
        <is>
          <t>Actividad económica / giro mercantil</t>
        </is>
      </c>
      <c r="D1334" t="inlineStr">
        <is>
          <t>F12</t>
        </is>
      </c>
      <c r="E1334" t="inlineStr">
        <is>
          <t>INHERENTE</t>
        </is>
      </c>
      <c r="F1334" t="inlineStr">
        <is>
          <t>TRANSMISORES DE DINERO O DISPERSORES/CAMBISTAS O CENTROS CAMBIARIOS/CASAS DE EMPEÑO (U.I.F)</t>
        </is>
      </c>
      <c r="G1334" t="n">
        <v>9503005</v>
      </c>
      <c r="H1334" t="n">
        <v>5</v>
      </c>
      <c r="I1334" t="n">
        <v>5</v>
      </c>
      <c r="J1334" t="n">
        <v>8</v>
      </c>
      <c r="K1334" t="n">
        <v>40</v>
      </c>
      <c r="L1334" t="n">
        <v>40</v>
      </c>
      <c r="M1334" t="n">
        <v>40</v>
      </c>
      <c r="N1334" t="n">
        <v>40</v>
      </c>
      <c r="O1334" t="n">
        <v>40</v>
      </c>
      <c r="P1334" t="n">
        <v>8</v>
      </c>
      <c r="Q1334" t="inlineStr">
        <is>
          <t>DETERMINANTE</t>
        </is>
      </c>
      <c r="R1334" s="9" t="n">
        <v>0.08</v>
      </c>
      <c r="S1334" s="10" t="inlineStr">
        <is>
          <t>SÍ — integrante</t>
        </is>
      </c>
      <c r="T1334" s="11" t="inlineStr">
        <is>
          <t>B · INTEGRANTE</t>
        </is>
      </c>
      <c r="U1334" s="11" t="inlineStr">
        <is>
          <t>DEL BANCO (se hereda)</t>
        </is>
      </c>
      <c r="V1334" s="11" t="inlineStr">
        <is>
          <t>9154 · OTRAS ACTIVIDADES NO CLASIFICADAS</t>
        </is>
      </c>
      <c r="W1334" s="12" t="n"/>
      <c r="X1334" s="12" t="n"/>
    </row>
    <row r="1335" ht="15" customHeight="1">
      <c r="C1335" t="inlineStr">
        <is>
          <t>Actividad económica / giro mercantil</t>
        </is>
      </c>
      <c r="D1335" t="inlineStr">
        <is>
          <t>F12</t>
        </is>
      </c>
      <c r="E1335" t="inlineStr">
        <is>
          <t>INHERENTE</t>
        </is>
      </c>
      <c r="F1335" t="inlineStr">
        <is>
          <t>NEGOCIOS RELACIONADOS CON INTERNET (U.I.F)</t>
        </is>
      </c>
      <c r="G1335" t="n">
        <v>9504003</v>
      </c>
      <c r="H1335" t="n">
        <v>1</v>
      </c>
      <c r="I1335" t="n">
        <v>1</v>
      </c>
      <c r="J1335" t="n">
        <v>8</v>
      </c>
      <c r="K1335" t="n">
        <v>8</v>
      </c>
      <c r="L1335" t="n">
        <v>8</v>
      </c>
      <c r="M1335" t="n">
        <v>8</v>
      </c>
      <c r="N1335" t="n">
        <v>8</v>
      </c>
      <c r="O1335" t="n">
        <v>40</v>
      </c>
      <c r="P1335" t="n">
        <v>8</v>
      </c>
      <c r="R1335" s="9" t="n">
        <v>0.08</v>
      </c>
      <c r="S1335" s="10" t="inlineStr">
        <is>
          <t>SÍ — integrante</t>
        </is>
      </c>
      <c r="T1335" s="11" t="inlineStr">
        <is>
          <t>B · INTEGRANTE</t>
        </is>
      </c>
      <c r="U1335" s="11" t="inlineStr">
        <is>
          <t>DEL BANCO (se hereda)</t>
        </is>
      </c>
      <c r="V1335" s="11" t="inlineStr">
        <is>
          <t>9154 · OTRAS ACTIVIDADES NO CLASIFICADAS</t>
        </is>
      </c>
      <c r="W1335" s="12" t="n"/>
      <c r="X1335" s="12" t="n"/>
    </row>
    <row r="1336" ht="15" customHeight="1">
      <c r="C1336" t="inlineStr">
        <is>
          <t>Actividad económica / giro mercantil</t>
        </is>
      </c>
      <c r="D1336" t="inlineStr">
        <is>
          <t>F12</t>
        </is>
      </c>
      <c r="E1336" t="inlineStr">
        <is>
          <t>INHERENTE</t>
        </is>
      </c>
      <c r="F1336" t="inlineStr">
        <is>
          <t>VENTA DE TARJETAS TELEFONICAS PREPAGADAS (U.I.F)</t>
        </is>
      </c>
      <c r="G1336" t="n">
        <v>9505001</v>
      </c>
      <c r="H1336" t="n">
        <v>4</v>
      </c>
      <c r="I1336" t="n">
        <v>4</v>
      </c>
      <c r="J1336" t="n">
        <v>8</v>
      </c>
      <c r="K1336" t="n">
        <v>32</v>
      </c>
      <c r="L1336" t="n">
        <v>32</v>
      </c>
      <c r="M1336" t="n">
        <v>32</v>
      </c>
      <c r="N1336" t="n">
        <v>32</v>
      </c>
      <c r="O1336" t="n">
        <v>40</v>
      </c>
      <c r="P1336" t="n">
        <v>8</v>
      </c>
      <c r="R1336" s="9" t="n">
        <v>0.08</v>
      </c>
      <c r="S1336" s="10" t="inlineStr">
        <is>
          <t>SÍ — integrante</t>
        </is>
      </c>
      <c r="T1336" s="11" t="inlineStr">
        <is>
          <t>B · INTEGRANTE</t>
        </is>
      </c>
      <c r="U1336" s="11" t="inlineStr">
        <is>
          <t>DEL BANCO (se hereda)</t>
        </is>
      </c>
      <c r="V1336" s="11" t="inlineStr">
        <is>
          <t>9113 · COMERCIO GENERAL</t>
        </is>
      </c>
      <c r="W1336" s="12" t="n"/>
      <c r="X1336" s="12" t="n"/>
    </row>
    <row r="1337" ht="15" customHeight="1">
      <c r="C1337" t="inlineStr">
        <is>
          <t>Actividad económica / giro mercantil</t>
        </is>
      </c>
      <c r="D1337" t="inlineStr">
        <is>
          <t>F12</t>
        </is>
      </c>
      <c r="E1337" t="inlineStr">
        <is>
          <t>INHERENTE</t>
        </is>
      </c>
      <c r="F1337" t="inlineStr">
        <is>
          <t>ESTUDIANTE, DESEMPLEADO, JUBILADO, PENSIONADO, DISCAPACITADO (U.I.F)</t>
        </is>
      </c>
      <c r="G1337" t="n">
        <v>9506009</v>
      </c>
      <c r="H1337" t="n">
        <v>3</v>
      </c>
      <c r="I1337" t="n">
        <v>3</v>
      </c>
      <c r="J1337" t="n">
        <v>8</v>
      </c>
      <c r="K1337" t="n">
        <v>24</v>
      </c>
      <c r="L1337" t="n">
        <v>24</v>
      </c>
      <c r="M1337" t="n">
        <v>24</v>
      </c>
      <c r="N1337" t="n">
        <v>24</v>
      </c>
      <c r="O1337" t="n">
        <v>40</v>
      </c>
      <c r="P1337" t="n">
        <v>8</v>
      </c>
      <c r="R1337" s="9" t="n">
        <v>0.08</v>
      </c>
      <c r="S1337" s="10" t="inlineStr">
        <is>
          <t>SÍ — integrante</t>
        </is>
      </c>
      <c r="T1337" s="11" t="inlineStr">
        <is>
          <t>B · INTEGRANTE</t>
        </is>
      </c>
      <c r="U1337" s="11" t="inlineStr">
        <is>
          <t>DEL BANCO (se hereda)</t>
        </is>
      </c>
      <c r="V1337" s="11" t="inlineStr">
        <is>
          <t>9111 · SIN ACTIVIDAD DE RIESGO / ASALARIADO</t>
        </is>
      </c>
      <c r="W1337" s="12" t="n"/>
      <c r="X1337" s="12" t="n"/>
    </row>
    <row r="1338" ht="15" customHeight="1">
      <c r="C1338" t="inlineStr">
        <is>
          <t>Actividad económica / giro mercantil</t>
        </is>
      </c>
      <c r="D1338" t="inlineStr">
        <is>
          <t>F12</t>
        </is>
      </c>
      <c r="E1338" t="inlineStr">
        <is>
          <t>INHERENTE</t>
        </is>
      </c>
      <c r="F1338" t="inlineStr">
        <is>
          <t>EMPLEADO DEL SECTOR PUBLICO</t>
        </is>
      </c>
      <c r="G1338" t="n">
        <v>9800000</v>
      </c>
      <c r="H1338" t="n">
        <v>5</v>
      </c>
      <c r="I1338" t="n">
        <v>5</v>
      </c>
      <c r="J1338" t="n">
        <v>8</v>
      </c>
      <c r="K1338" t="n">
        <v>40</v>
      </c>
      <c r="L1338" t="n">
        <v>40</v>
      </c>
      <c r="M1338" t="n">
        <v>40</v>
      </c>
      <c r="N1338" t="n">
        <v>40</v>
      </c>
      <c r="O1338" t="n">
        <v>40</v>
      </c>
      <c r="P1338" t="n">
        <v>8</v>
      </c>
      <c r="R1338" s="9" t="n">
        <v>0.08</v>
      </c>
      <c r="S1338" s="10" t="inlineStr">
        <is>
          <t>SÍ — integrante</t>
        </is>
      </c>
      <c r="T1338" s="11" t="inlineStr">
        <is>
          <t>B · INTEGRANTE</t>
        </is>
      </c>
      <c r="U1338" s="11" t="inlineStr">
        <is>
          <t>DEL BANCO (se hereda)</t>
        </is>
      </c>
      <c r="V1338" s="11" t="inlineStr">
        <is>
          <t>9111 · SIN ACTIVIDAD DE RIESGO / ASALARIADO</t>
        </is>
      </c>
      <c r="W1338" s="12" t="n"/>
      <c r="X1338" s="12" t="n"/>
    </row>
    <row r="1339" ht="15" customHeight="1">
      <c r="C1339" t="inlineStr">
        <is>
          <t>Actividad económica / giro mercantil</t>
        </is>
      </c>
      <c r="D1339" t="inlineStr">
        <is>
          <t>F12</t>
        </is>
      </c>
      <c r="E1339" t="inlineStr">
        <is>
          <t>INHERENTE</t>
        </is>
      </c>
      <c r="F1339" t="inlineStr">
        <is>
          <t>EMPLEADO DEL GOBIERNO FEDERAL</t>
        </is>
      </c>
      <c r="G1339" t="n">
        <v>9800100</v>
      </c>
      <c r="H1339" t="n">
        <v>5</v>
      </c>
      <c r="I1339" t="n">
        <v>5</v>
      </c>
      <c r="J1339" t="n">
        <v>8</v>
      </c>
      <c r="K1339" t="n">
        <v>40</v>
      </c>
      <c r="L1339" t="n">
        <v>40</v>
      </c>
      <c r="M1339" t="n">
        <v>40</v>
      </c>
      <c r="N1339" t="n">
        <v>40</v>
      </c>
      <c r="O1339" t="n">
        <v>40</v>
      </c>
      <c r="P1339" t="n">
        <v>8</v>
      </c>
      <c r="R1339" s="9" t="n">
        <v>0.08</v>
      </c>
      <c r="S1339" s="10" t="inlineStr">
        <is>
          <t>SÍ — integrante</t>
        </is>
      </c>
      <c r="T1339" s="11" t="inlineStr">
        <is>
          <t>B · INTEGRANTE</t>
        </is>
      </c>
      <c r="U1339" s="11" t="inlineStr">
        <is>
          <t>DEL BANCO (se hereda)</t>
        </is>
      </c>
      <c r="V1339" s="11" t="inlineStr">
        <is>
          <t>9153 · GOBIERNO Y SECTOR PÚBLICO</t>
        </is>
      </c>
      <c r="W1339" s="12" t="n"/>
      <c r="X1339" s="12" t="n"/>
    </row>
    <row r="1340" ht="15" customHeight="1">
      <c r="C1340" t="inlineStr">
        <is>
          <t>Actividad económica / giro mercantil</t>
        </is>
      </c>
      <c r="D1340" t="inlineStr">
        <is>
          <t>F12</t>
        </is>
      </c>
      <c r="E1340" t="inlineStr">
        <is>
          <t>INHERENTE</t>
        </is>
      </c>
      <c r="F1340" t="inlineStr">
        <is>
          <t>PRESIDENTE DE LA REPUBLICA</t>
        </is>
      </c>
      <c r="G1340" t="n">
        <v>9800101</v>
      </c>
      <c r="H1340" t="n">
        <v>5</v>
      </c>
      <c r="I1340" t="n">
        <v>5</v>
      </c>
      <c r="J1340" t="n">
        <v>8</v>
      </c>
      <c r="K1340" t="n">
        <v>40</v>
      </c>
      <c r="L1340" t="n">
        <v>40</v>
      </c>
      <c r="M1340" t="n">
        <v>40</v>
      </c>
      <c r="N1340" t="n">
        <v>40</v>
      </c>
      <c r="O1340" t="n">
        <v>40</v>
      </c>
      <c r="P1340" t="n">
        <v>8</v>
      </c>
      <c r="R1340" s="9" t="n">
        <v>0.08</v>
      </c>
      <c r="S1340" s="10" t="inlineStr">
        <is>
          <t>SÍ — integrante</t>
        </is>
      </c>
      <c r="T1340" s="11" t="inlineStr">
        <is>
          <t>B · INTEGRANTE</t>
        </is>
      </c>
      <c r="U1340" s="11" t="inlineStr">
        <is>
          <t>DEL BANCO (se hereda)</t>
        </is>
      </c>
      <c r="V1340" s="11" t="inlineStr">
        <is>
          <t>9153 · GOBIERNO Y SECTOR PÚBLICO</t>
        </is>
      </c>
      <c r="W1340" s="12" t="n"/>
      <c r="X1340" s="12" t="n"/>
    </row>
    <row r="1341" ht="15" customHeight="1">
      <c r="C1341" t="inlineStr">
        <is>
          <t>Actividad económica / giro mercantil</t>
        </is>
      </c>
      <c r="D1341" t="inlineStr">
        <is>
          <t>F12</t>
        </is>
      </c>
      <c r="E1341" t="inlineStr">
        <is>
          <t>INHERENTE</t>
        </is>
      </c>
      <c r="F1341" t="inlineStr">
        <is>
          <t>SECRETARIA DE ESTADO,  TITULAR DE ENTIDAD / PROCURADOR GENERAL DE LA REPÚBLICA</t>
        </is>
      </c>
      <c r="G1341" t="n">
        <v>9800102</v>
      </c>
      <c r="H1341" t="n">
        <v>5</v>
      </c>
      <c r="I1341" t="n">
        <v>5</v>
      </c>
      <c r="J1341" t="n">
        <v>8</v>
      </c>
      <c r="K1341" t="n">
        <v>40</v>
      </c>
      <c r="L1341" t="n">
        <v>40</v>
      </c>
      <c r="M1341" t="n">
        <v>40</v>
      </c>
      <c r="N1341" t="n">
        <v>40</v>
      </c>
      <c r="O1341" t="n">
        <v>40</v>
      </c>
      <c r="P1341" t="n">
        <v>8</v>
      </c>
      <c r="R1341" s="9" t="n">
        <v>0.08</v>
      </c>
      <c r="S1341" s="10" t="inlineStr">
        <is>
          <t>SÍ — integrante</t>
        </is>
      </c>
      <c r="T1341" s="11" t="inlineStr">
        <is>
          <t>B · INTEGRANTE</t>
        </is>
      </c>
      <c r="U1341" s="11" t="inlineStr">
        <is>
          <t>DEL BANCO (se hereda)</t>
        </is>
      </c>
      <c r="V1341" s="11" t="inlineStr">
        <is>
          <t>9153 · GOBIERNO Y SECTOR PÚBLICO</t>
        </is>
      </c>
      <c r="W1341" s="12" t="n"/>
      <c r="X1341" s="12" t="n"/>
    </row>
    <row r="1342" ht="15" customHeight="1">
      <c r="C1342" t="inlineStr">
        <is>
          <t>Actividad económica / giro mercantil</t>
        </is>
      </c>
      <c r="D1342" t="inlineStr">
        <is>
          <t>F12</t>
        </is>
      </c>
      <c r="E1342" t="inlineStr">
        <is>
          <t>INHERENTE</t>
        </is>
      </c>
      <c r="F1342" t="inlineStr">
        <is>
          <t>SUBSECRETARIA DE ESTADO</t>
        </is>
      </c>
      <c r="G1342" t="n">
        <v>9800103</v>
      </c>
      <c r="H1342" t="n">
        <v>5</v>
      </c>
      <c r="I1342" t="n">
        <v>5</v>
      </c>
      <c r="J1342" t="n">
        <v>8</v>
      </c>
      <c r="K1342" t="n">
        <v>40</v>
      </c>
      <c r="L1342" t="n">
        <v>40</v>
      </c>
      <c r="M1342" t="n">
        <v>40</v>
      </c>
      <c r="N1342" t="n">
        <v>40</v>
      </c>
      <c r="O1342" t="n">
        <v>40</v>
      </c>
      <c r="P1342" t="n">
        <v>8</v>
      </c>
      <c r="R1342" s="9" t="n">
        <v>0.08</v>
      </c>
      <c r="S1342" s="10" t="inlineStr">
        <is>
          <t>SÍ — integrante</t>
        </is>
      </c>
      <c r="T1342" s="11" t="inlineStr">
        <is>
          <t>B · INTEGRANTE</t>
        </is>
      </c>
      <c r="U1342" s="11" t="inlineStr">
        <is>
          <t>DEL BANCO (se hereda)</t>
        </is>
      </c>
      <c r="V1342" s="11" t="inlineStr">
        <is>
          <t>9153 · GOBIERNO Y SECTOR PÚBLICO</t>
        </is>
      </c>
      <c r="W1342" s="12" t="n"/>
      <c r="X1342" s="12" t="n"/>
    </row>
    <row r="1343" ht="15" customHeight="1">
      <c r="C1343" t="inlineStr">
        <is>
          <t>Actividad económica / giro mercantil</t>
        </is>
      </c>
      <c r="D1343" t="inlineStr">
        <is>
          <t>F12</t>
        </is>
      </c>
      <c r="E1343" t="inlineStr">
        <is>
          <t>INHERENTE</t>
        </is>
      </c>
      <c r="F1343" t="inlineStr">
        <is>
          <t>OFICIAL MAYOR</t>
        </is>
      </c>
      <c r="G1343" t="n">
        <v>9800104</v>
      </c>
      <c r="H1343" t="n">
        <v>5</v>
      </c>
      <c r="I1343" t="n">
        <v>5</v>
      </c>
      <c r="J1343" t="n">
        <v>8</v>
      </c>
      <c r="K1343" t="n">
        <v>40</v>
      </c>
      <c r="L1343" t="n">
        <v>40</v>
      </c>
      <c r="M1343" t="n">
        <v>40</v>
      </c>
      <c r="N1343" t="n">
        <v>40</v>
      </c>
      <c r="O1343" t="n">
        <v>40</v>
      </c>
      <c r="P1343" t="n">
        <v>8</v>
      </c>
      <c r="R1343" s="9" t="n">
        <v>0.08</v>
      </c>
      <c r="S1343" s="10" t="inlineStr">
        <is>
          <t>SÍ — integrante</t>
        </is>
      </c>
      <c r="T1343" s="11" t="inlineStr">
        <is>
          <t>B · INTEGRANTE</t>
        </is>
      </c>
      <c r="U1343" s="11" t="inlineStr">
        <is>
          <t>DEL BANCO (se hereda)</t>
        </is>
      </c>
      <c r="V1343" s="11" t="inlineStr">
        <is>
          <t>9153 · GOBIERNO Y SECTOR PÚBLICO</t>
        </is>
      </c>
      <c r="W1343" s="12" t="n"/>
      <c r="X1343" s="12" t="n"/>
    </row>
    <row r="1344" ht="15" customHeight="1">
      <c r="C1344" t="inlineStr">
        <is>
          <t>Actividad económica / giro mercantil</t>
        </is>
      </c>
      <c r="D1344" t="inlineStr">
        <is>
          <t>F12</t>
        </is>
      </c>
      <c r="E1344" t="inlineStr">
        <is>
          <t>INHERENTE</t>
        </is>
      </c>
      <c r="F1344" t="inlineStr">
        <is>
          <t>TITULAR DE ENTIDAD</t>
        </is>
      </c>
      <c r="G1344" t="n">
        <v>9800105</v>
      </c>
      <c r="H1344" t="n">
        <v>2</v>
      </c>
      <c r="I1344" t="n">
        <v>2</v>
      </c>
      <c r="J1344" t="n">
        <v>8</v>
      </c>
      <c r="K1344" t="n">
        <v>16</v>
      </c>
      <c r="L1344" t="n">
        <v>16</v>
      </c>
      <c r="M1344" t="n">
        <v>16</v>
      </c>
      <c r="N1344" t="n">
        <v>16</v>
      </c>
      <c r="O1344" t="n">
        <v>40</v>
      </c>
      <c r="P1344" t="n">
        <v>8</v>
      </c>
      <c r="R1344" s="9" t="n">
        <v>0.08</v>
      </c>
      <c r="S1344" s="10" t="inlineStr">
        <is>
          <t>SÍ — integrante</t>
        </is>
      </c>
      <c r="T1344" s="11" t="inlineStr">
        <is>
          <t>B · INTEGRANTE</t>
        </is>
      </c>
      <c r="U1344" s="11" t="inlineStr">
        <is>
          <t>DEL BANCO (se hereda)</t>
        </is>
      </c>
      <c r="V1344" s="11" t="inlineStr">
        <is>
          <t>9153 · GOBIERNO Y SECTOR PÚBLICO</t>
        </is>
      </c>
      <c r="W1344" s="12" t="n"/>
      <c r="X1344" s="12" t="n"/>
    </row>
    <row r="1345" ht="15" customHeight="1">
      <c r="C1345" t="inlineStr">
        <is>
          <t>Actividad económica / giro mercantil</t>
        </is>
      </c>
      <c r="D1345" t="inlineStr">
        <is>
          <t>F12</t>
        </is>
      </c>
      <c r="E1345" t="inlineStr">
        <is>
          <t>INHERENTE</t>
        </is>
      </c>
      <c r="F1345" t="inlineStr">
        <is>
          <t>JEFATURA DE UNIDAD</t>
        </is>
      </c>
      <c r="G1345" t="n">
        <v>9800106</v>
      </c>
      <c r="H1345" t="n">
        <v>4</v>
      </c>
      <c r="I1345" t="n">
        <v>4</v>
      </c>
      <c r="J1345" t="n">
        <v>8</v>
      </c>
      <c r="K1345" t="n">
        <v>32</v>
      </c>
      <c r="L1345" t="n">
        <v>32</v>
      </c>
      <c r="M1345" t="n">
        <v>32</v>
      </c>
      <c r="N1345" t="n">
        <v>32</v>
      </c>
      <c r="O1345" t="n">
        <v>40</v>
      </c>
      <c r="P1345" t="n">
        <v>8</v>
      </c>
      <c r="R1345" s="9" t="n">
        <v>0.08</v>
      </c>
      <c r="S1345" s="10" t="inlineStr">
        <is>
          <t>SÍ — integrante</t>
        </is>
      </c>
      <c r="T1345" s="11" t="inlineStr">
        <is>
          <t>B · INTEGRANTE</t>
        </is>
      </c>
      <c r="U1345" s="11" t="inlineStr">
        <is>
          <t>DEL BANCO (se hereda)</t>
        </is>
      </c>
      <c r="V1345" s="11" t="inlineStr">
        <is>
          <t>9154 · OTRAS ACTIVIDADES NO CLASIFICADAS</t>
        </is>
      </c>
      <c r="W1345" s="12" t="n"/>
      <c r="X1345" s="12" t="n"/>
    </row>
    <row r="1346" ht="15" customHeight="1">
      <c r="C1346" t="inlineStr">
        <is>
          <t>Actividad económica / giro mercantil</t>
        </is>
      </c>
      <c r="D1346" t="inlineStr">
        <is>
          <t>F12</t>
        </is>
      </c>
      <c r="E1346" t="inlineStr">
        <is>
          <t>INHERENTE</t>
        </is>
      </c>
      <c r="F1346" t="inlineStr">
        <is>
          <t>DIRECCIÓN GENERAL ADJUNTA</t>
        </is>
      </c>
      <c r="G1346" t="n">
        <v>9800107</v>
      </c>
      <c r="H1346" t="n">
        <v>2</v>
      </c>
      <c r="I1346" t="n">
        <v>2</v>
      </c>
      <c r="J1346" t="n">
        <v>8</v>
      </c>
      <c r="K1346" t="n">
        <v>16</v>
      </c>
      <c r="L1346" t="n">
        <v>16</v>
      </c>
      <c r="M1346" t="n">
        <v>16</v>
      </c>
      <c r="N1346" t="n">
        <v>16</v>
      </c>
      <c r="O1346" t="n">
        <v>40</v>
      </c>
      <c r="P1346" t="n">
        <v>8</v>
      </c>
      <c r="R1346" s="9" t="n">
        <v>0.08</v>
      </c>
      <c r="S1346" s="10" t="inlineStr">
        <is>
          <t>SÍ — integrante</t>
        </is>
      </c>
      <c r="T1346" s="11" t="inlineStr">
        <is>
          <t>B · INTEGRANTE</t>
        </is>
      </c>
      <c r="U1346" s="11" t="inlineStr">
        <is>
          <t>DEL BANCO (se hereda)</t>
        </is>
      </c>
      <c r="V1346" s="11" t="inlineStr">
        <is>
          <t>9154 · OTRAS ACTIVIDADES NO CLASIFICADAS</t>
        </is>
      </c>
      <c r="W1346" s="12" t="n"/>
      <c r="X1346" s="12" t="n"/>
    </row>
    <row r="1347" ht="15" customHeight="1">
      <c r="C1347" t="inlineStr">
        <is>
          <t>Actividad económica / giro mercantil</t>
        </is>
      </c>
      <c r="D1347" t="inlineStr">
        <is>
          <t>F12</t>
        </is>
      </c>
      <c r="E1347" t="inlineStr">
        <is>
          <t>INHERENTE</t>
        </is>
      </c>
      <c r="F1347" t="inlineStr">
        <is>
          <t>DIRECCIÓN DE ÁREA</t>
        </is>
      </c>
      <c r="G1347" t="n">
        <v>9800108</v>
      </c>
      <c r="H1347" t="n">
        <v>2</v>
      </c>
      <c r="I1347" t="n">
        <v>2</v>
      </c>
      <c r="J1347" t="n">
        <v>8</v>
      </c>
      <c r="K1347" t="n">
        <v>16</v>
      </c>
      <c r="L1347" t="n">
        <v>16</v>
      </c>
      <c r="M1347" t="n">
        <v>16</v>
      </c>
      <c r="N1347" t="n">
        <v>16</v>
      </c>
      <c r="O1347" t="n">
        <v>40</v>
      </c>
      <c r="P1347" t="n">
        <v>8</v>
      </c>
      <c r="R1347" s="9" t="n">
        <v>0.08</v>
      </c>
      <c r="S1347" s="10" t="inlineStr">
        <is>
          <t>SÍ — integrante</t>
        </is>
      </c>
      <c r="T1347" s="11" t="inlineStr">
        <is>
          <t>B · INTEGRANTE</t>
        </is>
      </c>
      <c r="U1347" s="11" t="inlineStr">
        <is>
          <t>DEL BANCO (se hereda)</t>
        </is>
      </c>
      <c r="V1347" s="11" t="inlineStr">
        <is>
          <t>9154 · OTRAS ACTIVIDADES NO CLASIFICADAS</t>
        </is>
      </c>
      <c r="W1347" s="12" t="n"/>
      <c r="X1347" s="12" t="n"/>
    </row>
    <row r="1348" ht="15" customHeight="1">
      <c r="C1348" t="inlineStr">
        <is>
          <t>Actividad económica / giro mercantil</t>
        </is>
      </c>
      <c r="D1348" t="inlineStr">
        <is>
          <t>F12</t>
        </is>
      </c>
      <c r="E1348" t="inlineStr">
        <is>
          <t>INHERENTE</t>
        </is>
      </c>
      <c r="F1348" t="inlineStr">
        <is>
          <t>SUBDIRECCIÓN DE ÁREA</t>
        </is>
      </c>
      <c r="G1348" t="n">
        <v>9800109</v>
      </c>
      <c r="H1348" t="n">
        <v>1</v>
      </c>
      <c r="I1348" t="n">
        <v>1</v>
      </c>
      <c r="J1348" t="n">
        <v>8</v>
      </c>
      <c r="K1348" t="n">
        <v>8</v>
      </c>
      <c r="L1348" t="n">
        <v>8</v>
      </c>
      <c r="M1348" t="n">
        <v>8</v>
      </c>
      <c r="N1348" t="n">
        <v>8</v>
      </c>
      <c r="O1348" t="n">
        <v>40</v>
      </c>
      <c r="P1348" t="n">
        <v>8</v>
      </c>
      <c r="R1348" s="9" t="n">
        <v>0.08</v>
      </c>
      <c r="S1348" s="10" t="inlineStr">
        <is>
          <t>SÍ — integrante</t>
        </is>
      </c>
      <c r="T1348" s="11" t="inlineStr">
        <is>
          <t>B · INTEGRANTE</t>
        </is>
      </c>
      <c r="U1348" s="11" t="inlineStr">
        <is>
          <t>DEL BANCO (se hereda)</t>
        </is>
      </c>
      <c r="V1348" s="11" t="inlineStr">
        <is>
          <t>9154 · OTRAS ACTIVIDADES NO CLASIFICADAS</t>
        </is>
      </c>
      <c r="W1348" s="12" t="n"/>
      <c r="X1348" s="12" t="n"/>
    </row>
    <row r="1349" ht="15" customHeight="1">
      <c r="C1349" t="inlineStr">
        <is>
          <t>Actividad económica / giro mercantil</t>
        </is>
      </c>
      <c r="D1349" t="inlineStr">
        <is>
          <t>F12</t>
        </is>
      </c>
      <c r="E1349" t="inlineStr">
        <is>
          <t>INHERENTE</t>
        </is>
      </c>
      <c r="F1349" t="inlineStr">
        <is>
          <t>JEFATURA DE DEPARTAMENTO</t>
        </is>
      </c>
      <c r="G1349" t="n">
        <v>9800110</v>
      </c>
      <c r="H1349" t="n">
        <v>1</v>
      </c>
      <c r="I1349" t="n">
        <v>1</v>
      </c>
      <c r="J1349" t="n">
        <v>8</v>
      </c>
      <c r="K1349" t="n">
        <v>8</v>
      </c>
      <c r="L1349" t="n">
        <v>8</v>
      </c>
      <c r="M1349" t="n">
        <v>8</v>
      </c>
      <c r="N1349" t="n">
        <v>8</v>
      </c>
      <c r="O1349" t="n">
        <v>40</v>
      </c>
      <c r="P1349" t="n">
        <v>8</v>
      </c>
      <c r="R1349" s="9" t="n">
        <v>0.08</v>
      </c>
      <c r="S1349" s="10" t="inlineStr">
        <is>
          <t>SÍ — integrante</t>
        </is>
      </c>
      <c r="T1349" s="11" t="inlineStr">
        <is>
          <t>B · INTEGRANTE</t>
        </is>
      </c>
      <c r="U1349" s="11" t="inlineStr">
        <is>
          <t>DEL BANCO (se hereda)</t>
        </is>
      </c>
      <c r="V1349" s="11" t="inlineStr">
        <is>
          <t>9154 · OTRAS ACTIVIDADES NO CLASIFICADAS</t>
        </is>
      </c>
      <c r="W1349" s="12" t="n"/>
      <c r="X1349" s="12" t="n"/>
    </row>
    <row r="1350" ht="15" customHeight="1">
      <c r="C1350" t="inlineStr">
        <is>
          <t>Actividad económica / giro mercantil</t>
        </is>
      </c>
      <c r="D1350" t="inlineStr">
        <is>
          <t>F12</t>
        </is>
      </c>
      <c r="E1350" t="inlineStr">
        <is>
          <t>INHERENTE</t>
        </is>
      </c>
      <c r="F1350" t="inlineStr">
        <is>
          <t>ENLACE</t>
        </is>
      </c>
      <c r="G1350" t="n">
        <v>9800111</v>
      </c>
      <c r="H1350" t="n">
        <v>1</v>
      </c>
      <c r="I1350" t="n">
        <v>1</v>
      </c>
      <c r="J1350" t="n">
        <v>8</v>
      </c>
      <c r="K1350" t="n">
        <v>8</v>
      </c>
      <c r="L1350" t="n">
        <v>8</v>
      </c>
      <c r="M1350" t="n">
        <v>8</v>
      </c>
      <c r="N1350" t="n">
        <v>8</v>
      </c>
      <c r="O1350" t="n">
        <v>40</v>
      </c>
      <c r="P1350" t="n">
        <v>8</v>
      </c>
      <c r="R1350" s="9" t="n">
        <v>0.08</v>
      </c>
      <c r="S1350" s="10" t="inlineStr">
        <is>
          <t>SÍ — integrante</t>
        </is>
      </c>
      <c r="T1350" s="11" t="inlineStr">
        <is>
          <t>B · INTEGRANTE</t>
        </is>
      </c>
      <c r="U1350" s="11" t="inlineStr">
        <is>
          <t>DEL BANCO (se hereda)</t>
        </is>
      </c>
      <c r="V1350" s="11" t="inlineStr">
        <is>
          <t>9154 · OTRAS ACTIVIDADES NO CLASIFICADAS</t>
        </is>
      </c>
      <c r="W1350" s="12" t="n"/>
      <c r="X1350" s="12" t="n"/>
    </row>
    <row r="1351" ht="15" customHeight="1">
      <c r="C1351" t="inlineStr">
        <is>
          <t>Actividad económica / giro mercantil</t>
        </is>
      </c>
      <c r="D1351" t="inlineStr">
        <is>
          <t>F12</t>
        </is>
      </c>
      <c r="E1351" t="inlineStr">
        <is>
          <t>INHERENTE</t>
        </is>
      </c>
      <c r="F1351" t="inlineStr">
        <is>
          <t>DIPUTADO  DEL H. CONGRESO DE LA UNIÓN</t>
        </is>
      </c>
      <c r="G1351" t="n">
        <v>9800112</v>
      </c>
      <c r="H1351" t="n">
        <v>5</v>
      </c>
      <c r="I1351" t="n">
        <v>5</v>
      </c>
      <c r="J1351" t="n">
        <v>8</v>
      </c>
      <c r="K1351" t="n">
        <v>40</v>
      </c>
      <c r="L1351" t="n">
        <v>40</v>
      </c>
      <c r="M1351" t="n">
        <v>40</v>
      </c>
      <c r="N1351" t="n">
        <v>40</v>
      </c>
      <c r="O1351" t="n">
        <v>40</v>
      </c>
      <c r="P1351" t="n">
        <v>8</v>
      </c>
      <c r="R1351" s="9" t="n">
        <v>0.08</v>
      </c>
      <c r="S1351" s="10" t="inlineStr">
        <is>
          <t>SÍ — integrante</t>
        </is>
      </c>
      <c r="T1351" s="11" t="inlineStr">
        <is>
          <t>B · INTEGRANTE</t>
        </is>
      </c>
      <c r="U1351" s="11" t="inlineStr">
        <is>
          <t>DEL BANCO (se hereda)</t>
        </is>
      </c>
      <c r="V1351" s="11" t="inlineStr">
        <is>
          <t>9153 · GOBIERNO Y SECTOR PÚBLICO</t>
        </is>
      </c>
      <c r="W1351" s="12" t="n"/>
      <c r="X1351" s="12" t="n"/>
    </row>
    <row r="1352" ht="15" customHeight="1">
      <c r="C1352" t="inlineStr">
        <is>
          <t>Actividad económica / giro mercantil</t>
        </is>
      </c>
      <c r="D1352" t="inlineStr">
        <is>
          <t>F12</t>
        </is>
      </c>
      <c r="E1352" t="inlineStr">
        <is>
          <t>INHERENTE</t>
        </is>
      </c>
      <c r="F1352" t="inlineStr">
        <is>
          <t>SENADOR DE LA REPUBLICA</t>
        </is>
      </c>
      <c r="G1352" t="n">
        <v>9800113</v>
      </c>
      <c r="H1352" t="n">
        <v>5</v>
      </c>
      <c r="I1352" t="n">
        <v>5</v>
      </c>
      <c r="J1352" t="n">
        <v>8</v>
      </c>
      <c r="K1352" t="n">
        <v>40</v>
      </c>
      <c r="L1352" t="n">
        <v>40</v>
      </c>
      <c r="M1352" t="n">
        <v>40</v>
      </c>
      <c r="N1352" t="n">
        <v>40</v>
      </c>
      <c r="O1352" t="n">
        <v>40</v>
      </c>
      <c r="P1352" t="n">
        <v>8</v>
      </c>
      <c r="R1352" s="9" t="n">
        <v>0.08</v>
      </c>
      <c r="S1352" s="10" t="inlineStr">
        <is>
          <t>SÍ — integrante</t>
        </is>
      </c>
      <c r="T1352" s="11" t="inlineStr">
        <is>
          <t>B · INTEGRANTE</t>
        </is>
      </c>
      <c r="U1352" s="11" t="inlineStr">
        <is>
          <t>DEL BANCO (se hereda)</t>
        </is>
      </c>
      <c r="V1352" s="11" t="inlineStr">
        <is>
          <t>9153 · GOBIERNO Y SECTOR PÚBLICO</t>
        </is>
      </c>
      <c r="W1352" s="12" t="n"/>
      <c r="X1352" s="12" t="n"/>
    </row>
    <row r="1353" ht="15" customHeight="1">
      <c r="C1353" t="inlineStr">
        <is>
          <t>Actividad económica / giro mercantil</t>
        </is>
      </c>
      <c r="D1353" t="inlineStr">
        <is>
          <t>F12</t>
        </is>
      </c>
      <c r="E1353" t="inlineStr">
        <is>
          <t>INHERENTE</t>
        </is>
      </c>
      <c r="F1353" t="inlineStr">
        <is>
          <t>SECRETARIA DE LA DEFENSA NACIONAL (MILITAR)</t>
        </is>
      </c>
      <c r="G1353" t="n">
        <v>9800114</v>
      </c>
      <c r="H1353" t="n">
        <v>1</v>
      </c>
      <c r="I1353" t="n">
        <v>1</v>
      </c>
      <c r="J1353" t="n">
        <v>8</v>
      </c>
      <c r="K1353" t="n">
        <v>8</v>
      </c>
      <c r="L1353" t="n">
        <v>8</v>
      </c>
      <c r="M1353" t="n">
        <v>8</v>
      </c>
      <c r="N1353" t="n">
        <v>8</v>
      </c>
      <c r="O1353" t="n">
        <v>40</v>
      </c>
      <c r="P1353" t="n">
        <v>8</v>
      </c>
      <c r="R1353" s="9" t="n">
        <v>0.08</v>
      </c>
      <c r="S1353" s="10" t="inlineStr">
        <is>
          <t>SÍ — integrante</t>
        </is>
      </c>
      <c r="T1353" s="11" t="inlineStr">
        <is>
          <t>B · INTEGRANTE</t>
        </is>
      </c>
      <c r="U1353" s="11" t="inlineStr">
        <is>
          <t>DEL BANCO (se hereda)</t>
        </is>
      </c>
      <c r="V1353" s="11" t="inlineStr">
        <is>
          <t>9153 · GOBIERNO Y SECTOR PÚBLICO</t>
        </is>
      </c>
      <c r="W1353" s="12" t="n"/>
      <c r="X1353" s="12" t="n"/>
    </row>
    <row r="1354" ht="15" customHeight="1">
      <c r="C1354" t="inlineStr">
        <is>
          <t>Actividad económica / giro mercantil</t>
        </is>
      </c>
      <c r="D1354" t="inlineStr">
        <is>
          <t>F12</t>
        </is>
      </c>
      <c r="E1354" t="inlineStr">
        <is>
          <t>INHERENTE</t>
        </is>
      </c>
      <c r="F1354" t="inlineStr">
        <is>
          <t>SECRETARIA DE MARINA (MARINO)</t>
        </is>
      </c>
      <c r="G1354" t="n">
        <v>9800115</v>
      </c>
      <c r="H1354" t="n">
        <v>1</v>
      </c>
      <c r="I1354" t="n">
        <v>1</v>
      </c>
      <c r="J1354" t="n">
        <v>8</v>
      </c>
      <c r="K1354" t="n">
        <v>8</v>
      </c>
      <c r="L1354" t="n">
        <v>8</v>
      </c>
      <c r="M1354" t="n">
        <v>8</v>
      </c>
      <c r="N1354" t="n">
        <v>8</v>
      </c>
      <c r="O1354" t="n">
        <v>40</v>
      </c>
      <c r="P1354" t="n">
        <v>8</v>
      </c>
      <c r="R1354" s="9" t="n">
        <v>0.08</v>
      </c>
      <c r="S1354" s="10" t="inlineStr">
        <is>
          <t>SÍ — integrante</t>
        </is>
      </c>
      <c r="T1354" s="11" t="inlineStr">
        <is>
          <t>B · INTEGRANTE</t>
        </is>
      </c>
      <c r="U1354" s="11" t="inlineStr">
        <is>
          <t>DEL BANCO (se hereda)</t>
        </is>
      </c>
      <c r="V1354" s="11" t="inlineStr">
        <is>
          <t>9153 · GOBIERNO Y SECTOR PÚBLICO</t>
        </is>
      </c>
      <c r="W1354" s="12" t="n"/>
      <c r="X1354" s="12" t="n"/>
    </row>
    <row r="1355" ht="15" customHeight="1">
      <c r="C1355" t="inlineStr">
        <is>
          <t>Actividad económica / giro mercantil</t>
        </is>
      </c>
      <c r="D1355" t="inlineStr">
        <is>
          <t>F12</t>
        </is>
      </c>
      <c r="E1355" t="inlineStr">
        <is>
          <t>INHERENTE</t>
        </is>
      </c>
      <c r="F1355" t="inlineStr">
        <is>
          <t>EMBAJADOR</t>
        </is>
      </c>
      <c r="G1355" t="n">
        <v>9800116</v>
      </c>
      <c r="H1355" t="n">
        <v>5</v>
      </c>
      <c r="I1355" t="n">
        <v>5</v>
      </c>
      <c r="J1355" t="n">
        <v>8</v>
      </c>
      <c r="K1355" t="n">
        <v>40</v>
      </c>
      <c r="L1355" t="n">
        <v>40</v>
      </c>
      <c r="M1355" t="n">
        <v>40</v>
      </c>
      <c r="N1355" t="n">
        <v>40</v>
      </c>
      <c r="O1355" t="n">
        <v>40</v>
      </c>
      <c r="P1355" t="n">
        <v>8</v>
      </c>
      <c r="R1355" s="9" t="n">
        <v>0.08</v>
      </c>
      <c r="S1355" s="10" t="inlineStr">
        <is>
          <t>SÍ — integrante</t>
        </is>
      </c>
      <c r="T1355" s="11" t="inlineStr">
        <is>
          <t>B · INTEGRANTE</t>
        </is>
      </c>
      <c r="U1355" s="11" t="inlineStr">
        <is>
          <t>DEL BANCO (se hereda)</t>
        </is>
      </c>
      <c r="V1355" s="11" t="inlineStr">
        <is>
          <t>9153 · GOBIERNO Y SECTOR PÚBLICO</t>
        </is>
      </c>
      <c r="W1355" s="12" t="n"/>
      <c r="X1355" s="12" t="n"/>
    </row>
    <row r="1356" ht="15" customHeight="1">
      <c r="C1356" t="inlineStr">
        <is>
          <t>Actividad económica / giro mercantil</t>
        </is>
      </c>
      <c r="D1356" t="inlineStr">
        <is>
          <t>F12</t>
        </is>
      </c>
      <c r="E1356" t="inlineStr">
        <is>
          <t>INHERENTE</t>
        </is>
      </c>
      <c r="F1356" t="inlineStr">
        <is>
          <t>CÓNSUL</t>
        </is>
      </c>
      <c r="G1356" t="n">
        <v>9800117</v>
      </c>
      <c r="H1356" t="n">
        <v>2</v>
      </c>
      <c r="I1356" t="n">
        <v>2</v>
      </c>
      <c r="J1356" t="n">
        <v>8</v>
      </c>
      <c r="K1356" t="n">
        <v>16</v>
      </c>
      <c r="L1356" t="n">
        <v>16</v>
      </c>
      <c r="M1356" t="n">
        <v>16</v>
      </c>
      <c r="N1356" t="n">
        <v>16</v>
      </c>
      <c r="O1356" t="n">
        <v>40</v>
      </c>
      <c r="P1356" t="n">
        <v>8</v>
      </c>
      <c r="R1356" s="9" t="n">
        <v>0.08</v>
      </c>
      <c r="S1356" s="10" t="inlineStr">
        <is>
          <t>SÍ — integrante</t>
        </is>
      </c>
      <c r="T1356" s="11" t="inlineStr">
        <is>
          <t>B · INTEGRANTE</t>
        </is>
      </c>
      <c r="U1356" s="11" t="inlineStr">
        <is>
          <t>DEL BANCO (se hereda)</t>
        </is>
      </c>
      <c r="V1356" s="11" t="inlineStr">
        <is>
          <t>9153 · GOBIERNO Y SECTOR PÚBLICO</t>
        </is>
      </c>
      <c r="W1356" s="12" t="n"/>
      <c r="X1356" s="12" t="n"/>
    </row>
    <row r="1357" ht="15" customHeight="1">
      <c r="C1357" t="inlineStr">
        <is>
          <t>Actividad económica / giro mercantil</t>
        </is>
      </c>
      <c r="D1357" t="inlineStr">
        <is>
          <t>F12</t>
        </is>
      </c>
      <c r="E1357" t="inlineStr">
        <is>
          <t>INHERENTE</t>
        </is>
      </c>
      <c r="F1357" t="inlineStr">
        <is>
          <t>EMPLEADO DE GOBIERNO DE ENTIDAD FEDERATIVA</t>
        </is>
      </c>
      <c r="G1357" t="n">
        <v>9800200</v>
      </c>
      <c r="H1357" t="n">
        <v>5</v>
      </c>
      <c r="I1357" t="n">
        <v>5</v>
      </c>
      <c r="J1357" t="n">
        <v>8</v>
      </c>
      <c r="K1357" t="n">
        <v>40</v>
      </c>
      <c r="L1357" t="n">
        <v>40</v>
      </c>
      <c r="M1357" t="n">
        <v>40</v>
      </c>
      <c r="N1357" t="n">
        <v>40</v>
      </c>
      <c r="O1357" t="n">
        <v>40</v>
      </c>
      <c r="P1357" t="n">
        <v>8</v>
      </c>
      <c r="R1357" s="9" t="n">
        <v>0.08</v>
      </c>
      <c r="S1357" s="10" t="inlineStr">
        <is>
          <t>SÍ — integrante</t>
        </is>
      </c>
      <c r="T1357" s="11" t="inlineStr">
        <is>
          <t>B · INTEGRANTE</t>
        </is>
      </c>
      <c r="U1357" s="11" t="inlineStr">
        <is>
          <t>DEL BANCO (se hereda)</t>
        </is>
      </c>
      <c r="V1357" s="11" t="inlineStr">
        <is>
          <t>9153 · GOBIERNO Y SECTOR PÚBLICO</t>
        </is>
      </c>
      <c r="W1357" s="12" t="n"/>
      <c r="X1357" s="12" t="n"/>
    </row>
    <row r="1358" ht="15" customHeight="1">
      <c r="C1358" t="inlineStr">
        <is>
          <t>Actividad económica / giro mercantil</t>
        </is>
      </c>
      <c r="D1358" t="inlineStr">
        <is>
          <t>F12</t>
        </is>
      </c>
      <c r="E1358" t="inlineStr">
        <is>
          <t>INHERENTE</t>
        </is>
      </c>
      <c r="F1358" t="inlineStr">
        <is>
          <t>GOBERNADOR CONSTITUCIONAL DEL ESTADO Ó JEFE DE GOBIERNO DEL DF</t>
        </is>
      </c>
      <c r="G1358" t="n">
        <v>9800201</v>
      </c>
      <c r="H1358" t="n">
        <v>2</v>
      </c>
      <c r="I1358" t="n">
        <v>2</v>
      </c>
      <c r="J1358" t="n">
        <v>8</v>
      </c>
      <c r="K1358" t="n">
        <v>16</v>
      </c>
      <c r="L1358" t="n">
        <v>16</v>
      </c>
      <c r="M1358" t="n">
        <v>16</v>
      </c>
      <c r="N1358" t="n">
        <v>16</v>
      </c>
      <c r="O1358" t="n">
        <v>40</v>
      </c>
      <c r="P1358" t="n">
        <v>8</v>
      </c>
      <c r="R1358" s="9" t="n">
        <v>0.08</v>
      </c>
      <c r="S1358" s="10" t="inlineStr">
        <is>
          <t>SÍ — integrante</t>
        </is>
      </c>
      <c r="T1358" s="11" t="inlineStr">
        <is>
          <t>B · INTEGRANTE</t>
        </is>
      </c>
      <c r="U1358" s="11" t="inlineStr">
        <is>
          <t>DEL BANCO (se hereda)</t>
        </is>
      </c>
      <c r="V1358" s="11" t="inlineStr">
        <is>
          <t>9153 · GOBIERNO Y SECTOR PÚBLICO</t>
        </is>
      </c>
      <c r="W1358" s="12" t="n"/>
      <c r="X1358" s="12" t="n"/>
    </row>
    <row r="1359" ht="15" customHeight="1">
      <c r="C1359" t="inlineStr">
        <is>
          <t>Actividad económica / giro mercantil</t>
        </is>
      </c>
      <c r="D1359" t="inlineStr">
        <is>
          <t>F12</t>
        </is>
      </c>
      <c r="E1359" t="inlineStr">
        <is>
          <t>INHERENTE</t>
        </is>
      </c>
      <c r="F1359" t="inlineStr">
        <is>
          <t>SECRETARIO DEL RAMO</t>
        </is>
      </c>
      <c r="G1359" t="n">
        <v>9800202</v>
      </c>
      <c r="H1359" t="n">
        <v>5</v>
      </c>
      <c r="I1359" t="n">
        <v>5</v>
      </c>
      <c r="J1359" t="n">
        <v>8</v>
      </c>
      <c r="K1359" t="n">
        <v>40</v>
      </c>
      <c r="L1359" t="n">
        <v>40</v>
      </c>
      <c r="M1359" t="n">
        <v>40</v>
      </c>
      <c r="N1359" t="n">
        <v>40</v>
      </c>
      <c r="O1359" t="n">
        <v>40</v>
      </c>
      <c r="P1359" t="n">
        <v>8</v>
      </c>
      <c r="R1359" s="9" t="n">
        <v>0.08</v>
      </c>
      <c r="S1359" s="10" t="inlineStr">
        <is>
          <t>SÍ — integrante</t>
        </is>
      </c>
      <c r="T1359" s="11" t="inlineStr">
        <is>
          <t>B · INTEGRANTE</t>
        </is>
      </c>
      <c r="U1359" s="11" t="inlineStr">
        <is>
          <t>DEL BANCO (se hereda)</t>
        </is>
      </c>
      <c r="V1359" s="11" t="inlineStr">
        <is>
          <t>9154 · OTRAS ACTIVIDADES NO CLASIFICADAS</t>
        </is>
      </c>
      <c r="W1359" s="12" t="n"/>
      <c r="X1359" s="12" t="n"/>
    </row>
    <row r="1360" ht="15" customHeight="1">
      <c r="C1360" t="inlineStr">
        <is>
          <t>Actividad económica / giro mercantil</t>
        </is>
      </c>
      <c r="D1360" t="inlineStr">
        <is>
          <t>F12</t>
        </is>
      </c>
      <c r="E1360" t="inlineStr">
        <is>
          <t>INHERENTE</t>
        </is>
      </c>
      <c r="F1360" t="inlineStr">
        <is>
          <t>PROCURADOR GENERAL DE JUSTICIA DEL ESTADO</t>
        </is>
      </c>
      <c r="G1360" t="n">
        <v>9800203</v>
      </c>
      <c r="H1360" t="n">
        <v>5</v>
      </c>
      <c r="I1360" t="n">
        <v>5</v>
      </c>
      <c r="J1360" t="n">
        <v>8</v>
      </c>
      <c r="K1360" t="n">
        <v>40</v>
      </c>
      <c r="L1360" t="n">
        <v>40</v>
      </c>
      <c r="M1360" t="n">
        <v>40</v>
      </c>
      <c r="N1360" t="n">
        <v>40</v>
      </c>
      <c r="O1360" t="n">
        <v>40</v>
      </c>
      <c r="P1360" t="n">
        <v>8</v>
      </c>
      <c r="R1360" s="9" t="n">
        <v>0.08</v>
      </c>
      <c r="S1360" s="10" t="inlineStr">
        <is>
          <t>SÍ — integrante</t>
        </is>
      </c>
      <c r="T1360" s="11" t="inlineStr">
        <is>
          <t>B · INTEGRANTE</t>
        </is>
      </c>
      <c r="U1360" s="11" t="inlineStr">
        <is>
          <t>DEL BANCO (se hereda)</t>
        </is>
      </c>
      <c r="V1360" s="11" t="inlineStr">
        <is>
          <t>9153 · GOBIERNO Y SECTOR PÚBLICO</t>
        </is>
      </c>
      <c r="W1360" s="12" t="n"/>
      <c r="X1360" s="12" t="n"/>
    </row>
    <row r="1361" ht="15" customHeight="1">
      <c r="C1361" t="inlineStr">
        <is>
          <t>Actividad económica / giro mercantil</t>
        </is>
      </c>
      <c r="D1361" t="inlineStr">
        <is>
          <t>F12</t>
        </is>
      </c>
      <c r="E1361" t="inlineStr">
        <is>
          <t>INHERENTE</t>
        </is>
      </c>
      <c r="F1361" t="inlineStr">
        <is>
          <t>DIPUTADO AL H. CONGRESO DEL ESTADO</t>
        </is>
      </c>
      <c r="G1361" t="n">
        <v>9800204</v>
      </c>
      <c r="H1361" t="n">
        <v>5</v>
      </c>
      <c r="I1361" t="n">
        <v>5</v>
      </c>
      <c r="J1361" t="n">
        <v>8</v>
      </c>
      <c r="K1361" t="n">
        <v>40</v>
      </c>
      <c r="L1361" t="n">
        <v>40</v>
      </c>
      <c r="M1361" t="n">
        <v>40</v>
      </c>
      <c r="N1361" t="n">
        <v>40</v>
      </c>
      <c r="O1361" t="n">
        <v>40</v>
      </c>
      <c r="P1361" t="n">
        <v>8</v>
      </c>
      <c r="R1361" s="9" t="n">
        <v>0.08</v>
      </c>
      <c r="S1361" s="10" t="inlineStr">
        <is>
          <t>SÍ — integrante</t>
        </is>
      </c>
      <c r="T1361" s="11" t="inlineStr">
        <is>
          <t>B · INTEGRANTE</t>
        </is>
      </c>
      <c r="U1361" s="11" t="inlineStr">
        <is>
          <t>DEL BANCO (se hereda)</t>
        </is>
      </c>
      <c r="V1361" s="11" t="inlineStr">
        <is>
          <t>9153 · GOBIERNO Y SECTOR PÚBLICO</t>
        </is>
      </c>
      <c r="W1361" s="12" t="n"/>
      <c r="X1361" s="12" t="n"/>
    </row>
    <row r="1362" ht="15" customHeight="1">
      <c r="C1362" t="inlineStr">
        <is>
          <t>Actividad económica / giro mercantil</t>
        </is>
      </c>
      <c r="D1362" t="inlineStr">
        <is>
          <t>F12</t>
        </is>
      </c>
      <c r="E1362" t="inlineStr">
        <is>
          <t>INHERENTE</t>
        </is>
      </c>
      <c r="F1362" t="inlineStr">
        <is>
          <t>SUB-PROCURADOR GENERAL DE JUSTICIA DEL ESTAD</t>
        </is>
      </c>
      <c r="G1362" t="n">
        <v>9800205</v>
      </c>
      <c r="H1362" t="n">
        <v>5</v>
      </c>
      <c r="I1362" t="n">
        <v>5</v>
      </c>
      <c r="J1362" t="n">
        <v>8</v>
      </c>
      <c r="K1362" t="n">
        <v>40</v>
      </c>
      <c r="L1362" t="n">
        <v>40</v>
      </c>
      <c r="M1362" t="n">
        <v>40</v>
      </c>
      <c r="N1362" t="n">
        <v>40</v>
      </c>
      <c r="O1362" t="n">
        <v>40</v>
      </c>
      <c r="P1362" t="n">
        <v>8</v>
      </c>
      <c r="R1362" s="9" t="n">
        <v>0.08</v>
      </c>
      <c r="S1362" s="10" t="inlineStr">
        <is>
          <t>SÍ — integrante</t>
        </is>
      </c>
      <c r="T1362" s="11" t="inlineStr">
        <is>
          <t>B · INTEGRANTE</t>
        </is>
      </c>
      <c r="U1362" s="11" t="inlineStr">
        <is>
          <t>DEL BANCO (se hereda)</t>
        </is>
      </c>
      <c r="V1362" s="11" t="inlineStr">
        <is>
          <t>9153 · GOBIERNO Y SECTOR PÚBLICO</t>
        </is>
      </c>
      <c r="W1362" s="12" t="n"/>
      <c r="X1362" s="12" t="n"/>
    </row>
    <row r="1363" ht="15" customHeight="1">
      <c r="C1363" t="inlineStr">
        <is>
          <t>Actividad económica / giro mercantil</t>
        </is>
      </c>
      <c r="D1363" t="inlineStr">
        <is>
          <t>F12</t>
        </is>
      </c>
      <c r="E1363" t="inlineStr">
        <is>
          <t>INHERENTE</t>
        </is>
      </c>
      <c r="F1363" t="inlineStr">
        <is>
          <t>CONTRALOR DEL H. CONGRESO DEL ESTADO</t>
        </is>
      </c>
      <c r="G1363" t="n">
        <v>9800206</v>
      </c>
      <c r="H1363" t="n">
        <v>2</v>
      </c>
      <c r="I1363" t="n">
        <v>2</v>
      </c>
      <c r="J1363" t="n">
        <v>8</v>
      </c>
      <c r="K1363" t="n">
        <v>16</v>
      </c>
      <c r="L1363" t="n">
        <v>16</v>
      </c>
      <c r="M1363" t="n">
        <v>16</v>
      </c>
      <c r="N1363" t="n">
        <v>16</v>
      </c>
      <c r="O1363" t="n">
        <v>40</v>
      </c>
      <c r="P1363" t="n">
        <v>8</v>
      </c>
      <c r="R1363" s="9" t="n">
        <v>0.08</v>
      </c>
      <c r="S1363" s="10" t="inlineStr">
        <is>
          <t>SÍ — integrante</t>
        </is>
      </c>
      <c r="T1363" s="11" t="inlineStr">
        <is>
          <t>B · INTEGRANTE</t>
        </is>
      </c>
      <c r="U1363" s="11" t="inlineStr">
        <is>
          <t>DEL BANCO (se hereda)</t>
        </is>
      </c>
      <c r="V1363" s="11" t="inlineStr">
        <is>
          <t>9153 · GOBIERNO Y SECTOR PÚBLICO</t>
        </is>
      </c>
      <c r="W1363" s="12" t="n"/>
      <c r="X1363" s="12" t="n"/>
    </row>
    <row r="1364" ht="15" customHeight="1">
      <c r="C1364" t="inlineStr">
        <is>
          <t>Actividad económica / giro mercantil</t>
        </is>
      </c>
      <c r="D1364" t="inlineStr">
        <is>
          <t>F12</t>
        </is>
      </c>
      <c r="E1364" t="inlineStr">
        <is>
          <t>INHERENTE</t>
        </is>
      </c>
      <c r="F1364" t="inlineStr">
        <is>
          <t>TESORERO DEL ESTADO</t>
        </is>
      </c>
      <c r="G1364" t="n">
        <v>9800207</v>
      </c>
      <c r="H1364" t="n">
        <v>2</v>
      </c>
      <c r="I1364" t="n">
        <v>2</v>
      </c>
      <c r="J1364" t="n">
        <v>8</v>
      </c>
      <c r="K1364" t="n">
        <v>16</v>
      </c>
      <c r="L1364" t="n">
        <v>16</v>
      </c>
      <c r="M1364" t="n">
        <v>16</v>
      </c>
      <c r="N1364" t="n">
        <v>16</v>
      </c>
      <c r="O1364" t="n">
        <v>40</v>
      </c>
      <c r="P1364" t="n">
        <v>8</v>
      </c>
      <c r="R1364" s="9" t="n">
        <v>0.08</v>
      </c>
      <c r="S1364" s="10" t="inlineStr">
        <is>
          <t>SÍ — integrante</t>
        </is>
      </c>
      <c r="T1364" s="11" t="inlineStr">
        <is>
          <t>B · INTEGRANTE</t>
        </is>
      </c>
      <c r="U1364" s="11" t="inlineStr">
        <is>
          <t>DEL BANCO (se hereda)</t>
        </is>
      </c>
      <c r="V1364" s="11" t="inlineStr">
        <is>
          <t>9154 · OTRAS ACTIVIDADES NO CLASIFICADAS</t>
        </is>
      </c>
      <c r="W1364" s="12" t="n"/>
      <c r="X1364" s="12" t="n"/>
    </row>
    <row r="1365" ht="15" customHeight="1">
      <c r="C1365" t="inlineStr">
        <is>
          <t>Actividad económica / giro mercantil</t>
        </is>
      </c>
      <c r="D1365" t="inlineStr">
        <is>
          <t>F12</t>
        </is>
      </c>
      <c r="E1365" t="inlineStr">
        <is>
          <t>INHERENTE</t>
        </is>
      </c>
      <c r="F1365" t="inlineStr">
        <is>
          <t>SUB-SECRETARIO</t>
        </is>
      </c>
      <c r="G1365" t="n">
        <v>9800208</v>
      </c>
      <c r="H1365" t="n">
        <v>5</v>
      </c>
      <c r="I1365" t="n">
        <v>5</v>
      </c>
      <c r="J1365" t="n">
        <v>8</v>
      </c>
      <c r="K1365" t="n">
        <v>40</v>
      </c>
      <c r="L1365" t="n">
        <v>40</v>
      </c>
      <c r="M1365" t="n">
        <v>40</v>
      </c>
      <c r="N1365" t="n">
        <v>40</v>
      </c>
      <c r="O1365" t="n">
        <v>40</v>
      </c>
      <c r="P1365" t="n">
        <v>8</v>
      </c>
      <c r="R1365" s="9" t="n">
        <v>0.08</v>
      </c>
      <c r="S1365" s="10" t="inlineStr">
        <is>
          <t>SÍ — integrante</t>
        </is>
      </c>
      <c r="T1365" s="11" t="inlineStr">
        <is>
          <t>B · INTEGRANTE</t>
        </is>
      </c>
      <c r="U1365" s="11" t="inlineStr">
        <is>
          <t>DEL BANCO (se hereda)</t>
        </is>
      </c>
      <c r="V1365" s="11" t="inlineStr">
        <is>
          <t>9154 · OTRAS ACTIVIDADES NO CLASIFICADAS</t>
        </is>
      </c>
      <c r="W1365" s="12" t="n"/>
      <c r="X1365" s="12" t="n"/>
    </row>
    <row r="1366" ht="15" customHeight="1">
      <c r="C1366" t="inlineStr">
        <is>
          <t>Actividad económica / giro mercantil</t>
        </is>
      </c>
      <c r="D1366" t="inlineStr">
        <is>
          <t>F12</t>
        </is>
      </c>
      <c r="E1366" t="inlineStr">
        <is>
          <t>INHERENTE</t>
        </is>
      </c>
      <c r="F1366" t="inlineStr">
        <is>
          <t>VOCAL EJECUTIVO</t>
        </is>
      </c>
      <c r="G1366" t="n">
        <v>9800209</v>
      </c>
      <c r="H1366" t="n">
        <v>1</v>
      </c>
      <c r="I1366" t="n">
        <v>1</v>
      </c>
      <c r="J1366" t="n">
        <v>8</v>
      </c>
      <c r="K1366" t="n">
        <v>8</v>
      </c>
      <c r="L1366" t="n">
        <v>8</v>
      </c>
      <c r="M1366" t="n">
        <v>8</v>
      </c>
      <c r="N1366" t="n">
        <v>8</v>
      </c>
      <c r="O1366" t="n">
        <v>40</v>
      </c>
      <c r="P1366" t="n">
        <v>8</v>
      </c>
      <c r="R1366" s="9" t="n">
        <v>0.08</v>
      </c>
      <c r="S1366" s="10" t="inlineStr">
        <is>
          <t>SÍ — integrante</t>
        </is>
      </c>
      <c r="T1366" s="11" t="inlineStr">
        <is>
          <t>B · INTEGRANTE</t>
        </is>
      </c>
      <c r="U1366" s="11" t="inlineStr">
        <is>
          <t>DEL BANCO (se hereda)</t>
        </is>
      </c>
      <c r="V1366" s="11" t="inlineStr">
        <is>
          <t>9154 · OTRAS ACTIVIDADES NO CLASIFICADAS</t>
        </is>
      </c>
      <c r="W1366" s="12" t="n"/>
      <c r="X1366" s="12" t="n"/>
    </row>
    <row r="1367" ht="15" customHeight="1">
      <c r="C1367" t="inlineStr">
        <is>
          <t>Actividad económica / giro mercantil</t>
        </is>
      </c>
      <c r="D1367" t="inlineStr">
        <is>
          <t>F12</t>
        </is>
      </c>
      <c r="E1367" t="inlineStr">
        <is>
          <t>INHERENTE</t>
        </is>
      </c>
      <c r="F1367" t="inlineStr">
        <is>
          <t>OFICIAL MAYOR DE ENTIDAD FEDERATIVA</t>
        </is>
      </c>
      <c r="G1367" t="n">
        <v>9800210</v>
      </c>
      <c r="H1367" t="n">
        <v>5</v>
      </c>
      <c r="I1367" t="n">
        <v>5</v>
      </c>
      <c r="J1367" t="n">
        <v>8</v>
      </c>
      <c r="K1367" t="n">
        <v>40</v>
      </c>
      <c r="L1367" t="n">
        <v>40</v>
      </c>
      <c r="M1367" t="n">
        <v>40</v>
      </c>
      <c r="N1367" t="n">
        <v>40</v>
      </c>
      <c r="O1367" t="n">
        <v>40</v>
      </c>
      <c r="P1367" t="n">
        <v>8</v>
      </c>
      <c r="R1367" s="9" t="n">
        <v>0.08</v>
      </c>
      <c r="S1367" s="10" t="inlineStr">
        <is>
          <t>SÍ — integrante</t>
        </is>
      </c>
      <c r="T1367" s="11" t="inlineStr">
        <is>
          <t>B · INTEGRANTE</t>
        </is>
      </c>
      <c r="U1367" s="11" t="inlineStr">
        <is>
          <t>DEL BANCO (se hereda)</t>
        </is>
      </c>
      <c r="V1367" s="11" t="inlineStr">
        <is>
          <t>9153 · GOBIERNO Y SECTOR PÚBLICO</t>
        </is>
      </c>
      <c r="W1367" s="12" t="n"/>
      <c r="X1367" s="12" t="n"/>
    </row>
    <row r="1368" ht="15" customHeight="1">
      <c r="C1368" t="inlineStr">
        <is>
          <t>Actividad económica / giro mercantil</t>
        </is>
      </c>
      <c r="D1368" t="inlineStr">
        <is>
          <t>F12</t>
        </is>
      </c>
      <c r="E1368" t="inlineStr">
        <is>
          <t>INHERENTE</t>
        </is>
      </c>
      <c r="F1368" t="inlineStr">
        <is>
          <t>DIRECTOR GENERAL</t>
        </is>
      </c>
      <c r="G1368" t="n">
        <v>9800211</v>
      </c>
      <c r="H1368" t="n">
        <v>2</v>
      </c>
      <c r="I1368" t="n">
        <v>2</v>
      </c>
      <c r="J1368" t="n">
        <v>8</v>
      </c>
      <c r="K1368" t="n">
        <v>16</v>
      </c>
      <c r="L1368" t="n">
        <v>16</v>
      </c>
      <c r="M1368" t="n">
        <v>16</v>
      </c>
      <c r="N1368" t="n">
        <v>16</v>
      </c>
      <c r="O1368" t="n">
        <v>40</v>
      </c>
      <c r="P1368" t="n">
        <v>8</v>
      </c>
      <c r="R1368" s="9" t="n">
        <v>0.08</v>
      </c>
      <c r="S1368" s="10" t="inlineStr">
        <is>
          <t>SÍ — integrante</t>
        </is>
      </c>
      <c r="T1368" s="11" t="inlineStr">
        <is>
          <t>B · INTEGRANTE</t>
        </is>
      </c>
      <c r="U1368" s="11" t="inlineStr">
        <is>
          <t>DEL BANCO (se hereda)</t>
        </is>
      </c>
      <c r="V1368" s="11" t="inlineStr">
        <is>
          <t>9111 · SIN ACTIVIDAD DE RIESGO / ASALARIADO</t>
        </is>
      </c>
      <c r="W1368" s="12" t="n"/>
      <c r="X1368" s="12" t="n"/>
    </row>
    <row r="1369" ht="15" customHeight="1">
      <c r="C1369" t="inlineStr">
        <is>
          <t>Actividad económica / giro mercantil</t>
        </is>
      </c>
      <c r="D1369" t="inlineStr">
        <is>
          <t>F12</t>
        </is>
      </c>
      <c r="E1369" t="inlineStr">
        <is>
          <t>INHERENTE</t>
        </is>
      </c>
      <c r="F1369" t="inlineStr">
        <is>
          <t>DIRECTOR EJECUTIVO</t>
        </is>
      </c>
      <c r="G1369" t="n">
        <v>9800212</v>
      </c>
      <c r="H1369" t="n">
        <v>2</v>
      </c>
      <c r="I1369" t="n">
        <v>2</v>
      </c>
      <c r="J1369" t="n">
        <v>8</v>
      </c>
      <c r="K1369" t="n">
        <v>16</v>
      </c>
      <c r="L1369" t="n">
        <v>16</v>
      </c>
      <c r="M1369" t="n">
        <v>16</v>
      </c>
      <c r="N1369" t="n">
        <v>16</v>
      </c>
      <c r="O1369" t="n">
        <v>40</v>
      </c>
      <c r="P1369" t="n">
        <v>8</v>
      </c>
      <c r="R1369" s="9" t="n">
        <v>0.08</v>
      </c>
      <c r="S1369" s="10" t="inlineStr">
        <is>
          <t>SÍ — integrante</t>
        </is>
      </c>
      <c r="T1369" s="11" t="inlineStr">
        <is>
          <t>B · INTEGRANTE</t>
        </is>
      </c>
      <c r="U1369" s="11" t="inlineStr">
        <is>
          <t>DEL BANCO (se hereda)</t>
        </is>
      </c>
      <c r="V1369" s="11" t="inlineStr">
        <is>
          <t>9111 · SIN ACTIVIDAD DE RIESGO / ASALARIADO</t>
        </is>
      </c>
      <c r="W1369" s="12" t="n"/>
      <c r="X1369" s="12" t="n"/>
    </row>
    <row r="1370" ht="15" customHeight="1">
      <c r="C1370" t="inlineStr">
        <is>
          <t>Actividad económica / giro mercantil</t>
        </is>
      </c>
      <c r="D1370" t="inlineStr">
        <is>
          <t>F12</t>
        </is>
      </c>
      <c r="E1370" t="inlineStr">
        <is>
          <t>INHERENTE</t>
        </is>
      </c>
      <c r="F1370" t="inlineStr">
        <is>
          <t>JEFE DE LA POLICÍA JUDICIAL DEL ESTADO</t>
        </is>
      </c>
      <c r="G1370" t="n">
        <v>9800213</v>
      </c>
      <c r="H1370" t="n">
        <v>5</v>
      </c>
      <c r="I1370" t="n">
        <v>5</v>
      </c>
      <c r="J1370" t="n">
        <v>8</v>
      </c>
      <c r="K1370" t="n">
        <v>40</v>
      </c>
      <c r="L1370" t="n">
        <v>40</v>
      </c>
      <c r="M1370" t="n">
        <v>40</v>
      </c>
      <c r="N1370" t="n">
        <v>40</v>
      </c>
      <c r="O1370" t="n">
        <v>40</v>
      </c>
      <c r="P1370" t="n">
        <v>8</v>
      </c>
      <c r="R1370" s="9" t="n">
        <v>0.08</v>
      </c>
      <c r="S1370" s="10" t="inlineStr">
        <is>
          <t>SÍ — integrante</t>
        </is>
      </c>
      <c r="T1370" s="11" t="inlineStr">
        <is>
          <t>B · INTEGRANTE</t>
        </is>
      </c>
      <c r="U1370" s="11" t="inlineStr">
        <is>
          <t>DEL BANCO (se hereda)</t>
        </is>
      </c>
      <c r="V1370" s="11" t="inlineStr">
        <is>
          <t>9153 · GOBIERNO Y SECTOR PÚBLICO</t>
        </is>
      </c>
      <c r="W1370" s="12" t="n"/>
      <c r="X1370" s="12" t="n"/>
    </row>
    <row r="1371" ht="15" customHeight="1">
      <c r="C1371" t="inlineStr">
        <is>
          <t>Actividad económica / giro mercantil</t>
        </is>
      </c>
      <c r="D1371" t="inlineStr">
        <is>
          <t>F12</t>
        </is>
      </c>
      <c r="E1371" t="inlineStr">
        <is>
          <t>INHERENTE</t>
        </is>
      </c>
      <c r="F1371" t="inlineStr">
        <is>
          <t>JEFE DE UNIDAD</t>
        </is>
      </c>
      <c r="G1371" t="n">
        <v>9800214</v>
      </c>
      <c r="H1371" t="n">
        <v>2</v>
      </c>
      <c r="I1371" t="n">
        <v>2</v>
      </c>
      <c r="J1371" t="n">
        <v>8</v>
      </c>
      <c r="K1371" t="n">
        <v>16</v>
      </c>
      <c r="L1371" t="n">
        <v>16</v>
      </c>
      <c r="M1371" t="n">
        <v>16</v>
      </c>
      <c r="N1371" t="n">
        <v>16</v>
      </c>
      <c r="O1371" t="n">
        <v>40</v>
      </c>
      <c r="P1371" t="n">
        <v>8</v>
      </c>
      <c r="R1371" s="9" t="n">
        <v>0.08</v>
      </c>
      <c r="S1371" s="10" t="inlineStr">
        <is>
          <t>SÍ — integrante</t>
        </is>
      </c>
      <c r="T1371" s="11" t="inlineStr">
        <is>
          <t>B · INTEGRANTE</t>
        </is>
      </c>
      <c r="U1371" s="11" t="inlineStr">
        <is>
          <t>DEL BANCO (se hereda)</t>
        </is>
      </c>
      <c r="V1371" s="11" t="inlineStr">
        <is>
          <t>9154 · OTRAS ACTIVIDADES NO CLASIFICADAS</t>
        </is>
      </c>
      <c r="W1371" s="12" t="n"/>
      <c r="X1371" s="12" t="n"/>
    </row>
    <row r="1372" ht="15" customHeight="1">
      <c r="C1372" t="inlineStr">
        <is>
          <t>Actividad económica / giro mercantil</t>
        </is>
      </c>
      <c r="D1372" t="inlineStr">
        <is>
          <t>F12</t>
        </is>
      </c>
      <c r="E1372" t="inlineStr">
        <is>
          <t>INHERENTE</t>
        </is>
      </c>
      <c r="F1372" t="inlineStr">
        <is>
          <t>DIRECTOR</t>
        </is>
      </c>
      <c r="G1372" t="n">
        <v>9800215</v>
      </c>
      <c r="H1372" t="n">
        <v>2</v>
      </c>
      <c r="I1372" t="n">
        <v>2</v>
      </c>
      <c r="J1372" t="n">
        <v>8</v>
      </c>
      <c r="K1372" t="n">
        <v>16</v>
      </c>
      <c r="L1372" t="n">
        <v>16</v>
      </c>
      <c r="M1372" t="n">
        <v>16</v>
      </c>
      <c r="N1372" t="n">
        <v>16</v>
      </c>
      <c r="O1372" t="n">
        <v>40</v>
      </c>
      <c r="P1372" t="n">
        <v>8</v>
      </c>
      <c r="R1372" s="9" t="n">
        <v>0.08</v>
      </c>
      <c r="S1372" s="10" t="inlineStr">
        <is>
          <t>SÍ — integrante</t>
        </is>
      </c>
      <c r="T1372" s="11" t="inlineStr">
        <is>
          <t>B · INTEGRANTE</t>
        </is>
      </c>
      <c r="U1372" s="11" t="inlineStr">
        <is>
          <t>DEL BANCO (se hereda)</t>
        </is>
      </c>
      <c r="V1372" s="11" t="inlineStr">
        <is>
          <t>9111 · SIN ACTIVIDAD DE RIESGO / ASALARIADO</t>
        </is>
      </c>
      <c r="W1372" s="12" t="n"/>
      <c r="X1372" s="12" t="n"/>
    </row>
    <row r="1373" ht="15" customHeight="1">
      <c r="C1373" t="inlineStr">
        <is>
          <t>Actividad económica / giro mercantil</t>
        </is>
      </c>
      <c r="D1373" t="inlineStr">
        <is>
          <t>F12</t>
        </is>
      </c>
      <c r="E1373" t="inlineStr">
        <is>
          <t>INHERENTE</t>
        </is>
      </c>
      <c r="F1373" t="inlineStr">
        <is>
          <t>SUB-JEFE OPERATIVO</t>
        </is>
      </c>
      <c r="G1373" t="n">
        <v>9800216</v>
      </c>
      <c r="H1373" t="n">
        <v>1</v>
      </c>
      <c r="I1373" t="n">
        <v>1</v>
      </c>
      <c r="J1373" t="n">
        <v>8</v>
      </c>
      <c r="K1373" t="n">
        <v>8</v>
      </c>
      <c r="L1373" t="n">
        <v>8</v>
      </c>
      <c r="M1373" t="n">
        <v>8</v>
      </c>
      <c r="N1373" t="n">
        <v>8</v>
      </c>
      <c r="O1373" t="n">
        <v>40</v>
      </c>
      <c r="P1373" t="n">
        <v>8</v>
      </c>
      <c r="R1373" s="9" t="n">
        <v>0.08</v>
      </c>
      <c r="S1373" s="10" t="inlineStr">
        <is>
          <t>SÍ — integrante</t>
        </is>
      </c>
      <c r="T1373" s="11" t="inlineStr">
        <is>
          <t>B · INTEGRANTE</t>
        </is>
      </c>
      <c r="U1373" s="11" t="inlineStr">
        <is>
          <t>DEL BANCO (se hereda)</t>
        </is>
      </c>
      <c r="V1373" s="11" t="inlineStr">
        <is>
          <t>9154 · OTRAS ACTIVIDADES NO CLASIFICADAS</t>
        </is>
      </c>
      <c r="W1373" s="12" t="n"/>
      <c r="X1373" s="12" t="n"/>
    </row>
    <row r="1374" ht="15" customHeight="1">
      <c r="C1374" t="inlineStr">
        <is>
          <t>Actividad económica / giro mercantil</t>
        </is>
      </c>
      <c r="D1374" t="inlineStr">
        <is>
          <t>F12</t>
        </is>
      </c>
      <c r="E1374" t="inlineStr">
        <is>
          <t>INHERENTE</t>
        </is>
      </c>
      <c r="F1374" t="inlineStr">
        <is>
          <t>SUB-DIRECTOR</t>
        </is>
      </c>
      <c r="G1374" t="n">
        <v>9800217</v>
      </c>
      <c r="H1374" t="n">
        <v>1</v>
      </c>
      <c r="I1374" t="n">
        <v>1</v>
      </c>
      <c r="J1374" t="n">
        <v>8</v>
      </c>
      <c r="K1374" t="n">
        <v>8</v>
      </c>
      <c r="L1374" t="n">
        <v>8</v>
      </c>
      <c r="M1374" t="n">
        <v>8</v>
      </c>
      <c r="N1374" t="n">
        <v>8</v>
      </c>
      <c r="O1374" t="n">
        <v>40</v>
      </c>
      <c r="P1374" t="n">
        <v>8</v>
      </c>
      <c r="R1374" s="9" t="n">
        <v>0.08</v>
      </c>
      <c r="S1374" s="10" t="inlineStr">
        <is>
          <t>SÍ — integrante</t>
        </is>
      </c>
      <c r="T1374" s="11" t="inlineStr">
        <is>
          <t>B · INTEGRANTE</t>
        </is>
      </c>
      <c r="U1374" s="11" t="inlineStr">
        <is>
          <t>DEL BANCO (se hereda)</t>
        </is>
      </c>
      <c r="V1374" s="11" t="inlineStr">
        <is>
          <t>9111 · SIN ACTIVIDAD DE RIESGO / ASALARIADO</t>
        </is>
      </c>
      <c r="W1374" s="12" t="n"/>
      <c r="X1374" s="12" t="n"/>
    </row>
    <row r="1375" ht="15" customHeight="1">
      <c r="C1375" t="inlineStr">
        <is>
          <t>Actividad económica / giro mercantil</t>
        </is>
      </c>
      <c r="D1375" t="inlineStr">
        <is>
          <t>F12</t>
        </is>
      </c>
      <c r="E1375" t="inlineStr">
        <is>
          <t>INHERENTE</t>
        </is>
      </c>
      <c r="F1375" t="inlineStr">
        <is>
          <t>JEFE DE DEPARTAMENTO</t>
        </is>
      </c>
      <c r="G1375" t="n">
        <v>9800218</v>
      </c>
      <c r="H1375" t="n">
        <v>1</v>
      </c>
      <c r="I1375" t="n">
        <v>1</v>
      </c>
      <c r="J1375" t="n">
        <v>8</v>
      </c>
      <c r="K1375" t="n">
        <v>8</v>
      </c>
      <c r="L1375" t="n">
        <v>8</v>
      </c>
      <c r="M1375" t="n">
        <v>8</v>
      </c>
      <c r="N1375" t="n">
        <v>8</v>
      </c>
      <c r="O1375" t="n">
        <v>40</v>
      </c>
      <c r="P1375" t="n">
        <v>8</v>
      </c>
      <c r="R1375" s="9" t="n">
        <v>0.08</v>
      </c>
      <c r="S1375" s="10" t="inlineStr">
        <is>
          <t>SÍ — integrante</t>
        </is>
      </c>
      <c r="T1375" s="11" t="inlineStr">
        <is>
          <t>B · INTEGRANTE</t>
        </is>
      </c>
      <c r="U1375" s="11" t="inlineStr">
        <is>
          <t>DEL BANCO (se hereda)</t>
        </is>
      </c>
      <c r="V1375" s="11" t="inlineStr">
        <is>
          <t>9154 · OTRAS ACTIVIDADES NO CLASIFICADAS</t>
        </is>
      </c>
      <c r="W1375" s="12" t="n"/>
      <c r="X1375" s="12" t="n"/>
    </row>
    <row r="1376" ht="15" customHeight="1">
      <c r="C1376" t="inlineStr">
        <is>
          <t>Actividad económica / giro mercantil</t>
        </is>
      </c>
      <c r="D1376" t="inlineStr">
        <is>
          <t>F12</t>
        </is>
      </c>
      <c r="E1376" t="inlineStr">
        <is>
          <t>INHERENTE</t>
        </is>
      </c>
      <c r="F1376" t="inlineStr">
        <is>
          <t>COORDINADOR OPERATIVO</t>
        </is>
      </c>
      <c r="G1376" t="n">
        <v>9800219</v>
      </c>
      <c r="H1376" t="n">
        <v>1</v>
      </c>
      <c r="I1376" t="n">
        <v>1</v>
      </c>
      <c r="J1376" t="n">
        <v>8</v>
      </c>
      <c r="K1376" t="n">
        <v>8</v>
      </c>
      <c r="L1376" t="n">
        <v>8</v>
      </c>
      <c r="M1376" t="n">
        <v>8</v>
      </c>
      <c r="N1376" t="n">
        <v>8</v>
      </c>
      <c r="O1376" t="n">
        <v>40</v>
      </c>
      <c r="P1376" t="n">
        <v>8</v>
      </c>
      <c r="R1376" s="9" t="n">
        <v>0.08</v>
      </c>
      <c r="S1376" s="10" t="inlineStr">
        <is>
          <t>SÍ — integrante</t>
        </is>
      </c>
      <c r="T1376" s="11" t="inlineStr">
        <is>
          <t>B · INTEGRANTE</t>
        </is>
      </c>
      <c r="U1376" s="11" t="inlineStr">
        <is>
          <t>DEL BANCO (se hereda)</t>
        </is>
      </c>
      <c r="V1376" s="11" t="inlineStr">
        <is>
          <t>9154 · OTRAS ACTIVIDADES NO CLASIFICADAS</t>
        </is>
      </c>
      <c r="W1376" s="12" t="n"/>
      <c r="X1376" s="12" t="n"/>
    </row>
    <row r="1377" ht="15" customHeight="1">
      <c r="C1377" t="inlineStr">
        <is>
          <t>Actividad económica / giro mercantil</t>
        </is>
      </c>
      <c r="D1377" t="inlineStr">
        <is>
          <t>F12</t>
        </is>
      </c>
      <c r="E1377" t="inlineStr">
        <is>
          <t>INHERENTE</t>
        </is>
      </c>
      <c r="F1377" t="inlineStr">
        <is>
          <t>ENLACE</t>
        </is>
      </c>
      <c r="G1377" t="n">
        <v>9800220</v>
      </c>
      <c r="H1377" t="n">
        <v>1</v>
      </c>
      <c r="I1377" t="n">
        <v>1</v>
      </c>
      <c r="J1377" t="n">
        <v>8</v>
      </c>
      <c r="K1377" t="n">
        <v>8</v>
      </c>
      <c r="L1377" t="n">
        <v>8</v>
      </c>
      <c r="M1377" t="n">
        <v>8</v>
      </c>
      <c r="N1377" t="n">
        <v>8</v>
      </c>
      <c r="O1377" t="n">
        <v>40</v>
      </c>
      <c r="P1377" t="n">
        <v>8</v>
      </c>
      <c r="R1377" s="9" t="n">
        <v>0.08</v>
      </c>
      <c r="S1377" s="10" t="inlineStr">
        <is>
          <t>SÍ — integrante</t>
        </is>
      </c>
      <c r="T1377" s="11" t="inlineStr">
        <is>
          <t>B · INTEGRANTE</t>
        </is>
      </c>
      <c r="U1377" s="11" t="inlineStr">
        <is>
          <t>DEL BANCO (se hereda)</t>
        </is>
      </c>
      <c r="V1377" s="11" t="inlineStr">
        <is>
          <t>9154 · OTRAS ACTIVIDADES NO CLASIFICADAS</t>
        </is>
      </c>
      <c r="W1377" s="12" t="n"/>
      <c r="X1377" s="12" t="n"/>
    </row>
    <row r="1378" ht="15" customHeight="1">
      <c r="C1378" t="inlineStr">
        <is>
          <t>Actividad económica / giro mercantil</t>
        </is>
      </c>
      <c r="D1378" t="inlineStr">
        <is>
          <t>F12</t>
        </is>
      </c>
      <c r="E1378" t="inlineStr">
        <is>
          <t>INHERENTE</t>
        </is>
      </c>
      <c r="F1378" t="inlineStr">
        <is>
          <t>EMPLEADO DE GOBIERNO MUNICIPAL O DELEGACIONES (D.F)</t>
        </is>
      </c>
      <c r="G1378" t="n">
        <v>9800300</v>
      </c>
      <c r="H1378" t="n">
        <v>5</v>
      </c>
      <c r="I1378" t="n">
        <v>5</v>
      </c>
      <c r="J1378" t="n">
        <v>8</v>
      </c>
      <c r="K1378" t="n">
        <v>40</v>
      </c>
      <c r="L1378" t="n">
        <v>40</v>
      </c>
      <c r="M1378" t="n">
        <v>40</v>
      </c>
      <c r="N1378" t="n">
        <v>40</v>
      </c>
      <c r="O1378" t="n">
        <v>40</v>
      </c>
      <c r="P1378" t="n">
        <v>8</v>
      </c>
      <c r="R1378" s="9" t="n">
        <v>0.08</v>
      </c>
      <c r="S1378" s="10" t="inlineStr">
        <is>
          <t>SÍ — integrante</t>
        </is>
      </c>
      <c r="T1378" s="11" t="inlineStr">
        <is>
          <t>B · INTEGRANTE</t>
        </is>
      </c>
      <c r="U1378" s="11" t="inlineStr">
        <is>
          <t>DEL BANCO (se hereda)</t>
        </is>
      </c>
      <c r="V1378" s="11" t="inlineStr">
        <is>
          <t>9153 · GOBIERNO Y SECTOR PÚBLICO</t>
        </is>
      </c>
      <c r="W1378" s="12" t="n"/>
      <c r="X1378" s="12" t="n"/>
    </row>
    <row r="1379" ht="15" customHeight="1">
      <c r="C1379" t="inlineStr">
        <is>
          <t>Actividad económica / giro mercantil</t>
        </is>
      </c>
      <c r="D1379" t="inlineStr">
        <is>
          <t>F12</t>
        </is>
      </c>
      <c r="E1379" t="inlineStr">
        <is>
          <t>INHERENTE</t>
        </is>
      </c>
      <c r="F1379" t="inlineStr">
        <is>
          <t>PRESIDENTE MUNICIPAL O DELEGADO</t>
        </is>
      </c>
      <c r="G1379" t="n">
        <v>9800301</v>
      </c>
      <c r="H1379" t="n">
        <v>5</v>
      </c>
      <c r="I1379" t="n">
        <v>5</v>
      </c>
      <c r="J1379" t="n">
        <v>8</v>
      </c>
      <c r="K1379" t="n">
        <v>40</v>
      </c>
      <c r="L1379" t="n">
        <v>40</v>
      </c>
      <c r="M1379" t="n">
        <v>40</v>
      </c>
      <c r="N1379" t="n">
        <v>40</v>
      </c>
      <c r="O1379" t="n">
        <v>40</v>
      </c>
      <c r="P1379" t="n">
        <v>8</v>
      </c>
      <c r="R1379" s="9" t="n">
        <v>0.08</v>
      </c>
      <c r="S1379" s="10" t="inlineStr">
        <is>
          <t>SÍ — integrante</t>
        </is>
      </c>
      <c r="T1379" s="11" t="inlineStr">
        <is>
          <t>B · INTEGRANTE</t>
        </is>
      </c>
      <c r="U1379" s="11" t="inlineStr">
        <is>
          <t>DEL BANCO (se hereda)</t>
        </is>
      </c>
      <c r="V1379" s="11" t="inlineStr">
        <is>
          <t>9111 · SIN ACTIVIDAD DE RIESGO / ASALARIADO</t>
        </is>
      </c>
      <c r="W1379" s="12" t="n"/>
      <c r="X1379" s="12" t="n"/>
    </row>
    <row r="1380" ht="15" customHeight="1">
      <c r="C1380" t="inlineStr">
        <is>
          <t>Actividad económica / giro mercantil</t>
        </is>
      </c>
      <c r="D1380" t="inlineStr">
        <is>
          <t>F12</t>
        </is>
      </c>
      <c r="E1380" t="inlineStr">
        <is>
          <t>INHERENTE</t>
        </is>
      </c>
      <c r="F1380" t="inlineStr">
        <is>
          <t>SUB-DELEGADO</t>
        </is>
      </c>
      <c r="G1380" t="n">
        <v>9800302</v>
      </c>
      <c r="H1380" t="n">
        <v>5</v>
      </c>
      <c r="I1380" t="n">
        <v>5</v>
      </c>
      <c r="J1380" t="n">
        <v>8</v>
      </c>
      <c r="K1380" t="n">
        <v>40</v>
      </c>
      <c r="L1380" t="n">
        <v>40</v>
      </c>
      <c r="M1380" t="n">
        <v>40</v>
      </c>
      <c r="N1380" t="n">
        <v>40</v>
      </c>
      <c r="O1380" t="n">
        <v>40</v>
      </c>
      <c r="P1380" t="n">
        <v>8</v>
      </c>
      <c r="R1380" s="9" t="n">
        <v>0.08</v>
      </c>
      <c r="S1380" s="10" t="inlineStr">
        <is>
          <t>SÍ — integrante</t>
        </is>
      </c>
      <c r="T1380" s="11" t="inlineStr">
        <is>
          <t>B · INTEGRANTE</t>
        </is>
      </c>
      <c r="U1380" s="11" t="inlineStr">
        <is>
          <t>DEL BANCO (se hereda)</t>
        </is>
      </c>
      <c r="V1380" s="11" t="inlineStr">
        <is>
          <t>9111 · SIN ACTIVIDAD DE RIESGO / ASALARIADO</t>
        </is>
      </c>
      <c r="W1380" s="12" t="n"/>
      <c r="X1380" s="12" t="n"/>
    </row>
    <row r="1381" ht="15" customHeight="1">
      <c r="C1381" t="inlineStr">
        <is>
          <t>Actividad económica / giro mercantil</t>
        </is>
      </c>
      <c r="D1381" t="inlineStr">
        <is>
          <t>F12</t>
        </is>
      </c>
      <c r="E1381" t="inlineStr">
        <is>
          <t>INHERENTE</t>
        </is>
      </c>
      <c r="F1381" t="inlineStr">
        <is>
          <t>REGIDOR</t>
        </is>
      </c>
      <c r="G1381" t="n">
        <v>9800303</v>
      </c>
      <c r="H1381" t="n">
        <v>5</v>
      </c>
      <c r="I1381" t="n">
        <v>5</v>
      </c>
      <c r="J1381" t="n">
        <v>8</v>
      </c>
      <c r="K1381" t="n">
        <v>40</v>
      </c>
      <c r="L1381" t="n">
        <v>40</v>
      </c>
      <c r="M1381" t="n">
        <v>40</v>
      </c>
      <c r="N1381" t="n">
        <v>40</v>
      </c>
      <c r="O1381" t="n">
        <v>40</v>
      </c>
      <c r="P1381" t="n">
        <v>8</v>
      </c>
      <c r="R1381" s="9" t="n">
        <v>0.08</v>
      </c>
      <c r="S1381" s="10" t="inlineStr">
        <is>
          <t>SÍ — integrante</t>
        </is>
      </c>
      <c r="T1381" s="11" t="inlineStr">
        <is>
          <t>B · INTEGRANTE</t>
        </is>
      </c>
      <c r="U1381" s="11" t="inlineStr">
        <is>
          <t>DEL BANCO (se hereda)</t>
        </is>
      </c>
      <c r="V1381" s="11" t="inlineStr">
        <is>
          <t>9154 · OTRAS ACTIVIDADES NO CLASIFICADAS</t>
        </is>
      </c>
      <c r="W1381" s="12" t="n"/>
      <c r="X1381" s="12" t="n"/>
    </row>
    <row r="1382" ht="15" customHeight="1">
      <c r="C1382" t="inlineStr">
        <is>
          <t>Actividad económica / giro mercantil</t>
        </is>
      </c>
      <c r="D1382" t="inlineStr">
        <is>
          <t>F12</t>
        </is>
      </c>
      <c r="E1382" t="inlineStr">
        <is>
          <t>INHERENTE</t>
        </is>
      </c>
      <c r="F1382" t="inlineStr">
        <is>
          <t>DIRECTOR GENERAL</t>
        </is>
      </c>
      <c r="G1382" t="n">
        <v>9800304</v>
      </c>
      <c r="H1382" t="n">
        <v>2</v>
      </c>
      <c r="I1382" t="n">
        <v>2</v>
      </c>
      <c r="J1382" t="n">
        <v>8</v>
      </c>
      <c r="K1382" t="n">
        <v>16</v>
      </c>
      <c r="L1382" t="n">
        <v>16</v>
      </c>
      <c r="M1382" t="n">
        <v>16</v>
      </c>
      <c r="N1382" t="n">
        <v>16</v>
      </c>
      <c r="O1382" t="n">
        <v>40</v>
      </c>
      <c r="P1382" t="n">
        <v>8</v>
      </c>
      <c r="R1382" s="9" t="n">
        <v>0.08</v>
      </c>
      <c r="S1382" s="10" t="inlineStr">
        <is>
          <t>SÍ — integrante</t>
        </is>
      </c>
      <c r="T1382" s="11" t="inlineStr">
        <is>
          <t>B · INTEGRANTE</t>
        </is>
      </c>
      <c r="U1382" s="11" t="inlineStr">
        <is>
          <t>DEL BANCO (se hereda)</t>
        </is>
      </c>
      <c r="V1382" s="11" t="inlineStr">
        <is>
          <t>9111 · SIN ACTIVIDAD DE RIESGO / ASALARIADO</t>
        </is>
      </c>
      <c r="W1382" s="12" t="n"/>
      <c r="X1382" s="12" t="n"/>
    </row>
    <row r="1383" ht="15" customHeight="1">
      <c r="C1383" t="inlineStr">
        <is>
          <t>Actividad económica / giro mercantil</t>
        </is>
      </c>
      <c r="D1383" t="inlineStr">
        <is>
          <t>F12</t>
        </is>
      </c>
      <c r="E1383" t="inlineStr">
        <is>
          <t>INHERENTE</t>
        </is>
      </c>
      <c r="F1383" t="inlineStr">
        <is>
          <t>DIRECTOR</t>
        </is>
      </c>
      <c r="G1383" t="n">
        <v>9800305</v>
      </c>
      <c r="H1383" t="n">
        <v>2</v>
      </c>
      <c r="I1383" t="n">
        <v>2</v>
      </c>
      <c r="J1383" t="n">
        <v>8</v>
      </c>
      <c r="K1383" t="n">
        <v>16</v>
      </c>
      <c r="L1383" t="n">
        <v>16</v>
      </c>
      <c r="M1383" t="n">
        <v>16</v>
      </c>
      <c r="N1383" t="n">
        <v>16</v>
      </c>
      <c r="O1383" t="n">
        <v>40</v>
      </c>
      <c r="P1383" t="n">
        <v>8</v>
      </c>
      <c r="R1383" s="9" t="n">
        <v>0.08</v>
      </c>
      <c r="S1383" s="10" t="inlineStr">
        <is>
          <t>SÍ — integrante</t>
        </is>
      </c>
      <c r="T1383" s="11" t="inlineStr">
        <is>
          <t>B · INTEGRANTE</t>
        </is>
      </c>
      <c r="U1383" s="11" t="inlineStr">
        <is>
          <t>DEL BANCO (se hereda)</t>
        </is>
      </c>
      <c r="V1383" s="11" t="inlineStr">
        <is>
          <t>9111 · SIN ACTIVIDAD DE RIESGO / ASALARIADO</t>
        </is>
      </c>
      <c r="W1383" s="12" t="n"/>
      <c r="X1383" s="12" t="n"/>
    </row>
    <row r="1384" ht="15" customHeight="1">
      <c r="C1384" t="inlineStr">
        <is>
          <t>Actividad económica / giro mercantil</t>
        </is>
      </c>
      <c r="D1384" t="inlineStr">
        <is>
          <t>F12</t>
        </is>
      </c>
      <c r="E1384" t="inlineStr">
        <is>
          <t>INHERENTE</t>
        </is>
      </c>
      <c r="F1384" t="inlineStr">
        <is>
          <t>SUBDIRECTOR</t>
        </is>
      </c>
      <c r="G1384" t="n">
        <v>9800306</v>
      </c>
      <c r="H1384" t="n">
        <v>1</v>
      </c>
      <c r="I1384" t="n">
        <v>1</v>
      </c>
      <c r="J1384" t="n">
        <v>8</v>
      </c>
      <c r="K1384" t="n">
        <v>8</v>
      </c>
      <c r="L1384" t="n">
        <v>8</v>
      </c>
      <c r="M1384" t="n">
        <v>8</v>
      </c>
      <c r="N1384" t="n">
        <v>8</v>
      </c>
      <c r="O1384" t="n">
        <v>40</v>
      </c>
      <c r="P1384" t="n">
        <v>8</v>
      </c>
      <c r="R1384" s="9" t="n">
        <v>0.08</v>
      </c>
      <c r="S1384" s="10" t="inlineStr">
        <is>
          <t>SÍ — integrante</t>
        </is>
      </c>
      <c r="T1384" s="11" t="inlineStr">
        <is>
          <t>B · INTEGRANTE</t>
        </is>
      </c>
      <c r="U1384" s="11" t="inlineStr">
        <is>
          <t>DEL BANCO (se hereda)</t>
        </is>
      </c>
      <c r="V1384" s="11" t="inlineStr">
        <is>
          <t>9111 · SIN ACTIVIDAD DE RIESGO / ASALARIADO</t>
        </is>
      </c>
      <c r="W1384" s="12" t="n"/>
      <c r="X1384" s="12" t="n"/>
    </row>
    <row r="1385" ht="15" customHeight="1">
      <c r="C1385" t="inlineStr">
        <is>
          <t>Actividad económica / giro mercantil</t>
        </is>
      </c>
      <c r="D1385" t="inlineStr">
        <is>
          <t>F12</t>
        </is>
      </c>
      <c r="E1385" t="inlineStr">
        <is>
          <t>INHERENTE</t>
        </is>
      </c>
      <c r="F1385" t="inlineStr">
        <is>
          <t>JEFE DE DEPARTAMENTO</t>
        </is>
      </c>
      <c r="G1385" t="n">
        <v>9800307</v>
      </c>
      <c r="H1385" t="n">
        <v>1</v>
      </c>
      <c r="I1385" t="n">
        <v>1</v>
      </c>
      <c r="J1385" t="n">
        <v>8</v>
      </c>
      <c r="K1385" t="n">
        <v>8</v>
      </c>
      <c r="L1385" t="n">
        <v>8</v>
      </c>
      <c r="M1385" t="n">
        <v>8</v>
      </c>
      <c r="N1385" t="n">
        <v>8</v>
      </c>
      <c r="O1385" t="n">
        <v>40</v>
      </c>
      <c r="P1385" t="n">
        <v>8</v>
      </c>
      <c r="R1385" s="9" t="n">
        <v>0.08</v>
      </c>
      <c r="S1385" s="10" t="inlineStr">
        <is>
          <t>SÍ — integrante</t>
        </is>
      </c>
      <c r="T1385" s="11" t="inlineStr">
        <is>
          <t>B · INTEGRANTE</t>
        </is>
      </c>
      <c r="U1385" s="11" t="inlineStr">
        <is>
          <t>DEL BANCO (se hereda)</t>
        </is>
      </c>
      <c r="V1385" s="11" t="inlineStr">
        <is>
          <t>9154 · OTRAS ACTIVIDADES NO CLASIFICADAS</t>
        </is>
      </c>
      <c r="W1385" s="12" t="n"/>
      <c r="X1385" s="12" t="n"/>
    </row>
    <row r="1386" ht="15" customHeight="1">
      <c r="C1386" t="inlineStr">
        <is>
          <t>Actividad económica / giro mercantil</t>
        </is>
      </c>
      <c r="D1386" t="inlineStr">
        <is>
          <t>F12</t>
        </is>
      </c>
      <c r="E1386" t="inlineStr">
        <is>
          <t>INHERENTE</t>
        </is>
      </c>
      <c r="F1386" t="inlineStr">
        <is>
          <t>COORDINADOR DE ÁREA O TÉCNICO</t>
        </is>
      </c>
      <c r="G1386" t="n">
        <v>9800308</v>
      </c>
      <c r="H1386" t="n">
        <v>1</v>
      </c>
      <c r="I1386" t="n">
        <v>1</v>
      </c>
      <c r="J1386" t="n">
        <v>8</v>
      </c>
      <c r="K1386" t="n">
        <v>8</v>
      </c>
      <c r="L1386" t="n">
        <v>8</v>
      </c>
      <c r="M1386" t="n">
        <v>8</v>
      </c>
      <c r="N1386" t="n">
        <v>8</v>
      </c>
      <c r="O1386" t="n">
        <v>40</v>
      </c>
      <c r="P1386" t="n">
        <v>8</v>
      </c>
      <c r="R1386" s="9" t="n">
        <v>0.08</v>
      </c>
      <c r="S1386" s="10" t="inlineStr">
        <is>
          <t>SÍ — integrante</t>
        </is>
      </c>
      <c r="T1386" s="11" t="inlineStr">
        <is>
          <t>B · INTEGRANTE</t>
        </is>
      </c>
      <c r="U1386" s="11" t="inlineStr">
        <is>
          <t>DEL BANCO (se hereda)</t>
        </is>
      </c>
      <c r="V1386" s="11" t="inlineStr">
        <is>
          <t>9154 · OTRAS ACTIVIDADES NO CLASIFICADAS</t>
        </is>
      </c>
      <c r="W1386" s="12" t="n"/>
      <c r="X1386" s="12" t="n"/>
    </row>
    <row r="1387" ht="15" customHeight="1">
      <c r="C1387" t="inlineStr">
        <is>
          <t>Actividad económica / giro mercantil</t>
        </is>
      </c>
      <c r="D1387" t="inlineStr">
        <is>
          <t>F12</t>
        </is>
      </c>
      <c r="E1387" t="inlineStr">
        <is>
          <t>INHERENTE</t>
        </is>
      </c>
      <c r="F1387" t="inlineStr">
        <is>
          <t>ANALISTA</t>
        </is>
      </c>
      <c r="G1387" t="n">
        <v>9800309</v>
      </c>
      <c r="H1387" t="n">
        <v>1</v>
      </c>
      <c r="I1387" t="n">
        <v>1</v>
      </c>
      <c r="J1387" t="n">
        <v>8</v>
      </c>
      <c r="K1387" t="n">
        <v>8</v>
      </c>
      <c r="L1387" t="n">
        <v>8</v>
      </c>
      <c r="M1387" t="n">
        <v>8</v>
      </c>
      <c r="N1387" t="n">
        <v>8</v>
      </c>
      <c r="O1387" t="n">
        <v>40</v>
      </c>
      <c r="P1387" t="n">
        <v>8</v>
      </c>
      <c r="R1387" s="9" t="n">
        <v>0.08</v>
      </c>
      <c r="S1387" s="10" t="inlineStr">
        <is>
          <t>SÍ — integrante</t>
        </is>
      </c>
      <c r="T1387" s="11" t="inlineStr">
        <is>
          <t>B · INTEGRANTE</t>
        </is>
      </c>
      <c r="U1387" s="11" t="inlineStr">
        <is>
          <t>DEL BANCO (se hereda)</t>
        </is>
      </c>
      <c r="V1387" s="11" t="inlineStr">
        <is>
          <t>9154 · OTRAS ACTIVIDADES NO CLASIFICADAS</t>
        </is>
      </c>
      <c r="W1387" s="12" t="n"/>
      <c r="X1387" s="12" t="n"/>
    </row>
    <row r="1388" ht="15" customHeight="1">
      <c r="C1388" t="inlineStr">
        <is>
          <t>Actividad económica / giro mercantil</t>
        </is>
      </c>
      <c r="D1388" t="inlineStr">
        <is>
          <t>F12</t>
        </is>
      </c>
      <c r="E1388" t="inlineStr">
        <is>
          <t>INHERENTE</t>
        </is>
      </c>
      <c r="F1388" t="inlineStr">
        <is>
          <t>ENLACE Ó AUXILIAR ADMINISTRATIVO</t>
        </is>
      </c>
      <c r="G1388" t="n">
        <v>9800310</v>
      </c>
      <c r="H1388" t="n">
        <v>1</v>
      </c>
      <c r="I1388" t="n">
        <v>1</v>
      </c>
      <c r="J1388" t="n">
        <v>8</v>
      </c>
      <c r="K1388" t="n">
        <v>8</v>
      </c>
      <c r="L1388" t="n">
        <v>8</v>
      </c>
      <c r="M1388" t="n">
        <v>8</v>
      </c>
      <c r="N1388" t="n">
        <v>8</v>
      </c>
      <c r="O1388" t="n">
        <v>40</v>
      </c>
      <c r="P1388" t="n">
        <v>8</v>
      </c>
      <c r="R1388" s="9" t="n">
        <v>0.08</v>
      </c>
      <c r="S1388" s="10" t="inlineStr">
        <is>
          <t>SÍ — integrante</t>
        </is>
      </c>
      <c r="T1388" s="11" t="inlineStr">
        <is>
          <t>B · INTEGRANTE</t>
        </is>
      </c>
      <c r="U1388" s="11" t="inlineStr">
        <is>
          <t>DEL BANCO (se hereda)</t>
        </is>
      </c>
      <c r="V1388" s="11" t="inlineStr">
        <is>
          <t>9111 · SIN ACTIVIDAD DE RIESGO / ASALARIADO</t>
        </is>
      </c>
      <c r="W1388" s="12" t="n"/>
      <c r="X1388" s="12" t="n"/>
    </row>
    <row r="1389" ht="15" customHeight="1">
      <c r="C1389" t="inlineStr">
        <is>
          <t>Actividad económica / giro mercantil</t>
        </is>
      </c>
      <c r="D1389" t="inlineStr">
        <is>
          <t>F12</t>
        </is>
      </c>
      <c r="E1389" t="inlineStr">
        <is>
          <t>INHERENTE</t>
        </is>
      </c>
      <c r="F1389" t="inlineStr">
        <is>
          <t>POLICÍA</t>
        </is>
      </c>
      <c r="G1389" t="n">
        <v>9800311</v>
      </c>
      <c r="H1389" t="n">
        <v>2</v>
      </c>
      <c r="I1389" t="n">
        <v>2</v>
      </c>
      <c r="J1389" t="n">
        <v>8</v>
      </c>
      <c r="K1389" t="n">
        <v>16</v>
      </c>
      <c r="L1389" t="n">
        <v>16</v>
      </c>
      <c r="M1389" t="n">
        <v>16</v>
      </c>
      <c r="N1389" t="n">
        <v>16</v>
      </c>
      <c r="O1389" t="n">
        <v>40</v>
      </c>
      <c r="P1389" t="n">
        <v>8</v>
      </c>
      <c r="R1389" s="9" t="n">
        <v>0.08</v>
      </c>
      <c r="S1389" s="10" t="inlineStr">
        <is>
          <t>SÍ — integrante</t>
        </is>
      </c>
      <c r="T1389" s="11" t="inlineStr">
        <is>
          <t>B · INTEGRANTE</t>
        </is>
      </c>
      <c r="U1389" s="11" t="inlineStr">
        <is>
          <t>DEL BANCO (se hereda)</t>
        </is>
      </c>
      <c r="V1389" s="11" t="inlineStr">
        <is>
          <t>9153 · GOBIERNO Y SECTOR PÚBLICO</t>
        </is>
      </c>
      <c r="W1389" s="12" t="n"/>
      <c r="X1389" s="12" t="n"/>
    </row>
    <row r="1390" ht="15" customHeight="1">
      <c r="C1390" t="inlineStr">
        <is>
          <t>Actividad económica / giro mercantil</t>
        </is>
      </c>
      <c r="D1390" t="inlineStr">
        <is>
          <t>F12</t>
        </is>
      </c>
      <c r="E1390" t="inlineStr">
        <is>
          <t>INHERENTE</t>
        </is>
      </c>
      <c r="F1390" t="inlineStr">
        <is>
          <t>INSPECTOR</t>
        </is>
      </c>
      <c r="G1390" t="n">
        <v>9800312</v>
      </c>
      <c r="H1390" t="n">
        <v>2</v>
      </c>
      <c r="I1390" t="n">
        <v>2</v>
      </c>
      <c r="J1390" t="n">
        <v>8</v>
      </c>
      <c r="K1390" t="n">
        <v>16</v>
      </c>
      <c r="L1390" t="n">
        <v>16</v>
      </c>
      <c r="M1390" t="n">
        <v>16</v>
      </c>
      <c r="N1390" t="n">
        <v>16</v>
      </c>
      <c r="O1390" t="n">
        <v>40</v>
      </c>
      <c r="P1390" t="n">
        <v>8</v>
      </c>
      <c r="R1390" s="9" t="n">
        <v>0.08</v>
      </c>
      <c r="S1390" s="10" t="inlineStr">
        <is>
          <t>SÍ — integrante</t>
        </is>
      </c>
      <c r="T1390" s="11" t="inlineStr">
        <is>
          <t>B · INTEGRANTE</t>
        </is>
      </c>
      <c r="U1390" s="11" t="inlineStr">
        <is>
          <t>DEL BANCO (se hereda)</t>
        </is>
      </c>
      <c r="V1390" s="11" t="inlineStr">
        <is>
          <t>9154 · OTRAS ACTIVIDADES NO CLASIFICADAS</t>
        </is>
      </c>
      <c r="W1390" s="12" t="n"/>
      <c r="X1390" s="12" t="n"/>
    </row>
    <row r="1391" ht="15" customHeight="1">
      <c r="C1391" t="inlineStr">
        <is>
          <t>Actividad económica / giro mercantil</t>
        </is>
      </c>
      <c r="D1391" t="inlineStr">
        <is>
          <t>F12</t>
        </is>
      </c>
      <c r="E1391" t="inlineStr">
        <is>
          <t>INHERENTE</t>
        </is>
      </c>
      <c r="F1391" t="inlineStr">
        <is>
          <t>EMPLEADO DEL PODER JUDICIAL</t>
        </is>
      </c>
      <c r="G1391" t="n">
        <v>9800400</v>
      </c>
      <c r="H1391" t="n">
        <v>5</v>
      </c>
      <c r="I1391" t="n">
        <v>5</v>
      </c>
      <c r="J1391" t="n">
        <v>8</v>
      </c>
      <c r="K1391" t="n">
        <v>40</v>
      </c>
      <c r="L1391" t="n">
        <v>40</v>
      </c>
      <c r="M1391" t="n">
        <v>40</v>
      </c>
      <c r="N1391" t="n">
        <v>40</v>
      </c>
      <c r="O1391" t="n">
        <v>40</v>
      </c>
      <c r="P1391" t="n">
        <v>8</v>
      </c>
      <c r="R1391" s="9" t="n">
        <v>0.08</v>
      </c>
      <c r="S1391" s="10" t="inlineStr">
        <is>
          <t>SÍ — integrante</t>
        </is>
      </c>
      <c r="T1391" s="11" t="inlineStr">
        <is>
          <t>B · INTEGRANTE</t>
        </is>
      </c>
      <c r="U1391" s="11" t="inlineStr">
        <is>
          <t>DEL BANCO (se hereda)</t>
        </is>
      </c>
      <c r="V1391" s="11" t="inlineStr">
        <is>
          <t>9111 · SIN ACTIVIDAD DE RIESGO / ASALARIADO</t>
        </is>
      </c>
      <c r="W1391" s="12" t="n"/>
      <c r="X1391" s="12" t="n"/>
    </row>
    <row r="1392" ht="15" customHeight="1">
      <c r="C1392" t="inlineStr">
        <is>
          <t>Actividad económica / giro mercantil</t>
        </is>
      </c>
      <c r="D1392" t="inlineStr">
        <is>
          <t>F12</t>
        </is>
      </c>
      <c r="E1392" t="inlineStr">
        <is>
          <t>INHERENTE</t>
        </is>
      </c>
      <c r="F1392" t="inlineStr">
        <is>
          <t>MINISTRO DE LA SUPREMA CORTE DE JUSTICIA DE LA NACIÓN</t>
        </is>
      </c>
      <c r="G1392" t="n">
        <v>9800401</v>
      </c>
      <c r="H1392" t="n">
        <v>5</v>
      </c>
      <c r="I1392" t="n">
        <v>5</v>
      </c>
      <c r="J1392" t="n">
        <v>8</v>
      </c>
      <c r="K1392" t="n">
        <v>40</v>
      </c>
      <c r="L1392" t="n">
        <v>40</v>
      </c>
      <c r="M1392" t="n">
        <v>40</v>
      </c>
      <c r="N1392" t="n">
        <v>40</v>
      </c>
      <c r="O1392" t="n">
        <v>40</v>
      </c>
      <c r="P1392" t="n">
        <v>8</v>
      </c>
      <c r="R1392" s="9" t="n">
        <v>0.08</v>
      </c>
      <c r="S1392" s="10" t="inlineStr">
        <is>
          <t>SÍ — integrante</t>
        </is>
      </c>
      <c r="T1392" s="11" t="inlineStr">
        <is>
          <t>B · INTEGRANTE</t>
        </is>
      </c>
      <c r="U1392" s="11" t="inlineStr">
        <is>
          <t>DEL BANCO (se hereda)</t>
        </is>
      </c>
      <c r="V1392" s="11" t="inlineStr">
        <is>
          <t>9154 · OTRAS ACTIVIDADES NO CLASIFICADAS</t>
        </is>
      </c>
      <c r="W1392" s="12" t="n"/>
      <c r="X1392" s="12" t="n"/>
    </row>
    <row r="1393" ht="15" customHeight="1">
      <c r="C1393" t="inlineStr">
        <is>
          <t>Actividad económica / giro mercantil</t>
        </is>
      </c>
      <c r="D1393" t="inlineStr">
        <is>
          <t>F12</t>
        </is>
      </c>
      <c r="E1393" t="inlineStr">
        <is>
          <t>INHERENTE</t>
        </is>
      </c>
      <c r="F1393" t="inlineStr">
        <is>
          <t>MAGISTRADO FEDERAL</t>
        </is>
      </c>
      <c r="G1393" t="n">
        <v>9800402</v>
      </c>
      <c r="H1393" t="n">
        <v>5</v>
      </c>
      <c r="I1393" t="n">
        <v>5</v>
      </c>
      <c r="J1393" t="n">
        <v>8</v>
      </c>
      <c r="K1393" t="n">
        <v>40</v>
      </c>
      <c r="L1393" t="n">
        <v>40</v>
      </c>
      <c r="M1393" t="n">
        <v>40</v>
      </c>
      <c r="N1393" t="n">
        <v>40</v>
      </c>
      <c r="O1393" t="n">
        <v>40</v>
      </c>
      <c r="P1393" t="n">
        <v>8</v>
      </c>
      <c r="R1393" s="9" t="n">
        <v>0.08</v>
      </c>
      <c r="S1393" s="10" t="inlineStr">
        <is>
          <t>SÍ — integrante</t>
        </is>
      </c>
      <c r="T1393" s="11" t="inlineStr">
        <is>
          <t>B · INTEGRANTE</t>
        </is>
      </c>
      <c r="U1393" s="11" t="inlineStr">
        <is>
          <t>DEL BANCO (se hereda)</t>
        </is>
      </c>
      <c r="V1393" s="11" t="inlineStr">
        <is>
          <t>9153 · GOBIERNO Y SECTOR PÚBLICO</t>
        </is>
      </c>
      <c r="W1393" s="12" t="n"/>
      <c r="X1393" s="12" t="n"/>
    </row>
    <row r="1394" ht="15" customHeight="1">
      <c r="C1394" t="inlineStr">
        <is>
          <t>Actividad económica / giro mercantil</t>
        </is>
      </c>
      <c r="D1394" t="inlineStr">
        <is>
          <t>F12</t>
        </is>
      </c>
      <c r="E1394" t="inlineStr">
        <is>
          <t>INHERENTE</t>
        </is>
      </c>
      <c r="F1394" t="inlineStr">
        <is>
          <t>JUEZ FEDERAL</t>
        </is>
      </c>
      <c r="G1394" t="n">
        <v>9800403</v>
      </c>
      <c r="H1394" t="n">
        <v>5</v>
      </c>
      <c r="I1394" t="n">
        <v>5</v>
      </c>
      <c r="J1394" t="n">
        <v>8</v>
      </c>
      <c r="K1394" t="n">
        <v>40</v>
      </c>
      <c r="L1394" t="n">
        <v>40</v>
      </c>
      <c r="M1394" t="n">
        <v>40</v>
      </c>
      <c r="N1394" t="n">
        <v>40</v>
      </c>
      <c r="O1394" t="n">
        <v>40</v>
      </c>
      <c r="P1394" t="n">
        <v>8</v>
      </c>
      <c r="R1394" s="9" t="n">
        <v>0.08</v>
      </c>
      <c r="S1394" s="10" t="inlineStr">
        <is>
          <t>SÍ — integrante</t>
        </is>
      </c>
      <c r="T1394" s="11" t="inlineStr">
        <is>
          <t>B · INTEGRANTE</t>
        </is>
      </c>
      <c r="U1394" s="11" t="inlineStr">
        <is>
          <t>DEL BANCO (se hereda)</t>
        </is>
      </c>
      <c r="V1394" s="11" t="inlineStr">
        <is>
          <t>9153 · GOBIERNO Y SECTOR PÚBLICO</t>
        </is>
      </c>
      <c r="W1394" s="12" t="n"/>
      <c r="X1394" s="12" t="n"/>
    </row>
    <row r="1395" ht="15" customHeight="1">
      <c r="C1395" t="inlineStr">
        <is>
          <t>Actividad económica / giro mercantil</t>
        </is>
      </c>
      <c r="D1395" t="inlineStr">
        <is>
          <t>F12</t>
        </is>
      </c>
      <c r="E1395" t="inlineStr">
        <is>
          <t>INHERENTE</t>
        </is>
      </c>
      <c r="F1395" t="inlineStr">
        <is>
          <t>EMPLEADO DEL PODER JUDICIAL FEDERAL (SECRETARIOS, ACTUARIOS, ETC)</t>
        </is>
      </c>
      <c r="G1395" t="n">
        <v>9800404</v>
      </c>
      <c r="H1395" t="n">
        <v>5</v>
      </c>
      <c r="I1395" t="n">
        <v>5</v>
      </c>
      <c r="J1395" t="n">
        <v>8</v>
      </c>
      <c r="K1395" t="n">
        <v>40</v>
      </c>
      <c r="L1395" t="n">
        <v>40</v>
      </c>
      <c r="M1395" t="n">
        <v>40</v>
      </c>
      <c r="N1395" t="n">
        <v>40</v>
      </c>
      <c r="O1395" t="n">
        <v>40</v>
      </c>
      <c r="P1395" t="n">
        <v>8</v>
      </c>
      <c r="R1395" s="9" t="n">
        <v>0.08</v>
      </c>
      <c r="S1395" s="10" t="inlineStr">
        <is>
          <t>SÍ — integrante</t>
        </is>
      </c>
      <c r="T1395" s="11" t="inlineStr">
        <is>
          <t>B · INTEGRANTE</t>
        </is>
      </c>
      <c r="U1395" s="11" t="inlineStr">
        <is>
          <t>DEL BANCO (se hereda)</t>
        </is>
      </c>
      <c r="V1395" s="11" t="inlineStr">
        <is>
          <t>9111 · SIN ACTIVIDAD DE RIESGO / ASALARIADO</t>
        </is>
      </c>
      <c r="W1395" s="12" t="n"/>
      <c r="X1395" s="12" t="n"/>
    </row>
    <row r="1396" ht="15" customHeight="1">
      <c r="C1396" t="inlineStr">
        <is>
          <t>Actividad económica / giro mercantil</t>
        </is>
      </c>
      <c r="D1396" t="inlineStr">
        <is>
          <t>F12</t>
        </is>
      </c>
      <c r="E1396" t="inlineStr">
        <is>
          <t>INHERENTE</t>
        </is>
      </c>
      <c r="F1396" t="inlineStr">
        <is>
          <t>MAGISTRADO DE ENTIDAD FEDERATIVA</t>
        </is>
      </c>
      <c r="G1396" t="n">
        <v>9800405</v>
      </c>
      <c r="H1396" t="n">
        <v>5</v>
      </c>
      <c r="I1396" t="n">
        <v>5</v>
      </c>
      <c r="J1396" t="n">
        <v>8</v>
      </c>
      <c r="K1396" t="n">
        <v>40</v>
      </c>
      <c r="L1396" t="n">
        <v>40</v>
      </c>
      <c r="M1396" t="n">
        <v>40</v>
      </c>
      <c r="N1396" t="n">
        <v>40</v>
      </c>
      <c r="O1396" t="n">
        <v>40</v>
      </c>
      <c r="P1396" t="n">
        <v>8</v>
      </c>
      <c r="R1396" s="9" t="n">
        <v>0.08</v>
      </c>
      <c r="S1396" s="10" t="inlineStr">
        <is>
          <t>SÍ — integrante</t>
        </is>
      </c>
      <c r="T1396" s="11" t="inlineStr">
        <is>
          <t>B · INTEGRANTE</t>
        </is>
      </c>
      <c r="U1396" s="11" t="inlineStr">
        <is>
          <t>DEL BANCO (se hereda)</t>
        </is>
      </c>
      <c r="V1396" s="11" t="inlineStr">
        <is>
          <t>9153 · GOBIERNO Y SECTOR PÚBLICO</t>
        </is>
      </c>
      <c r="W1396" s="12" t="n"/>
      <c r="X1396" s="12" t="n"/>
    </row>
    <row r="1397" ht="15" customHeight="1">
      <c r="C1397" t="inlineStr">
        <is>
          <t>Actividad económica / giro mercantil</t>
        </is>
      </c>
      <c r="D1397" t="inlineStr">
        <is>
          <t>F12</t>
        </is>
      </c>
      <c r="E1397" t="inlineStr">
        <is>
          <t>INHERENTE</t>
        </is>
      </c>
      <c r="F1397" t="inlineStr">
        <is>
          <t>JUEZ DE ENTIDAD FEDERATIVA</t>
        </is>
      </c>
      <c r="G1397" t="n">
        <v>9800406</v>
      </c>
      <c r="H1397" t="n">
        <v>5</v>
      </c>
      <c r="I1397" t="n">
        <v>5</v>
      </c>
      <c r="J1397" t="n">
        <v>8</v>
      </c>
      <c r="K1397" t="n">
        <v>40</v>
      </c>
      <c r="L1397" t="n">
        <v>40</v>
      </c>
      <c r="M1397" t="n">
        <v>40</v>
      </c>
      <c r="N1397" t="n">
        <v>40</v>
      </c>
      <c r="O1397" t="n">
        <v>40</v>
      </c>
      <c r="P1397" t="n">
        <v>8</v>
      </c>
      <c r="R1397" s="9" t="n">
        <v>0.08</v>
      </c>
      <c r="S1397" s="10" t="inlineStr">
        <is>
          <t>SÍ — integrante</t>
        </is>
      </c>
      <c r="T1397" s="11" t="inlineStr">
        <is>
          <t>B · INTEGRANTE</t>
        </is>
      </c>
      <c r="U1397" s="11" t="inlineStr">
        <is>
          <t>DEL BANCO (se hereda)</t>
        </is>
      </c>
      <c r="V1397" s="11" t="inlineStr">
        <is>
          <t>9153 · GOBIERNO Y SECTOR PÚBLICO</t>
        </is>
      </c>
      <c r="W1397" s="12" t="n"/>
      <c r="X1397" s="12" t="n"/>
    </row>
    <row r="1398" ht="15" customHeight="1">
      <c r="C1398" t="inlineStr">
        <is>
          <t>Actividad económica / giro mercantil</t>
        </is>
      </c>
      <c r="D1398" t="inlineStr">
        <is>
          <t>F12</t>
        </is>
      </c>
      <c r="E1398" t="inlineStr">
        <is>
          <t>INHERENTE</t>
        </is>
      </c>
      <c r="F1398" t="inlineStr">
        <is>
          <t>EMPLEADO DEL PODER JUDICIAL DE ENTIDAD FEDERATIVA (SECRETARIOS, ACTUARIOS, ETC)</t>
        </is>
      </c>
      <c r="G1398" t="n">
        <v>9800407</v>
      </c>
      <c r="H1398" t="n">
        <v>5</v>
      </c>
      <c r="I1398" t="n">
        <v>5</v>
      </c>
      <c r="J1398" t="n">
        <v>8</v>
      </c>
      <c r="K1398" t="n">
        <v>40</v>
      </c>
      <c r="L1398" t="n">
        <v>40</v>
      </c>
      <c r="M1398" t="n">
        <v>40</v>
      </c>
      <c r="N1398" t="n">
        <v>40</v>
      </c>
      <c r="O1398" t="n">
        <v>40</v>
      </c>
      <c r="P1398" t="n">
        <v>8</v>
      </c>
      <c r="R1398" s="9" t="n">
        <v>0.08</v>
      </c>
      <c r="S1398" s="10" t="inlineStr">
        <is>
          <t>SÍ — integrante</t>
        </is>
      </c>
      <c r="T1398" s="11" t="inlineStr">
        <is>
          <t>B · INTEGRANTE</t>
        </is>
      </c>
      <c r="U1398" s="11" t="inlineStr">
        <is>
          <t>DEL BANCO (se hereda)</t>
        </is>
      </c>
      <c r="V1398" s="11" t="inlineStr">
        <is>
          <t>9111 · SIN ACTIVIDAD DE RIESGO / ASALARIADO</t>
        </is>
      </c>
      <c r="W1398" s="12" t="n"/>
      <c r="X1398" s="12" t="n"/>
    </row>
    <row r="1399" ht="15" customHeight="1">
      <c r="C1399" t="inlineStr">
        <is>
          <t>Actividad económica / giro mercantil</t>
        </is>
      </c>
      <c r="D1399" t="inlineStr">
        <is>
          <t>F12</t>
        </is>
      </c>
      <c r="E1399" t="inlineStr">
        <is>
          <t>INHERENTE</t>
        </is>
      </c>
      <c r="F1399" t="inlineStr">
        <is>
          <t>JUEZ MUNICIPAL Ó DE DELEGACIÓN</t>
        </is>
      </c>
      <c r="G1399" t="n">
        <v>9800408</v>
      </c>
      <c r="H1399" t="n">
        <v>5</v>
      </c>
      <c r="I1399" t="n">
        <v>5</v>
      </c>
      <c r="J1399" t="n">
        <v>8</v>
      </c>
      <c r="K1399" t="n">
        <v>40</v>
      </c>
      <c r="L1399" t="n">
        <v>40</v>
      </c>
      <c r="M1399" t="n">
        <v>40</v>
      </c>
      <c r="N1399" t="n">
        <v>40</v>
      </c>
      <c r="O1399" t="n">
        <v>40</v>
      </c>
      <c r="P1399" t="n">
        <v>8</v>
      </c>
      <c r="R1399" s="9" t="n">
        <v>0.08</v>
      </c>
      <c r="S1399" s="10" t="inlineStr">
        <is>
          <t>SÍ — integrante</t>
        </is>
      </c>
      <c r="T1399" s="11" t="inlineStr">
        <is>
          <t>B · INTEGRANTE</t>
        </is>
      </c>
      <c r="U1399" s="11" t="inlineStr">
        <is>
          <t>DEL BANCO (se hereda)</t>
        </is>
      </c>
      <c r="V1399" s="11" t="inlineStr">
        <is>
          <t>9153 · GOBIERNO Y SECTOR PÚBLICO</t>
        </is>
      </c>
      <c r="W1399" s="12" t="n"/>
      <c r="X1399" s="12" t="n"/>
    </row>
    <row r="1400" ht="15" customHeight="1">
      <c r="C1400" t="inlineStr">
        <is>
          <t>Actividad económica / giro mercantil</t>
        </is>
      </c>
      <c r="D1400" t="inlineStr">
        <is>
          <t>F12</t>
        </is>
      </c>
      <c r="E1400" t="inlineStr">
        <is>
          <t>INHERENTE</t>
        </is>
      </c>
      <c r="F1400" t="inlineStr">
        <is>
          <t>EMPLEADO DEL PODER JUDICIAL DE MUNICIPIO Ó DELEGACIÓN (SECRETARIOS, ACTUARIOS, ETC)</t>
        </is>
      </c>
      <c r="G1400" t="n">
        <v>9800409</v>
      </c>
      <c r="H1400" t="n">
        <v>5</v>
      </c>
      <c r="I1400" t="n">
        <v>5</v>
      </c>
      <c r="J1400" t="n">
        <v>8</v>
      </c>
      <c r="K1400" t="n">
        <v>40</v>
      </c>
      <c r="L1400" t="n">
        <v>40</v>
      </c>
      <c r="M1400" t="n">
        <v>40</v>
      </c>
      <c r="N1400" t="n">
        <v>40</v>
      </c>
      <c r="O1400" t="n">
        <v>40</v>
      </c>
      <c r="P1400" t="n">
        <v>8</v>
      </c>
      <c r="R1400" s="9" t="n">
        <v>0.08</v>
      </c>
      <c r="S1400" s="10" t="inlineStr">
        <is>
          <t>SÍ — integrante</t>
        </is>
      </c>
      <c r="T1400" s="11" t="inlineStr">
        <is>
          <t>B · INTEGRANTE</t>
        </is>
      </c>
      <c r="U1400" s="11" t="inlineStr">
        <is>
          <t>DEL BANCO (se hereda)</t>
        </is>
      </c>
      <c r="V1400" s="11" t="inlineStr">
        <is>
          <t>9153 · GOBIERNO Y SECTOR PÚBLICO</t>
        </is>
      </c>
      <c r="W1400" s="12" t="n"/>
      <c r="X1400" s="12" t="n"/>
    </row>
    <row r="1401" ht="15" customHeight="1">
      <c r="C1401" t="inlineStr">
        <is>
          <t>Actividad económica / giro mercantil</t>
        </is>
      </c>
      <c r="D1401" t="inlineStr">
        <is>
          <t>F12</t>
        </is>
      </c>
      <c r="E1401" t="inlineStr">
        <is>
          <t>INHERENTE</t>
        </is>
      </c>
      <c r="F1401" t="inlineStr">
        <is>
          <t>SERVICIOS DE ORGANIZACIONES INTERNACIONALES Y OTROS ORGANISMOS EXTRATERRITORIALES (U.I.F)</t>
        </is>
      </c>
      <c r="G1401" t="n">
        <v>9900003</v>
      </c>
      <c r="H1401" t="n">
        <v>1</v>
      </c>
      <c r="I1401" t="n">
        <v>1</v>
      </c>
      <c r="J1401" t="n">
        <v>8</v>
      </c>
      <c r="K1401" t="n">
        <v>8</v>
      </c>
      <c r="L1401" t="n">
        <v>8</v>
      </c>
      <c r="M1401" t="n">
        <v>8</v>
      </c>
      <c r="N1401" t="n">
        <v>8</v>
      </c>
      <c r="O1401" t="n">
        <v>40</v>
      </c>
      <c r="P1401" t="n">
        <v>8</v>
      </c>
      <c r="R1401" s="9" t="n">
        <v>0.08</v>
      </c>
      <c r="S1401" s="10" t="inlineStr">
        <is>
          <t>SÍ — integrante</t>
        </is>
      </c>
      <c r="T1401" s="11" t="inlineStr">
        <is>
          <t>B · INTEGRANTE</t>
        </is>
      </c>
      <c r="U1401" s="11" t="inlineStr">
        <is>
          <t>DEL BANCO (se hereda)</t>
        </is>
      </c>
      <c r="V1401" s="11" t="inlineStr">
        <is>
          <t>9154 · OTRAS ACTIVIDADES NO CLASIFICADAS</t>
        </is>
      </c>
      <c r="W1401" s="12" t="n"/>
      <c r="X1401" s="12" t="n"/>
    </row>
    <row r="1402" ht="15" customHeight="1">
      <c r="C1402" t="inlineStr">
        <is>
          <t>Actividad económica / giro mercantil</t>
        </is>
      </c>
      <c r="D1402" t="inlineStr">
        <is>
          <t>F12</t>
        </is>
      </c>
      <c r="E1402" t="inlineStr">
        <is>
          <t>INHERENTE</t>
        </is>
      </c>
      <c r="F1402" t="inlineStr">
        <is>
          <t>DEPENDENCIAS DE GOBIERNO O EMPRESAS PARAESTATALES</t>
        </is>
      </c>
      <c r="G1402" t="n">
        <v>9900900</v>
      </c>
      <c r="H1402" t="n">
        <v>5</v>
      </c>
      <c r="I1402" t="n">
        <v>5</v>
      </c>
      <c r="J1402" t="n">
        <v>8</v>
      </c>
      <c r="K1402" t="n">
        <v>40</v>
      </c>
      <c r="L1402" t="n">
        <v>40</v>
      </c>
      <c r="M1402" t="n">
        <v>40</v>
      </c>
      <c r="N1402" t="n">
        <v>40</v>
      </c>
      <c r="O1402" t="n">
        <v>40</v>
      </c>
      <c r="P1402" t="n">
        <v>8</v>
      </c>
      <c r="R1402" s="9" t="n">
        <v>0.08</v>
      </c>
      <c r="S1402" s="10" t="inlineStr">
        <is>
          <t>SÍ — integrante</t>
        </is>
      </c>
      <c r="T1402" s="11" t="inlineStr">
        <is>
          <t>B · INTEGRANTE</t>
        </is>
      </c>
      <c r="U1402" s="11" t="inlineStr">
        <is>
          <t>DEL BANCO (se hereda)</t>
        </is>
      </c>
      <c r="V1402" s="11" t="inlineStr">
        <is>
          <t>9153 · GOBIERNO Y SECTOR PÚBLICO</t>
        </is>
      </c>
      <c r="W1402" s="12" t="n"/>
      <c r="X1402" s="12" t="n"/>
    </row>
    <row r="1403" ht="15" customHeight="1">
      <c r="C1403" t="inlineStr">
        <is>
          <t>Actividad económica / giro mercantil</t>
        </is>
      </c>
      <c r="D1403" t="inlineStr">
        <is>
          <t>F12</t>
        </is>
      </c>
      <c r="E1403" t="inlineStr">
        <is>
          <t>INHERENTE</t>
        </is>
      </c>
      <c r="F1403" t="inlineStr">
        <is>
          <t>SERVICIOS DE ORGANIZACIONES INTERNACIONALES Y OTROS ORGANISMOS EXTRATERRITORIALES</t>
        </is>
      </c>
      <c r="G1403" t="n">
        <v>9900901</v>
      </c>
      <c r="H1403" t="n">
        <v>1</v>
      </c>
      <c r="I1403" t="n">
        <v>1</v>
      </c>
      <c r="J1403" t="n">
        <v>8</v>
      </c>
      <c r="K1403" t="n">
        <v>8</v>
      </c>
      <c r="L1403" t="n">
        <v>8</v>
      </c>
      <c r="M1403" t="n">
        <v>8</v>
      </c>
      <c r="N1403" t="n">
        <v>8</v>
      </c>
      <c r="O1403" t="n">
        <v>40</v>
      </c>
      <c r="P1403" t="n">
        <v>8</v>
      </c>
      <c r="R1403" s="9" t="n">
        <v>0.08</v>
      </c>
      <c r="S1403" s="10" t="inlineStr">
        <is>
          <t>SÍ — integrante</t>
        </is>
      </c>
      <c r="T1403" s="11" t="inlineStr">
        <is>
          <t>B · INTEGRANTE</t>
        </is>
      </c>
      <c r="U1403" s="11" t="inlineStr">
        <is>
          <t>DEL BANCO (se hereda)</t>
        </is>
      </c>
      <c r="V1403" s="11" t="inlineStr">
        <is>
          <t>9154 · OTRAS ACTIVIDADES NO CLASIFICADAS</t>
        </is>
      </c>
      <c r="W1403" s="12" t="n"/>
      <c r="X1403" s="12" t="n"/>
    </row>
    <row r="1404" ht="15" customHeight="1">
      <c r="C1404" t="inlineStr">
        <is>
          <t>Actividad económica / giro mercantil</t>
        </is>
      </c>
      <c r="D1404" t="inlineStr">
        <is>
          <t>F12</t>
        </is>
      </c>
      <c r="E1404" t="inlineStr">
        <is>
          <t>INHERENTE</t>
        </is>
      </c>
      <c r="F1404" t="inlineStr">
        <is>
          <t>TRANSMISORES DE DINERO O DISPERSORES</t>
        </is>
      </c>
      <c r="G1404" t="n">
        <v>9900902</v>
      </c>
      <c r="H1404" t="n">
        <v>5</v>
      </c>
      <c r="I1404" t="n">
        <v>5</v>
      </c>
      <c r="J1404" t="n">
        <v>8</v>
      </c>
      <c r="K1404" t="n">
        <v>40</v>
      </c>
      <c r="L1404" t="n">
        <v>40</v>
      </c>
      <c r="M1404" t="n">
        <v>40</v>
      </c>
      <c r="N1404" t="n">
        <v>40</v>
      </c>
      <c r="O1404" t="n">
        <v>40</v>
      </c>
      <c r="P1404" t="n">
        <v>8</v>
      </c>
      <c r="R1404" s="9" t="n">
        <v>0.08</v>
      </c>
      <c r="S1404" s="10" t="inlineStr">
        <is>
          <t>SÍ — integrante</t>
        </is>
      </c>
      <c r="T1404" s="11" t="inlineStr">
        <is>
          <t>B · INTEGRANTE</t>
        </is>
      </c>
      <c r="U1404" s="11" t="inlineStr">
        <is>
          <t>DEL BANCO (se hereda)</t>
        </is>
      </c>
      <c r="V1404" s="11" t="inlineStr">
        <is>
          <t>9154 · OTRAS ACTIVIDADES NO CLASIFICADAS</t>
        </is>
      </c>
      <c r="W1404" s="12" t="n"/>
      <c r="X1404" s="12" t="n"/>
    </row>
    <row r="1405" ht="15" customHeight="1">
      <c r="C1405" t="inlineStr">
        <is>
          <t>Actividad económica / giro mercantil</t>
        </is>
      </c>
      <c r="D1405" t="inlineStr">
        <is>
          <t>F12</t>
        </is>
      </c>
      <c r="E1405" t="inlineStr">
        <is>
          <t>INHERENTE</t>
        </is>
      </c>
      <c r="F1405" t="inlineStr">
        <is>
          <t>CAMBISTAS O CENTROS CAMBIARIOS</t>
        </is>
      </c>
      <c r="G1405" t="n">
        <v>9900903</v>
      </c>
      <c r="H1405" t="n">
        <v>4</v>
      </c>
      <c r="I1405" t="n">
        <v>4</v>
      </c>
      <c r="J1405" t="n">
        <v>8</v>
      </c>
      <c r="K1405" t="n">
        <v>32</v>
      </c>
      <c r="L1405" t="n">
        <v>32</v>
      </c>
      <c r="M1405" t="n">
        <v>32</v>
      </c>
      <c r="N1405" t="n">
        <v>32</v>
      </c>
      <c r="O1405" t="n">
        <v>40</v>
      </c>
      <c r="P1405" t="n">
        <v>8</v>
      </c>
      <c r="R1405" s="9" t="n">
        <v>0.08</v>
      </c>
      <c r="S1405" s="10" t="inlineStr">
        <is>
          <t>SÍ — integrante</t>
        </is>
      </c>
      <c r="T1405" s="11" t="inlineStr">
        <is>
          <t>B · INTEGRANTE</t>
        </is>
      </c>
      <c r="U1405" s="11" t="inlineStr">
        <is>
          <t>DEL BANCO (se hereda)</t>
        </is>
      </c>
      <c r="V1405" s="11" t="inlineStr">
        <is>
          <t>9154 · OTRAS ACTIVIDADES NO CLASIFICADAS</t>
        </is>
      </c>
      <c r="W1405" s="12" t="n"/>
      <c r="X1405" s="12" t="n"/>
    </row>
    <row r="1406" ht="15" customHeight="1">
      <c r="C1406" t="inlineStr">
        <is>
          <t>Actividad económica / giro mercantil</t>
        </is>
      </c>
      <c r="D1406" t="inlineStr">
        <is>
          <t>F12</t>
        </is>
      </c>
      <c r="E1406" t="inlineStr">
        <is>
          <t>INHERENTE</t>
        </is>
      </c>
      <c r="F1406" t="inlineStr">
        <is>
          <t>ESTUDIANTE Ó MENOR DE EDAD SIN OCUPACIÓN</t>
        </is>
      </c>
      <c r="G1406" t="n">
        <v>9900904</v>
      </c>
      <c r="H1406" t="n">
        <v>3</v>
      </c>
      <c r="I1406" t="n">
        <v>3</v>
      </c>
      <c r="J1406" t="n">
        <v>8</v>
      </c>
      <c r="K1406" t="n">
        <v>24</v>
      </c>
      <c r="L1406" t="n">
        <v>24</v>
      </c>
      <c r="M1406" t="n">
        <v>24</v>
      </c>
      <c r="N1406" t="n">
        <v>24</v>
      </c>
      <c r="O1406" t="n">
        <v>40</v>
      </c>
      <c r="P1406" t="n">
        <v>8</v>
      </c>
      <c r="R1406" s="9" t="n">
        <v>0.08</v>
      </c>
      <c r="S1406" s="10" t="inlineStr">
        <is>
          <t>SÍ — integrante</t>
        </is>
      </c>
      <c r="T1406" s="11" t="inlineStr">
        <is>
          <t>B · INTEGRANTE</t>
        </is>
      </c>
      <c r="U1406" s="11" t="inlineStr">
        <is>
          <t>DEL BANCO (se hereda)</t>
        </is>
      </c>
      <c r="V1406" s="11" t="inlineStr">
        <is>
          <t>9111 · SIN ACTIVIDAD DE RIESGO / ASALARIADO</t>
        </is>
      </c>
      <c r="W1406" s="12" t="n"/>
      <c r="X1406" s="12" t="n"/>
    </row>
    <row r="1407" ht="15" customHeight="1">
      <c r="C1407" t="inlineStr">
        <is>
          <t>Actividad económica / giro mercantil</t>
        </is>
      </c>
      <c r="D1407" t="inlineStr">
        <is>
          <t>F12</t>
        </is>
      </c>
      <c r="E1407" t="inlineStr">
        <is>
          <t>INHERENTE</t>
        </is>
      </c>
      <c r="F1407" t="inlineStr">
        <is>
          <t>DESEMPLEADO</t>
        </is>
      </c>
      <c r="G1407" t="n">
        <v>9900905</v>
      </c>
      <c r="H1407" t="n">
        <v>3</v>
      </c>
      <c r="I1407" t="n">
        <v>3</v>
      </c>
      <c r="J1407" t="n">
        <v>8</v>
      </c>
      <c r="K1407" t="n">
        <v>24</v>
      </c>
      <c r="L1407" t="n">
        <v>24</v>
      </c>
      <c r="M1407" t="n">
        <v>24</v>
      </c>
      <c r="N1407" t="n">
        <v>24</v>
      </c>
      <c r="O1407" t="n">
        <v>40</v>
      </c>
      <c r="P1407" t="n">
        <v>8</v>
      </c>
      <c r="R1407" s="9" t="n">
        <v>0.08</v>
      </c>
      <c r="S1407" s="10" t="inlineStr">
        <is>
          <t>SÍ — integrante</t>
        </is>
      </c>
      <c r="T1407" s="11" t="inlineStr">
        <is>
          <t>B · INTEGRANTE</t>
        </is>
      </c>
      <c r="U1407" s="11" t="inlineStr">
        <is>
          <t>DEL BANCO (se hereda)</t>
        </is>
      </c>
      <c r="V1407" s="11" t="inlineStr">
        <is>
          <t>9111 · SIN ACTIVIDAD DE RIESGO / ASALARIADO</t>
        </is>
      </c>
      <c r="W1407" s="12" t="n"/>
      <c r="X1407" s="12" t="n"/>
    </row>
    <row r="1408" ht="15" customHeight="1">
      <c r="C1408" t="inlineStr">
        <is>
          <t>Actividad económica / giro mercantil</t>
        </is>
      </c>
      <c r="D1408" t="inlineStr">
        <is>
          <t>F12</t>
        </is>
      </c>
      <c r="E1408" t="inlineStr">
        <is>
          <t>INHERENTE</t>
        </is>
      </c>
      <c r="F1408" t="inlineStr">
        <is>
          <t>JUBILADO</t>
        </is>
      </c>
      <c r="G1408" t="n">
        <v>9900906</v>
      </c>
      <c r="H1408" t="n">
        <v>3</v>
      </c>
      <c r="I1408" t="n">
        <v>3</v>
      </c>
      <c r="J1408" t="n">
        <v>8</v>
      </c>
      <c r="K1408" t="n">
        <v>24</v>
      </c>
      <c r="L1408" t="n">
        <v>24</v>
      </c>
      <c r="M1408" t="n">
        <v>24</v>
      </c>
      <c r="N1408" t="n">
        <v>24</v>
      </c>
      <c r="O1408" t="n">
        <v>40</v>
      </c>
      <c r="P1408" t="n">
        <v>8</v>
      </c>
      <c r="R1408" s="9" t="n">
        <v>0.08</v>
      </c>
      <c r="S1408" s="10" t="inlineStr">
        <is>
          <t>SÍ — integrante</t>
        </is>
      </c>
      <c r="T1408" s="11" t="inlineStr">
        <is>
          <t>B · INTEGRANTE</t>
        </is>
      </c>
      <c r="U1408" s="11" t="inlineStr">
        <is>
          <t>DEL BANCO (se hereda)</t>
        </is>
      </c>
      <c r="V1408" s="11" t="inlineStr">
        <is>
          <t>9111 · SIN ACTIVIDAD DE RIESGO / ASALARIADO</t>
        </is>
      </c>
      <c r="W1408" s="12" t="n"/>
      <c r="X1408" s="12" t="n"/>
    </row>
    <row r="1409" ht="15" customHeight="1">
      <c r="C1409" t="inlineStr">
        <is>
          <t>Actividad económica / giro mercantil</t>
        </is>
      </c>
      <c r="D1409" t="inlineStr">
        <is>
          <t>F12</t>
        </is>
      </c>
      <c r="E1409" t="inlineStr">
        <is>
          <t>INHERENTE</t>
        </is>
      </c>
      <c r="F1409" t="inlineStr">
        <is>
          <t>PENSIONADO</t>
        </is>
      </c>
      <c r="G1409" t="n">
        <v>9900907</v>
      </c>
      <c r="H1409" t="n">
        <v>3</v>
      </c>
      <c r="I1409" t="n">
        <v>3</v>
      </c>
      <c r="J1409" t="n">
        <v>8</v>
      </c>
      <c r="K1409" t="n">
        <v>24</v>
      </c>
      <c r="L1409" t="n">
        <v>24</v>
      </c>
      <c r="M1409" t="n">
        <v>24</v>
      </c>
      <c r="N1409" t="n">
        <v>24</v>
      </c>
      <c r="O1409" t="n">
        <v>40</v>
      </c>
      <c r="P1409" t="n">
        <v>8</v>
      </c>
      <c r="R1409" s="9" t="n">
        <v>0.08</v>
      </c>
      <c r="S1409" s="10" t="inlineStr">
        <is>
          <t>SÍ — integrante</t>
        </is>
      </c>
      <c r="T1409" s="11" t="inlineStr">
        <is>
          <t>B · INTEGRANTE</t>
        </is>
      </c>
      <c r="U1409" s="11" t="inlineStr">
        <is>
          <t>DEL BANCO (se hereda)</t>
        </is>
      </c>
      <c r="V1409" s="11" t="inlineStr">
        <is>
          <t>9111 · SIN ACTIVIDAD DE RIESGO / ASALARIADO</t>
        </is>
      </c>
      <c r="W1409" s="12" t="n"/>
      <c r="X1409" s="12" t="n"/>
    </row>
    <row r="1410" ht="15" customHeight="1">
      <c r="C1410" t="inlineStr">
        <is>
          <t>Actividad económica / giro mercantil</t>
        </is>
      </c>
      <c r="D1410" t="inlineStr">
        <is>
          <t>F12</t>
        </is>
      </c>
      <c r="E1410" t="inlineStr">
        <is>
          <t>INHERENTE</t>
        </is>
      </c>
      <c r="F1410" t="inlineStr">
        <is>
          <t>AMA DE CASA</t>
        </is>
      </c>
      <c r="G1410" t="n">
        <v>9900908</v>
      </c>
      <c r="H1410" t="n">
        <v>3</v>
      </c>
      <c r="I1410" t="n">
        <v>3</v>
      </c>
      <c r="J1410" t="n">
        <v>8</v>
      </c>
      <c r="K1410" t="n">
        <v>24</v>
      </c>
      <c r="L1410" t="n">
        <v>24</v>
      </c>
      <c r="M1410" t="n">
        <v>24</v>
      </c>
      <c r="N1410" t="n">
        <v>24</v>
      </c>
      <c r="O1410" t="n">
        <v>40</v>
      </c>
      <c r="P1410" t="n">
        <v>8</v>
      </c>
      <c r="R1410" s="9" t="n">
        <v>0.08</v>
      </c>
      <c r="S1410" s="10" t="inlineStr">
        <is>
          <t>SÍ — integrante</t>
        </is>
      </c>
      <c r="T1410" s="11" t="inlineStr">
        <is>
          <t>B · INTEGRANTE</t>
        </is>
      </c>
      <c r="U1410" s="11" t="inlineStr">
        <is>
          <t>DEL BANCO (se hereda)</t>
        </is>
      </c>
      <c r="V1410" s="11" t="inlineStr">
        <is>
          <t>9111 · SIN ACTIVIDAD DE RIESGO / ASALARIADO</t>
        </is>
      </c>
      <c r="W1410" s="12" t="n"/>
      <c r="X1410" s="12" t="n"/>
    </row>
    <row r="1411" ht="15" customHeight="1">
      <c r="C1411" t="inlineStr">
        <is>
          <t>Actividad económica / giro mercantil</t>
        </is>
      </c>
      <c r="D1411" t="inlineStr">
        <is>
          <t>F12</t>
        </is>
      </c>
      <c r="E1411" t="inlineStr">
        <is>
          <t>INHERENTE</t>
        </is>
      </c>
      <c r="F1411" t="inlineStr">
        <is>
          <t>MINISTROS DE CULTO RELIGIOSO (SACERDOTE, PASTOR, MONJA, ETC)</t>
        </is>
      </c>
      <c r="G1411" t="n">
        <v>9900909</v>
      </c>
      <c r="H1411" t="n">
        <v>3</v>
      </c>
      <c r="I1411" t="n">
        <v>3</v>
      </c>
      <c r="J1411" t="n">
        <v>8</v>
      </c>
      <c r="K1411" t="n">
        <v>24</v>
      </c>
      <c r="L1411" t="n">
        <v>24</v>
      </c>
      <c r="M1411" t="n">
        <v>24</v>
      </c>
      <c r="N1411" t="n">
        <v>24</v>
      </c>
      <c r="O1411" t="n">
        <v>40</v>
      </c>
      <c r="P1411" t="n">
        <v>8</v>
      </c>
      <c r="R1411" s="9" t="n">
        <v>0.08</v>
      </c>
      <c r="S1411" s="10" t="inlineStr">
        <is>
          <t>SÍ — integrante</t>
        </is>
      </c>
      <c r="T1411" s="11" t="inlineStr">
        <is>
          <t>B · INTEGRANTE</t>
        </is>
      </c>
      <c r="U1411" s="11" t="inlineStr">
        <is>
          <t>DEL BANCO (se hereda)</t>
        </is>
      </c>
      <c r="V1411" s="11" t="inlineStr">
        <is>
          <t>9154 · OTRAS ACTIVIDADES NO CLASIFICADAS</t>
        </is>
      </c>
      <c r="W1411" s="12" t="n"/>
      <c r="X1411" s="12" t="n"/>
    </row>
    <row r="1412" ht="15" customHeight="1">
      <c r="C1412" t="inlineStr">
        <is>
          <t>Actividad económica / giro mercantil</t>
        </is>
      </c>
      <c r="D1412" t="inlineStr">
        <is>
          <t>F12</t>
        </is>
      </c>
      <c r="E1412" t="inlineStr">
        <is>
          <t>INHERENTE</t>
        </is>
      </c>
      <c r="F1412" t="inlineStr">
        <is>
          <t>INSTITUCIONES FINANCIERAS DEL EXTRANJERO</t>
        </is>
      </c>
      <c r="G1412" t="n">
        <v>9911018</v>
      </c>
      <c r="H1412" t="n">
        <v>4</v>
      </c>
      <c r="I1412" t="n">
        <v>4</v>
      </c>
      <c r="J1412" t="n">
        <v>8</v>
      </c>
      <c r="K1412" t="n">
        <v>32</v>
      </c>
      <c r="L1412" t="n">
        <v>32</v>
      </c>
      <c r="M1412" t="n">
        <v>32</v>
      </c>
      <c r="N1412" t="n">
        <v>32</v>
      </c>
      <c r="O1412" t="n">
        <v>40</v>
      </c>
      <c r="P1412" t="n">
        <v>8</v>
      </c>
      <c r="R1412" s="9" t="n">
        <v>0.08</v>
      </c>
      <c r="S1412" s="10" t="inlineStr">
        <is>
          <t>SÍ — integrante</t>
        </is>
      </c>
      <c r="T1412" s="11" t="inlineStr">
        <is>
          <t>B · INTEGRANTE</t>
        </is>
      </c>
      <c r="U1412" s="11" t="inlineStr">
        <is>
          <t>DEL BANCO (se hereda)</t>
        </is>
      </c>
      <c r="V1412" s="11" t="inlineStr">
        <is>
          <t>9115 · SECTOR FINANCIERO REGULADO</t>
        </is>
      </c>
      <c r="W1412" s="12" t="n"/>
      <c r="X1412" s="12" t="n"/>
    </row>
    <row r="1413" ht="15" customHeight="1">
      <c r="C1413" t="inlineStr">
        <is>
          <t>Actividad económica / giro mercantil</t>
        </is>
      </c>
      <c r="D1413" t="inlineStr">
        <is>
          <t>F12</t>
        </is>
      </c>
      <c r="E1413" t="inlineStr">
        <is>
          <t>INHERENTE</t>
        </is>
      </c>
      <c r="F1413" t="inlineStr">
        <is>
          <t>CONSULADO</t>
        </is>
      </c>
      <c r="G1413" t="n">
        <v>9912016</v>
      </c>
      <c r="H1413" t="n">
        <v>5</v>
      </c>
      <c r="I1413" t="n">
        <v>5</v>
      </c>
      <c r="J1413" t="n">
        <v>8</v>
      </c>
      <c r="K1413" t="n">
        <v>40</v>
      </c>
      <c r="L1413" t="n">
        <v>40</v>
      </c>
      <c r="M1413" t="n">
        <v>40</v>
      </c>
      <c r="N1413" t="n">
        <v>40</v>
      </c>
      <c r="O1413" t="n">
        <v>40</v>
      </c>
      <c r="P1413" t="n">
        <v>8</v>
      </c>
      <c r="Q1413" t="inlineStr">
        <is>
          <t>DETERMINANTE</t>
        </is>
      </c>
      <c r="R1413" s="9" t="n">
        <v>0.08</v>
      </c>
      <c r="S1413" s="10" t="inlineStr">
        <is>
          <t>SÍ — integrante</t>
        </is>
      </c>
      <c r="T1413" s="11" t="inlineStr">
        <is>
          <t>B · INTEGRANTE</t>
        </is>
      </c>
      <c r="U1413" s="11" t="inlineStr">
        <is>
          <t>DEL BANCO (se hereda)</t>
        </is>
      </c>
      <c r="V1413" s="11" t="inlineStr">
        <is>
          <t>9153 · GOBIERNO Y SECTOR PÚBLICO</t>
        </is>
      </c>
      <c r="W1413" s="12" t="n"/>
      <c r="X1413" s="12" t="n"/>
    </row>
    <row r="1414" ht="15" customHeight="1">
      <c r="C1414" t="inlineStr">
        <is>
          <t>Actividad económica / giro mercantil</t>
        </is>
      </c>
      <c r="D1414" t="inlineStr">
        <is>
          <t>F12</t>
        </is>
      </c>
      <c r="E1414" t="inlineStr">
        <is>
          <t>INHERENTE</t>
        </is>
      </c>
      <c r="F1414" t="inlineStr">
        <is>
          <t>GOBIERNO EXTRANJERO</t>
        </is>
      </c>
      <c r="G1414" t="n">
        <v>9912024</v>
      </c>
      <c r="H1414" t="n">
        <v>5</v>
      </c>
      <c r="I1414" t="n">
        <v>5</v>
      </c>
      <c r="J1414" t="n">
        <v>8</v>
      </c>
      <c r="K1414" t="n">
        <v>40</v>
      </c>
      <c r="L1414" t="n">
        <v>40</v>
      </c>
      <c r="M1414" t="n">
        <v>40</v>
      </c>
      <c r="N1414" t="n">
        <v>40</v>
      </c>
      <c r="O1414" t="n">
        <v>40</v>
      </c>
      <c r="P1414" t="n">
        <v>8</v>
      </c>
      <c r="R1414" s="9" t="n">
        <v>0.08</v>
      </c>
      <c r="S1414" s="10" t="inlineStr">
        <is>
          <t>SÍ — integrante</t>
        </is>
      </c>
      <c r="T1414" s="11" t="inlineStr">
        <is>
          <t>B · INTEGRANTE</t>
        </is>
      </c>
      <c r="U1414" s="11" t="inlineStr">
        <is>
          <t>DEL BANCO (se hereda)</t>
        </is>
      </c>
      <c r="V1414" s="11" t="inlineStr">
        <is>
          <t>9153 · GOBIERNO Y SECTOR PÚBLICO</t>
        </is>
      </c>
      <c r="W1414" s="12" t="n"/>
      <c r="X1414" s="12" t="n"/>
    </row>
    <row r="1415" ht="15" customHeight="1">
      <c r="C1415" t="inlineStr">
        <is>
          <t>Actividad económica / giro mercantil</t>
        </is>
      </c>
      <c r="D1415" t="inlineStr">
        <is>
          <t>F12</t>
        </is>
      </c>
      <c r="E1415" t="inlineStr">
        <is>
          <t>INHERENTE</t>
        </is>
      </c>
      <c r="F1415" t="inlineStr">
        <is>
          <t>SERVICIOS DE OFICINAS Y REPRESENTACIONES DE OTROS PAISES QUE GOZAN DE EXTRATERRITORIALIDAD</t>
        </is>
      </c>
      <c r="G1415" t="n">
        <v>9919012</v>
      </c>
      <c r="H1415" t="n">
        <v>1</v>
      </c>
      <c r="I1415" t="n">
        <v>1</v>
      </c>
      <c r="J1415" t="n">
        <v>8</v>
      </c>
      <c r="K1415" t="n">
        <v>8</v>
      </c>
      <c r="L1415" t="n">
        <v>8</v>
      </c>
      <c r="M1415" t="n">
        <v>8</v>
      </c>
      <c r="N1415" t="n">
        <v>8</v>
      </c>
      <c r="O1415" t="n">
        <v>40</v>
      </c>
      <c r="P1415" t="n">
        <v>8</v>
      </c>
      <c r="R1415" s="9" t="n">
        <v>0.08</v>
      </c>
      <c r="S1415" s="10" t="inlineStr">
        <is>
          <t>SÍ — integrante</t>
        </is>
      </c>
      <c r="T1415" s="11" t="inlineStr">
        <is>
          <t>B · INTEGRANTE</t>
        </is>
      </c>
      <c r="U1415" s="11" t="inlineStr">
        <is>
          <t>DEL BANCO (se hereda)</t>
        </is>
      </c>
      <c r="V1415" s="11" t="inlineStr">
        <is>
          <t>9154 · OTRAS ACTIVIDADES NO CLASIFICADAS</t>
        </is>
      </c>
      <c r="W1415" s="12" t="n"/>
      <c r="X1415" s="12" t="n"/>
    </row>
    <row r="1416" ht="15" customHeight="1">
      <c r="C1416" t="inlineStr">
        <is>
          <t>Actividad económica / giro mercantil</t>
        </is>
      </c>
      <c r="D1416" t="inlineStr">
        <is>
          <t>F12</t>
        </is>
      </c>
      <c r="E1416" t="inlineStr">
        <is>
          <t>INHERENTE</t>
        </is>
      </c>
      <c r="F1416" t="inlineStr">
        <is>
          <t>NO CLASIFICADA</t>
        </is>
      </c>
      <c r="G1416" t="n">
        <v>9999999</v>
      </c>
      <c r="H1416" t="n">
        <v>5</v>
      </c>
      <c r="I1416" t="n">
        <v>5</v>
      </c>
      <c r="J1416" t="n">
        <v>8</v>
      </c>
      <c r="K1416" t="n">
        <v>40</v>
      </c>
      <c r="L1416" t="n">
        <v>40</v>
      </c>
      <c r="M1416" t="n">
        <v>40</v>
      </c>
      <c r="N1416" t="n">
        <v>40</v>
      </c>
      <c r="O1416" t="n">
        <v>40</v>
      </c>
      <c r="P1416" t="n">
        <v>8</v>
      </c>
      <c r="R1416" s="9" t="n">
        <v>0.08</v>
      </c>
      <c r="S1416" s="10" t="inlineStr">
        <is>
          <t>SÍ — integrante</t>
        </is>
      </c>
      <c r="T1416" s="11" t="inlineStr">
        <is>
          <t>B · INTEGRANTE</t>
        </is>
      </c>
      <c r="U1416" s="11" t="inlineStr">
        <is>
          <t>DEL BANCO (se hereda)</t>
        </is>
      </c>
      <c r="V1416" s="11" t="inlineStr">
        <is>
          <t>9154 · OTRAS ACTIVIDADES NO CLASIFICADAS</t>
        </is>
      </c>
      <c r="W1416" s="12" t="n"/>
      <c r="X1416" s="12" t="n"/>
    </row>
    <row r="1417" ht="15" customHeight="1">
      <c r="C1417" t="inlineStr">
        <is>
          <t>PERFIL TRANSACCIONAL</t>
        </is>
      </c>
      <c r="D1417" t="inlineStr">
        <is>
          <t>F14</t>
        </is>
      </c>
      <c r="E1417" t="inlineStr">
        <is>
          <t>TRANSACCIONAL</t>
        </is>
      </c>
      <c r="F1417" t="inlineStr">
        <is>
          <t>TRANSFERENCIAS DE 0-50,000.00 MN - PESOS MXN</t>
        </is>
      </c>
      <c r="G1417" t="n">
        <v>1</v>
      </c>
      <c r="H1417" t="n">
        <v>1</v>
      </c>
      <c r="I1417" t="n">
        <v>1</v>
      </c>
      <c r="J1417" t="n">
        <v>14</v>
      </c>
      <c r="K1417" t="n">
        <v>14</v>
      </c>
      <c r="L1417" t="n">
        <v>14</v>
      </c>
      <c r="M1417" t="n">
        <v>14</v>
      </c>
      <c r="N1417" t="n">
        <v>14</v>
      </c>
      <c r="O1417" t="n">
        <v>70</v>
      </c>
      <c r="P1417" t="n">
        <v>14</v>
      </c>
      <c r="R1417" s="9" t="n">
        <v>0.14</v>
      </c>
      <c r="S1417" s="10" t="inlineStr">
        <is>
          <t>V2 — perfil por evento</t>
        </is>
      </c>
      <c r="T1417" s="11" t="n"/>
      <c r="U1417" s="11" t="inlineStr">
        <is>
          <t>DEL BANCO (se hereda)</t>
        </is>
      </c>
      <c r="V1417" s="11" t="n"/>
      <c r="W1417" s="12" t="n"/>
      <c r="X1417" s="12" t="n"/>
    </row>
    <row r="1418" ht="15" customHeight="1">
      <c r="C1418" t="inlineStr">
        <is>
          <t>PERFIL TRANSACCIONAL</t>
        </is>
      </c>
      <c r="D1418" t="inlineStr">
        <is>
          <t>F14</t>
        </is>
      </c>
      <c r="E1418" t="inlineStr">
        <is>
          <t>TRANSACCIONAL</t>
        </is>
      </c>
      <c r="F1418" t="inlineStr">
        <is>
          <t>CHEQUES DE 0-50,000.00 MN - PESOS MXN</t>
        </is>
      </c>
      <c r="G1418" t="n">
        <v>1</v>
      </c>
      <c r="H1418" t="n">
        <v>1</v>
      </c>
      <c r="I1418" t="n">
        <v>1</v>
      </c>
      <c r="J1418" t="n">
        <v>14</v>
      </c>
      <c r="K1418" t="n">
        <v>14</v>
      </c>
      <c r="L1418" t="n">
        <v>14</v>
      </c>
      <c r="M1418" t="n">
        <v>14</v>
      </c>
      <c r="N1418" t="n">
        <v>14</v>
      </c>
      <c r="O1418" t="n">
        <v>70</v>
      </c>
      <c r="P1418" t="n">
        <v>14</v>
      </c>
      <c r="R1418" s="9" t="n">
        <v>0.14</v>
      </c>
      <c r="S1418" s="10" t="inlineStr">
        <is>
          <t>V2 — perfil por evento</t>
        </is>
      </c>
      <c r="T1418" s="11" t="n"/>
      <c r="U1418" s="11" t="inlineStr">
        <is>
          <t>DEL BANCO (se hereda)</t>
        </is>
      </c>
      <c r="V1418" s="11" t="n"/>
      <c r="W1418" s="12" t="n"/>
      <c r="X1418" s="12" t="n"/>
    </row>
    <row r="1419" ht="15" customHeight="1">
      <c r="C1419" t="inlineStr">
        <is>
          <t>PERFIL TRANSACCIONAL</t>
        </is>
      </c>
      <c r="D1419" t="inlineStr">
        <is>
          <t>F14</t>
        </is>
      </c>
      <c r="E1419" t="inlineStr">
        <is>
          <t>TRANSACCIONAL</t>
        </is>
      </c>
      <c r="F1419" t="inlineStr">
        <is>
          <t>EFECTIVO DE 0-50,000.00 MN - PESOS MXN</t>
        </is>
      </c>
      <c r="G1419" t="n">
        <v>1</v>
      </c>
      <c r="H1419" t="n">
        <v>2</v>
      </c>
      <c r="I1419" t="n">
        <v>2</v>
      </c>
      <c r="J1419" t="n">
        <v>14</v>
      </c>
      <c r="K1419" t="n">
        <v>28</v>
      </c>
      <c r="L1419" t="n">
        <v>28</v>
      </c>
      <c r="M1419" t="n">
        <v>28</v>
      </c>
      <c r="N1419" t="n">
        <v>28</v>
      </c>
      <c r="O1419" t="n">
        <v>70</v>
      </c>
      <c r="P1419" t="n">
        <v>14</v>
      </c>
      <c r="R1419" s="9" t="n">
        <v>0.14</v>
      </c>
      <c r="S1419" s="10" t="inlineStr">
        <is>
          <t>V2 — perfil por evento</t>
        </is>
      </c>
      <c r="T1419" s="11" t="n"/>
      <c r="U1419" s="11" t="inlineStr">
        <is>
          <t>DEL BANCO (se hereda)</t>
        </is>
      </c>
      <c r="V1419" s="11" t="n"/>
      <c r="W1419" s="12" t="n"/>
      <c r="X1419" s="12" t="n"/>
    </row>
    <row r="1420" ht="15" customHeight="1">
      <c r="C1420" t="inlineStr">
        <is>
          <t>PERFIL TRANSACCIONAL</t>
        </is>
      </c>
      <c r="D1420" t="inlineStr">
        <is>
          <t>F14</t>
        </is>
      </c>
      <c r="E1420" t="inlineStr">
        <is>
          <t>TRANSACCIONAL</t>
        </is>
      </c>
      <c r="F1420" t="inlineStr">
        <is>
          <t>TRANSFERENCIAS DE 0-5,000 - USD</t>
        </is>
      </c>
      <c r="G1420" t="n">
        <v>1</v>
      </c>
      <c r="H1420" t="n">
        <v>1</v>
      </c>
      <c r="I1420" t="n">
        <v>1</v>
      </c>
      <c r="J1420" t="n">
        <v>14</v>
      </c>
      <c r="K1420" t="n">
        <v>14</v>
      </c>
      <c r="L1420" t="n">
        <v>14</v>
      </c>
      <c r="M1420" t="n">
        <v>14</v>
      </c>
      <c r="N1420" t="n">
        <v>14</v>
      </c>
      <c r="O1420" t="n">
        <v>70</v>
      </c>
      <c r="P1420" t="n">
        <v>14</v>
      </c>
      <c r="R1420" s="9" t="n">
        <v>0.14</v>
      </c>
      <c r="S1420" s="10" t="inlineStr">
        <is>
          <t>V2 — perfil por evento</t>
        </is>
      </c>
      <c r="T1420" s="11" t="n"/>
      <c r="U1420" s="11" t="inlineStr">
        <is>
          <t>DEL BANCO (se hereda)</t>
        </is>
      </c>
      <c r="V1420" s="11" t="n"/>
      <c r="W1420" s="12" t="n"/>
      <c r="X1420" s="12" t="n"/>
    </row>
    <row r="1421" ht="15" customHeight="1">
      <c r="C1421" t="inlineStr">
        <is>
          <t>PERFIL TRANSACCIONAL</t>
        </is>
      </c>
      <c r="D1421" t="inlineStr">
        <is>
          <t>F14</t>
        </is>
      </c>
      <c r="E1421" t="inlineStr">
        <is>
          <t>TRANSACCIONAL</t>
        </is>
      </c>
      <c r="F1421" t="inlineStr">
        <is>
          <t>CHEQUES DE 0-5,000 - USD</t>
        </is>
      </c>
      <c r="G1421" t="n">
        <v>1</v>
      </c>
      <c r="H1421" t="n">
        <v>1</v>
      </c>
      <c r="I1421" t="n">
        <v>1</v>
      </c>
      <c r="J1421" t="n">
        <v>14</v>
      </c>
      <c r="K1421" t="n">
        <v>14</v>
      </c>
      <c r="L1421" t="n">
        <v>14</v>
      </c>
      <c r="M1421" t="n">
        <v>14</v>
      </c>
      <c r="N1421" t="n">
        <v>14</v>
      </c>
      <c r="O1421" t="n">
        <v>70</v>
      </c>
      <c r="P1421" t="n">
        <v>14</v>
      </c>
      <c r="R1421" s="9" t="n">
        <v>0.14</v>
      </c>
      <c r="S1421" s="10" t="inlineStr">
        <is>
          <t>V2 — perfil por evento</t>
        </is>
      </c>
      <c r="T1421" s="11" t="n"/>
      <c r="U1421" s="11" t="inlineStr">
        <is>
          <t>DEL BANCO (se hereda)</t>
        </is>
      </c>
      <c r="V1421" s="11" t="n"/>
      <c r="W1421" s="12" t="n"/>
      <c r="X1421" s="12" t="n"/>
    </row>
    <row r="1422" ht="15" customHeight="1">
      <c r="C1422" t="inlineStr">
        <is>
          <t>PERFIL TRANSACCIONAL</t>
        </is>
      </c>
      <c r="D1422" t="inlineStr">
        <is>
          <t>F14</t>
        </is>
      </c>
      <c r="E1422" t="inlineStr">
        <is>
          <t>TRANSACCIONAL</t>
        </is>
      </c>
      <c r="F1422" t="inlineStr">
        <is>
          <t>EFECTIVO DE DE 0-5,000 - USD</t>
        </is>
      </c>
      <c r="G1422" t="n">
        <v>1</v>
      </c>
      <c r="H1422" t="n">
        <v>2</v>
      </c>
      <c r="I1422" t="n">
        <v>2</v>
      </c>
      <c r="J1422" t="n">
        <v>14</v>
      </c>
      <c r="K1422" t="n">
        <v>28</v>
      </c>
      <c r="L1422" t="n">
        <v>28</v>
      </c>
      <c r="M1422" t="n">
        <v>28</v>
      </c>
      <c r="N1422" t="n">
        <v>28</v>
      </c>
      <c r="O1422" t="n">
        <v>70</v>
      </c>
      <c r="P1422" t="n">
        <v>14</v>
      </c>
      <c r="R1422" s="9" t="n">
        <v>0.14</v>
      </c>
      <c r="S1422" s="10" t="inlineStr">
        <is>
          <t>V2 — perfil por evento</t>
        </is>
      </c>
      <c r="T1422" s="11" t="n"/>
      <c r="U1422" s="11" t="inlineStr">
        <is>
          <t>DEL BANCO (se hereda)</t>
        </is>
      </c>
      <c r="V1422" s="11" t="n"/>
      <c r="W1422" s="12" t="n"/>
      <c r="X1422" s="12" t="n"/>
    </row>
    <row r="1423" ht="15" customHeight="1">
      <c r="C1423" t="inlineStr">
        <is>
          <t>PERFIL TRANSACCIONAL</t>
        </is>
      </c>
      <c r="D1423" t="inlineStr">
        <is>
          <t>F14</t>
        </is>
      </c>
      <c r="E1423" t="inlineStr">
        <is>
          <t>TRANSACCIONAL</t>
        </is>
      </c>
      <c r="F1423" t="inlineStr">
        <is>
          <t>TRANSFERENCIAS DE 50,001-250,000.00 - PESOS MXN</t>
        </is>
      </c>
      <c r="G1423" t="n">
        <v>2</v>
      </c>
      <c r="H1423" t="n">
        <v>1</v>
      </c>
      <c r="I1423" t="n">
        <v>1</v>
      </c>
      <c r="J1423" t="n">
        <v>14</v>
      </c>
      <c r="K1423" t="n">
        <v>14</v>
      </c>
      <c r="L1423" t="n">
        <v>14</v>
      </c>
      <c r="M1423" t="n">
        <v>14</v>
      </c>
      <c r="N1423" t="n">
        <v>14</v>
      </c>
      <c r="O1423" t="n">
        <v>70</v>
      </c>
      <c r="P1423" t="n">
        <v>14</v>
      </c>
      <c r="R1423" s="9" t="n">
        <v>0.14</v>
      </c>
      <c r="S1423" s="10" t="inlineStr">
        <is>
          <t>V2 — perfil por evento</t>
        </is>
      </c>
      <c r="T1423" s="11" t="n"/>
      <c r="U1423" s="11" t="inlineStr">
        <is>
          <t>DEL BANCO (se hereda)</t>
        </is>
      </c>
      <c r="V1423" s="11" t="n"/>
      <c r="W1423" s="12" t="n"/>
      <c r="X1423" s="12" t="n"/>
    </row>
    <row r="1424" ht="15" customHeight="1">
      <c r="C1424" t="inlineStr">
        <is>
          <t>PERFIL TRANSACCIONAL</t>
        </is>
      </c>
      <c r="D1424" t="inlineStr">
        <is>
          <t>F14</t>
        </is>
      </c>
      <c r="E1424" t="inlineStr">
        <is>
          <t>TRANSACCIONAL</t>
        </is>
      </c>
      <c r="F1424" t="inlineStr">
        <is>
          <t>CHEQUES DE 50,001-250,000.00 - PESOS MXN</t>
        </is>
      </c>
      <c r="G1424" t="n">
        <v>2</v>
      </c>
      <c r="H1424" t="n">
        <v>1</v>
      </c>
      <c r="I1424" t="n">
        <v>1</v>
      </c>
      <c r="J1424" t="n">
        <v>14</v>
      </c>
      <c r="K1424" t="n">
        <v>14</v>
      </c>
      <c r="L1424" t="n">
        <v>14</v>
      </c>
      <c r="M1424" t="n">
        <v>14</v>
      </c>
      <c r="N1424" t="n">
        <v>14</v>
      </c>
      <c r="O1424" t="n">
        <v>70</v>
      </c>
      <c r="P1424" t="n">
        <v>14</v>
      </c>
      <c r="R1424" s="9" t="n">
        <v>0.14</v>
      </c>
      <c r="S1424" s="10" t="inlineStr">
        <is>
          <t>V2 — perfil por evento</t>
        </is>
      </c>
      <c r="T1424" s="11" t="n"/>
      <c r="U1424" s="11" t="inlineStr">
        <is>
          <t>DEL BANCO (se hereda)</t>
        </is>
      </c>
      <c r="V1424" s="11" t="n"/>
      <c r="W1424" s="12" t="n"/>
      <c r="X1424" s="12" t="n"/>
    </row>
    <row r="1425" ht="15" customHeight="1">
      <c r="C1425" t="inlineStr">
        <is>
          <t>PERFIL TRANSACCIONAL</t>
        </is>
      </c>
      <c r="D1425" t="inlineStr">
        <is>
          <t>F14</t>
        </is>
      </c>
      <c r="E1425" t="inlineStr">
        <is>
          <t>TRANSACCIONAL</t>
        </is>
      </c>
      <c r="F1425" t="inlineStr">
        <is>
          <t>EFECTIVO DE 50,001-250,000.00 - PESOS MXN</t>
        </is>
      </c>
      <c r="G1425" t="n">
        <v>2</v>
      </c>
      <c r="H1425" t="n">
        <v>3</v>
      </c>
      <c r="I1425" t="n">
        <v>3</v>
      </c>
      <c r="J1425" t="n">
        <v>14</v>
      </c>
      <c r="K1425" t="n">
        <v>42</v>
      </c>
      <c r="L1425" t="n">
        <v>42</v>
      </c>
      <c r="M1425" t="n">
        <v>42</v>
      </c>
      <c r="N1425" t="n">
        <v>42</v>
      </c>
      <c r="O1425" t="n">
        <v>70</v>
      </c>
      <c r="P1425" t="n">
        <v>14</v>
      </c>
      <c r="R1425" s="9" t="n">
        <v>0.14</v>
      </c>
      <c r="S1425" s="10" t="inlineStr">
        <is>
          <t>V2 — perfil por evento</t>
        </is>
      </c>
      <c r="T1425" s="11" t="n"/>
      <c r="U1425" s="11" t="inlineStr">
        <is>
          <t>DEL BANCO (se hereda)</t>
        </is>
      </c>
      <c r="V1425" s="11" t="n"/>
      <c r="W1425" s="12" t="n"/>
      <c r="X1425" s="12" t="n"/>
    </row>
    <row r="1426" ht="15" customHeight="1">
      <c r="C1426" t="inlineStr">
        <is>
          <t>PERFIL TRANSACCIONAL</t>
        </is>
      </c>
      <c r="D1426" t="inlineStr">
        <is>
          <t>F14</t>
        </is>
      </c>
      <c r="E1426" t="inlineStr">
        <is>
          <t>TRANSACCIONAL</t>
        </is>
      </c>
      <c r="F1426" t="inlineStr">
        <is>
          <t>TRANSFERENCIAS DE 5,001-25,000 - USD</t>
        </is>
      </c>
      <c r="G1426" t="n">
        <v>2</v>
      </c>
      <c r="H1426" t="n">
        <v>1</v>
      </c>
      <c r="I1426" t="n">
        <v>1</v>
      </c>
      <c r="J1426" t="n">
        <v>14</v>
      </c>
      <c r="K1426" t="n">
        <v>14</v>
      </c>
      <c r="L1426" t="n">
        <v>14</v>
      </c>
      <c r="M1426" t="n">
        <v>14</v>
      </c>
      <c r="N1426" t="n">
        <v>14</v>
      </c>
      <c r="O1426" t="n">
        <v>70</v>
      </c>
      <c r="P1426" t="n">
        <v>14</v>
      </c>
      <c r="R1426" s="9" t="n">
        <v>0.14</v>
      </c>
      <c r="S1426" s="10" t="inlineStr">
        <is>
          <t>V2 — perfil por evento</t>
        </is>
      </c>
      <c r="T1426" s="11" t="n"/>
      <c r="U1426" s="11" t="inlineStr">
        <is>
          <t>DEL BANCO (se hereda)</t>
        </is>
      </c>
      <c r="V1426" s="11" t="n"/>
      <c r="W1426" s="12" t="n"/>
      <c r="X1426" s="12" t="n"/>
    </row>
    <row r="1427" ht="15" customHeight="1">
      <c r="C1427" t="inlineStr">
        <is>
          <t>PERFIL TRANSACCIONAL</t>
        </is>
      </c>
      <c r="D1427" t="inlineStr">
        <is>
          <t>F14</t>
        </is>
      </c>
      <c r="E1427" t="inlineStr">
        <is>
          <t>TRANSACCIONAL</t>
        </is>
      </c>
      <c r="F1427" t="inlineStr">
        <is>
          <t>CHEQUES DE 5,001-25,000 - USD</t>
        </is>
      </c>
      <c r="G1427" t="n">
        <v>2</v>
      </c>
      <c r="H1427" t="n">
        <v>1</v>
      </c>
      <c r="I1427" t="n">
        <v>1</v>
      </c>
      <c r="J1427" t="n">
        <v>14</v>
      </c>
      <c r="K1427" t="n">
        <v>14</v>
      </c>
      <c r="L1427" t="n">
        <v>14</v>
      </c>
      <c r="M1427" t="n">
        <v>14</v>
      </c>
      <c r="N1427" t="n">
        <v>14</v>
      </c>
      <c r="O1427" t="n">
        <v>70</v>
      </c>
      <c r="P1427" t="n">
        <v>14</v>
      </c>
      <c r="R1427" s="9" t="n">
        <v>0.14</v>
      </c>
      <c r="S1427" s="10" t="inlineStr">
        <is>
          <t>V2 — perfil por evento</t>
        </is>
      </c>
      <c r="T1427" s="11" t="n"/>
      <c r="U1427" s="11" t="inlineStr">
        <is>
          <t>DEL BANCO (se hereda)</t>
        </is>
      </c>
      <c r="V1427" s="11" t="n"/>
      <c r="W1427" s="12" t="n"/>
      <c r="X1427" s="12" t="n"/>
    </row>
    <row r="1428" ht="15" customHeight="1">
      <c r="C1428" t="inlineStr">
        <is>
          <t>PERFIL TRANSACCIONAL</t>
        </is>
      </c>
      <c r="D1428" t="inlineStr">
        <is>
          <t>F14</t>
        </is>
      </c>
      <c r="E1428" t="inlineStr">
        <is>
          <t>TRANSACCIONAL</t>
        </is>
      </c>
      <c r="F1428" t="inlineStr">
        <is>
          <t>EFECTIVO DE 5,001-25,000 - USD</t>
        </is>
      </c>
      <c r="G1428" t="n">
        <v>2</v>
      </c>
      <c r="H1428" t="n">
        <v>3</v>
      </c>
      <c r="I1428" t="n">
        <v>3</v>
      </c>
      <c r="J1428" t="n">
        <v>14</v>
      </c>
      <c r="K1428" t="n">
        <v>42</v>
      </c>
      <c r="L1428" t="n">
        <v>42</v>
      </c>
      <c r="M1428" t="n">
        <v>42</v>
      </c>
      <c r="N1428" t="n">
        <v>42</v>
      </c>
      <c r="O1428" t="n">
        <v>70</v>
      </c>
      <c r="P1428" t="n">
        <v>14</v>
      </c>
      <c r="R1428" s="9" t="n">
        <v>0.14</v>
      </c>
      <c r="S1428" s="10" t="inlineStr">
        <is>
          <t>V2 — perfil por evento</t>
        </is>
      </c>
      <c r="T1428" s="11" t="n"/>
      <c r="U1428" s="11" t="inlineStr">
        <is>
          <t>DEL BANCO (se hereda)</t>
        </is>
      </c>
      <c r="V1428" s="11" t="n"/>
      <c r="W1428" s="12" t="n"/>
      <c r="X1428" s="12" t="n"/>
    </row>
    <row r="1429" ht="15" customHeight="1">
      <c r="C1429" t="inlineStr">
        <is>
          <t>PERFIL TRANSACCIONAL</t>
        </is>
      </c>
      <c r="D1429" t="inlineStr">
        <is>
          <t>F14</t>
        </is>
      </c>
      <c r="E1429" t="inlineStr">
        <is>
          <t>TRANSACCIONAL</t>
        </is>
      </c>
      <c r="F1429" t="inlineStr">
        <is>
          <t>TRANSFERENCIAS DE 250,001-1,250,000.00 - PESOS MXN</t>
        </is>
      </c>
      <c r="G1429" t="n">
        <v>3</v>
      </c>
      <c r="H1429" t="n">
        <v>2</v>
      </c>
      <c r="I1429" t="n">
        <v>2</v>
      </c>
      <c r="J1429" t="n">
        <v>14</v>
      </c>
      <c r="K1429" t="n">
        <v>28</v>
      </c>
      <c r="L1429" t="n">
        <v>28</v>
      </c>
      <c r="M1429" t="n">
        <v>28</v>
      </c>
      <c r="N1429" t="n">
        <v>28</v>
      </c>
      <c r="O1429" t="n">
        <v>70</v>
      </c>
      <c r="P1429" t="n">
        <v>14</v>
      </c>
      <c r="R1429" s="9" t="n">
        <v>0.14</v>
      </c>
      <c r="S1429" s="10" t="inlineStr">
        <is>
          <t>V2 — perfil por evento</t>
        </is>
      </c>
      <c r="T1429" s="11" t="n"/>
      <c r="U1429" s="11" t="inlineStr">
        <is>
          <t>DEL BANCO (se hereda)</t>
        </is>
      </c>
      <c r="V1429" s="11" t="n"/>
      <c r="W1429" s="12" t="n"/>
      <c r="X1429" s="12" t="n"/>
    </row>
    <row r="1430" ht="15" customHeight="1">
      <c r="C1430" t="inlineStr">
        <is>
          <t>PERFIL TRANSACCIONAL</t>
        </is>
      </c>
      <c r="D1430" t="inlineStr">
        <is>
          <t>F14</t>
        </is>
      </c>
      <c r="E1430" t="inlineStr">
        <is>
          <t>TRANSACCIONAL</t>
        </is>
      </c>
      <c r="F1430" t="inlineStr">
        <is>
          <t>CHEQUES DE 250,001-1,250,000.00 - PESOS MXN</t>
        </is>
      </c>
      <c r="G1430" t="n">
        <v>3</v>
      </c>
      <c r="H1430" t="n">
        <v>2</v>
      </c>
      <c r="I1430" t="n">
        <v>2</v>
      </c>
      <c r="J1430" t="n">
        <v>14</v>
      </c>
      <c r="K1430" t="n">
        <v>28</v>
      </c>
      <c r="L1430" t="n">
        <v>28</v>
      </c>
      <c r="M1430" t="n">
        <v>28</v>
      </c>
      <c r="N1430" t="n">
        <v>28</v>
      </c>
      <c r="O1430" t="n">
        <v>70</v>
      </c>
      <c r="P1430" t="n">
        <v>14</v>
      </c>
      <c r="R1430" s="9" t="n">
        <v>0.14</v>
      </c>
      <c r="S1430" s="10" t="inlineStr">
        <is>
          <t>V2 — perfil por evento</t>
        </is>
      </c>
      <c r="T1430" s="11" t="n"/>
      <c r="U1430" s="11" t="inlineStr">
        <is>
          <t>DEL BANCO (se hereda)</t>
        </is>
      </c>
      <c r="V1430" s="11" t="n"/>
      <c r="W1430" s="12" t="n"/>
      <c r="X1430" s="12" t="n"/>
    </row>
    <row r="1431" ht="15" customHeight="1">
      <c r="C1431" t="inlineStr">
        <is>
          <t>PERFIL TRANSACCIONAL</t>
        </is>
      </c>
      <c r="D1431" t="inlineStr">
        <is>
          <t>F14</t>
        </is>
      </c>
      <c r="E1431" t="inlineStr">
        <is>
          <t>TRANSACCIONAL</t>
        </is>
      </c>
      <c r="F1431" t="inlineStr">
        <is>
          <t>EFECTIVO DE 250,001-1,250,000.00 - PESOS MXN</t>
        </is>
      </c>
      <c r="G1431" t="n">
        <v>3</v>
      </c>
      <c r="H1431" t="n">
        <v>4</v>
      </c>
      <c r="I1431" t="n">
        <v>4</v>
      </c>
      <c r="J1431" t="n">
        <v>14</v>
      </c>
      <c r="K1431" t="n">
        <v>56</v>
      </c>
      <c r="L1431" t="n">
        <v>56</v>
      </c>
      <c r="M1431" t="n">
        <v>56</v>
      </c>
      <c r="N1431" t="n">
        <v>56</v>
      </c>
      <c r="O1431" t="n">
        <v>70</v>
      </c>
      <c r="P1431" t="n">
        <v>14</v>
      </c>
      <c r="R1431" s="9" t="n">
        <v>0.14</v>
      </c>
      <c r="S1431" s="10" t="inlineStr">
        <is>
          <t>V2 — perfil por evento</t>
        </is>
      </c>
      <c r="T1431" s="11" t="n"/>
      <c r="U1431" s="11" t="inlineStr">
        <is>
          <t>DEL BANCO (se hereda)</t>
        </is>
      </c>
      <c r="V1431" s="11" t="n"/>
      <c r="W1431" s="12" t="n"/>
      <c r="X1431" s="12" t="n"/>
    </row>
    <row r="1432" ht="15" customHeight="1">
      <c r="C1432" t="inlineStr">
        <is>
          <t>PERFIL TRANSACCIONAL</t>
        </is>
      </c>
      <c r="D1432" t="inlineStr">
        <is>
          <t>F14</t>
        </is>
      </c>
      <c r="E1432" t="inlineStr">
        <is>
          <t>TRANSACCIONAL</t>
        </is>
      </c>
      <c r="F1432" t="inlineStr">
        <is>
          <t>TRANSFERENCIAS DE 25,001-125,000 - USD</t>
        </is>
      </c>
      <c r="G1432" t="n">
        <v>3</v>
      </c>
      <c r="H1432" t="n">
        <v>2</v>
      </c>
      <c r="I1432" t="n">
        <v>2</v>
      </c>
      <c r="J1432" t="n">
        <v>14</v>
      </c>
      <c r="K1432" t="n">
        <v>28</v>
      </c>
      <c r="L1432" t="n">
        <v>28</v>
      </c>
      <c r="M1432" t="n">
        <v>28</v>
      </c>
      <c r="N1432" t="n">
        <v>28</v>
      </c>
      <c r="O1432" t="n">
        <v>70</v>
      </c>
      <c r="P1432" t="n">
        <v>14</v>
      </c>
      <c r="R1432" s="9" t="n">
        <v>0.14</v>
      </c>
      <c r="S1432" s="10" t="inlineStr">
        <is>
          <t>V2 — perfil por evento</t>
        </is>
      </c>
      <c r="T1432" s="11" t="n"/>
      <c r="U1432" s="11" t="inlineStr">
        <is>
          <t>DEL BANCO (se hereda)</t>
        </is>
      </c>
      <c r="V1432" s="11" t="n"/>
      <c r="W1432" s="12" t="n"/>
      <c r="X1432" s="12" t="n"/>
    </row>
    <row r="1433" ht="15" customHeight="1">
      <c r="C1433" t="inlineStr">
        <is>
          <t>PERFIL TRANSACCIONAL</t>
        </is>
      </c>
      <c r="D1433" t="inlineStr">
        <is>
          <t>F14</t>
        </is>
      </c>
      <c r="E1433" t="inlineStr">
        <is>
          <t>TRANSACCIONAL</t>
        </is>
      </c>
      <c r="F1433" t="inlineStr">
        <is>
          <t>CHEQUES DE 25,001-125,000 - USD</t>
        </is>
      </c>
      <c r="G1433" t="n">
        <v>3</v>
      </c>
      <c r="H1433" t="n">
        <v>2</v>
      </c>
      <c r="I1433" t="n">
        <v>2</v>
      </c>
      <c r="J1433" t="n">
        <v>14</v>
      </c>
      <c r="K1433" t="n">
        <v>28</v>
      </c>
      <c r="L1433" t="n">
        <v>28</v>
      </c>
      <c r="M1433" t="n">
        <v>28</v>
      </c>
      <c r="N1433" t="n">
        <v>28</v>
      </c>
      <c r="O1433" t="n">
        <v>70</v>
      </c>
      <c r="P1433" t="n">
        <v>14</v>
      </c>
      <c r="R1433" s="9" t="n">
        <v>0.14</v>
      </c>
      <c r="S1433" s="10" t="inlineStr">
        <is>
          <t>V2 — perfil por evento</t>
        </is>
      </c>
      <c r="T1433" s="11" t="n"/>
      <c r="U1433" s="11" t="inlineStr">
        <is>
          <t>DEL BANCO (se hereda)</t>
        </is>
      </c>
      <c r="V1433" s="11" t="n"/>
      <c r="W1433" s="12" t="n"/>
      <c r="X1433" s="12" t="n"/>
    </row>
    <row r="1434" ht="15" customHeight="1">
      <c r="C1434" t="inlineStr">
        <is>
          <t>PERFIL TRANSACCIONAL</t>
        </is>
      </c>
      <c r="D1434" t="inlineStr">
        <is>
          <t>F14</t>
        </is>
      </c>
      <c r="E1434" t="inlineStr">
        <is>
          <t>TRANSACCIONAL</t>
        </is>
      </c>
      <c r="F1434" t="inlineStr">
        <is>
          <t>EFECTIVO DE 25,001-125,000 - USD</t>
        </is>
      </c>
      <c r="G1434" t="n">
        <v>3</v>
      </c>
      <c r="H1434" t="n">
        <v>4</v>
      </c>
      <c r="I1434" t="n">
        <v>4</v>
      </c>
      <c r="J1434" t="n">
        <v>14</v>
      </c>
      <c r="K1434" t="n">
        <v>56</v>
      </c>
      <c r="L1434" t="n">
        <v>56</v>
      </c>
      <c r="M1434" t="n">
        <v>56</v>
      </c>
      <c r="N1434" t="n">
        <v>56</v>
      </c>
      <c r="O1434" t="n">
        <v>70</v>
      </c>
      <c r="P1434" t="n">
        <v>14</v>
      </c>
      <c r="R1434" s="9" t="n">
        <v>0.14</v>
      </c>
      <c r="S1434" s="10" t="inlineStr">
        <is>
          <t>V2 — perfil por evento</t>
        </is>
      </c>
      <c r="T1434" s="11" t="n"/>
      <c r="U1434" s="11" t="inlineStr">
        <is>
          <t>DEL BANCO (se hereda)</t>
        </is>
      </c>
      <c r="V1434" s="11" t="n"/>
      <c r="W1434" s="12" t="n"/>
      <c r="X1434" s="12" t="n"/>
    </row>
    <row r="1435" ht="15" customHeight="1">
      <c r="C1435" t="inlineStr">
        <is>
          <t>PERFIL TRANSACCIONAL</t>
        </is>
      </c>
      <c r="D1435" t="inlineStr">
        <is>
          <t>F14</t>
        </is>
      </c>
      <c r="E1435" t="inlineStr">
        <is>
          <t>TRANSACCIONAL</t>
        </is>
      </c>
      <c r="F1435" t="inlineStr">
        <is>
          <t>TRANSFERENCIAS DE 1,250,000.00 EN ADELANTE - PESOS MXN</t>
        </is>
      </c>
      <c r="G1435" t="n">
        <v>4</v>
      </c>
      <c r="H1435" t="n">
        <v>2</v>
      </c>
      <c r="I1435" t="n">
        <v>2</v>
      </c>
      <c r="J1435" t="n">
        <v>14</v>
      </c>
      <c r="K1435" t="n">
        <v>28</v>
      </c>
      <c r="L1435" t="n">
        <v>28</v>
      </c>
      <c r="M1435" t="n">
        <v>28</v>
      </c>
      <c r="N1435" t="n">
        <v>28</v>
      </c>
      <c r="O1435" t="n">
        <v>70</v>
      </c>
      <c r="P1435" t="n">
        <v>14</v>
      </c>
      <c r="R1435" s="9" t="n">
        <v>0.14</v>
      </c>
      <c r="S1435" s="10" t="inlineStr">
        <is>
          <t>V2 — perfil por evento</t>
        </is>
      </c>
      <c r="T1435" s="11" t="n"/>
      <c r="U1435" s="11" t="inlineStr">
        <is>
          <t>DEL BANCO (se hereda)</t>
        </is>
      </c>
      <c r="V1435" s="11" t="n"/>
      <c r="W1435" s="12" t="n"/>
      <c r="X1435" s="12" t="n"/>
    </row>
    <row r="1436" ht="15" customHeight="1">
      <c r="C1436" t="inlineStr">
        <is>
          <t>PERFIL TRANSACCIONAL</t>
        </is>
      </c>
      <c r="D1436" t="inlineStr">
        <is>
          <t>F14</t>
        </is>
      </c>
      <c r="E1436" t="inlineStr">
        <is>
          <t>TRANSACCIONAL</t>
        </is>
      </c>
      <c r="F1436" t="inlineStr">
        <is>
          <t>CHEQUES DE 1,250,000.00 EN ADELANTE - PESOS MXN</t>
        </is>
      </c>
      <c r="G1436" t="n">
        <v>4</v>
      </c>
      <c r="H1436" t="n">
        <v>2</v>
      </c>
      <c r="I1436" t="n">
        <v>2</v>
      </c>
      <c r="J1436" t="n">
        <v>14</v>
      </c>
      <c r="K1436" t="n">
        <v>28</v>
      </c>
      <c r="L1436" t="n">
        <v>28</v>
      </c>
      <c r="M1436" t="n">
        <v>28</v>
      </c>
      <c r="N1436" t="n">
        <v>28</v>
      </c>
      <c r="O1436" t="n">
        <v>70</v>
      </c>
      <c r="P1436" t="n">
        <v>14</v>
      </c>
      <c r="R1436" s="9" t="n">
        <v>0.14</v>
      </c>
      <c r="S1436" s="10" t="inlineStr">
        <is>
          <t>V2 — perfil por evento</t>
        </is>
      </c>
      <c r="T1436" s="11" t="n"/>
      <c r="U1436" s="11" t="inlineStr">
        <is>
          <t>DEL BANCO (se hereda)</t>
        </is>
      </c>
      <c r="V1436" s="11" t="n"/>
      <c r="W1436" s="12" t="n"/>
      <c r="X1436" s="12" t="n"/>
    </row>
    <row r="1437" ht="15" customHeight="1">
      <c r="C1437" t="inlineStr">
        <is>
          <t>PERFIL TRANSACCIONAL</t>
        </is>
      </c>
      <c r="D1437" t="inlineStr">
        <is>
          <t>F14</t>
        </is>
      </c>
      <c r="E1437" t="inlineStr">
        <is>
          <t>TRANSACCIONAL</t>
        </is>
      </c>
      <c r="F1437" t="inlineStr">
        <is>
          <t>EFECTIVO DE 1,250,000.00 EN ADELANTE - PESOS MXN</t>
        </is>
      </c>
      <c r="G1437" t="n">
        <v>4</v>
      </c>
      <c r="H1437" t="n">
        <v>5</v>
      </c>
      <c r="I1437" t="n">
        <v>5</v>
      </c>
      <c r="J1437" t="n">
        <v>14</v>
      </c>
      <c r="K1437" t="n">
        <v>70</v>
      </c>
      <c r="L1437" t="n">
        <v>70</v>
      </c>
      <c r="M1437" t="n">
        <v>70</v>
      </c>
      <c r="N1437" t="n">
        <v>70</v>
      </c>
      <c r="O1437" t="n">
        <v>70</v>
      </c>
      <c r="P1437" t="n">
        <v>14</v>
      </c>
      <c r="R1437" s="9" t="n">
        <v>0.14</v>
      </c>
      <c r="S1437" s="10" t="inlineStr">
        <is>
          <t>V2 — perfil por evento</t>
        </is>
      </c>
      <c r="T1437" s="11" t="n"/>
      <c r="U1437" s="11" t="inlineStr">
        <is>
          <t>DEL BANCO (se hereda)</t>
        </is>
      </c>
      <c r="V1437" s="11" t="n"/>
      <c r="W1437" s="12" t="n"/>
      <c r="X1437" s="12" t="n"/>
    </row>
    <row r="1438" ht="15" customHeight="1">
      <c r="C1438" t="inlineStr">
        <is>
          <t>PERFIL TRANSACCIONAL</t>
        </is>
      </c>
      <c r="D1438" t="inlineStr">
        <is>
          <t>F14</t>
        </is>
      </c>
      <c r="E1438" t="inlineStr">
        <is>
          <t>TRANSACCIONAL</t>
        </is>
      </c>
      <c r="F1438" t="inlineStr">
        <is>
          <t>TRANSFERENCIAS DE 125,000.00 EN ADELANTE - USD</t>
        </is>
      </c>
      <c r="G1438" t="n">
        <v>4</v>
      </c>
      <c r="H1438" t="n">
        <v>2</v>
      </c>
      <c r="I1438" t="n">
        <v>2</v>
      </c>
      <c r="J1438" t="n">
        <v>14</v>
      </c>
      <c r="K1438" t="n">
        <v>28</v>
      </c>
      <c r="L1438" t="n">
        <v>28</v>
      </c>
      <c r="M1438" t="n">
        <v>28</v>
      </c>
      <c r="N1438" t="n">
        <v>28</v>
      </c>
      <c r="O1438" t="n">
        <v>70</v>
      </c>
      <c r="P1438" t="n">
        <v>14</v>
      </c>
      <c r="R1438" s="9" t="n">
        <v>0.14</v>
      </c>
      <c r="S1438" s="10" t="inlineStr">
        <is>
          <t>V2 — perfil por evento</t>
        </is>
      </c>
      <c r="T1438" s="11" t="n"/>
      <c r="U1438" s="11" t="inlineStr">
        <is>
          <t>DEL BANCO (se hereda)</t>
        </is>
      </c>
      <c r="V1438" s="11" t="n"/>
      <c r="W1438" s="12" t="n"/>
      <c r="X1438" s="12" t="n"/>
    </row>
    <row r="1439" ht="15" customHeight="1">
      <c r="C1439" t="inlineStr">
        <is>
          <t>PERFIL TRANSACCIONAL</t>
        </is>
      </c>
      <c r="D1439" t="inlineStr">
        <is>
          <t>F14</t>
        </is>
      </c>
      <c r="E1439" t="inlineStr">
        <is>
          <t>TRANSACCIONAL</t>
        </is>
      </c>
      <c r="F1439" t="inlineStr">
        <is>
          <t>CHEQUES DE 125,000.00 EN ADELANTE - USD</t>
        </is>
      </c>
      <c r="G1439" t="n">
        <v>4</v>
      </c>
      <c r="H1439" t="n">
        <v>2</v>
      </c>
      <c r="I1439" t="n">
        <v>2</v>
      </c>
      <c r="J1439" t="n">
        <v>14</v>
      </c>
      <c r="K1439" t="n">
        <v>28</v>
      </c>
      <c r="L1439" t="n">
        <v>28</v>
      </c>
      <c r="M1439" t="n">
        <v>28</v>
      </c>
      <c r="N1439" t="n">
        <v>28</v>
      </c>
      <c r="O1439" t="n">
        <v>70</v>
      </c>
      <c r="P1439" t="n">
        <v>14</v>
      </c>
      <c r="R1439" s="9" t="n">
        <v>0.14</v>
      </c>
      <c r="S1439" s="10" t="inlineStr">
        <is>
          <t>V2 — perfil por evento</t>
        </is>
      </c>
      <c r="T1439" s="11" t="n"/>
      <c r="U1439" s="11" t="inlineStr">
        <is>
          <t>DEL BANCO (se hereda)</t>
        </is>
      </c>
      <c r="V1439" s="11" t="n"/>
      <c r="W1439" s="12" t="n"/>
      <c r="X1439" s="12" t="n"/>
    </row>
    <row r="1440" ht="15" customHeight="1">
      <c r="C1440" t="inlineStr">
        <is>
          <t>PERFIL TRANSACCIONAL</t>
        </is>
      </c>
      <c r="D1440" t="inlineStr">
        <is>
          <t>F14</t>
        </is>
      </c>
      <c r="E1440" t="inlineStr">
        <is>
          <t>TRANSACCIONAL</t>
        </is>
      </c>
      <c r="F1440" t="inlineStr">
        <is>
          <t>EFECTIVO DE 125,000.00 EN ADELANTE - USD</t>
        </is>
      </c>
      <c r="G1440" t="n">
        <v>4</v>
      </c>
      <c r="H1440" t="n">
        <v>5</v>
      </c>
      <c r="I1440" t="n">
        <v>5</v>
      </c>
      <c r="J1440" t="n">
        <v>14</v>
      </c>
      <c r="K1440" t="n">
        <v>70</v>
      </c>
      <c r="L1440" t="n">
        <v>70</v>
      </c>
      <c r="M1440" t="n">
        <v>70</v>
      </c>
      <c r="N1440" t="n">
        <v>70</v>
      </c>
      <c r="O1440" t="n">
        <v>70</v>
      </c>
      <c r="P1440" t="n">
        <v>14</v>
      </c>
      <c r="R1440" s="9" t="n">
        <v>0.14</v>
      </c>
      <c r="S1440" s="10" t="inlineStr">
        <is>
          <t>V2 — perfil por evento</t>
        </is>
      </c>
      <c r="T1440" s="11" t="n"/>
      <c r="U1440" s="11" t="inlineStr">
        <is>
          <t>DEL BANCO (se hereda)</t>
        </is>
      </c>
      <c r="V1440" s="11" t="n"/>
      <c r="W1440" s="12" t="n"/>
      <c r="X1440" s="12" t="n"/>
    </row>
    <row r="1441" ht="15" customHeight="1">
      <c r="C1441" t="inlineStr">
        <is>
          <t>SUCURSAL DE APERTURA DE LA CUENTA</t>
        </is>
      </c>
      <c r="D1441" t="inlineStr">
        <is>
          <t>F15</t>
        </is>
      </c>
      <c r="E1441" t="inlineStr">
        <is>
          <t>TRANSACCIONAL</t>
        </is>
      </c>
      <c r="F1441" t="inlineStr">
        <is>
          <t>AGUASCALIENTES</t>
        </is>
      </c>
      <c r="G1441" t="n">
        <v>1</v>
      </c>
      <c r="H1441" t="n">
        <v>2</v>
      </c>
      <c r="I1441" t="n">
        <v>2</v>
      </c>
      <c r="J1441" t="n">
        <v>6</v>
      </c>
      <c r="K1441" t="n">
        <v>12</v>
      </c>
      <c r="L1441" t="n">
        <v>12</v>
      </c>
      <c r="M1441" t="n">
        <v>12</v>
      </c>
      <c r="N1441" t="n">
        <v>12</v>
      </c>
      <c r="O1441" t="n">
        <v>30</v>
      </c>
      <c r="P1441" t="n">
        <v>6</v>
      </c>
      <c r="R1441" s="9" t="n">
        <v>0.06</v>
      </c>
      <c r="S1441" s="10" t="inlineStr">
        <is>
          <t>NO — sucursal no aplica</t>
        </is>
      </c>
      <c r="T1441" s="11" t="n"/>
      <c r="U1441" s="11" t="inlineStr">
        <is>
          <t>DEL BANCO (se hereda)</t>
        </is>
      </c>
      <c r="V1441" s="11" t="n"/>
      <c r="W1441" s="12" t="n"/>
      <c r="X1441" s="12" t="n"/>
    </row>
    <row r="1442" ht="15" customHeight="1">
      <c r="C1442" t="inlineStr">
        <is>
          <t>SUCURSAL DE APERTURA DE LA CUENTA</t>
        </is>
      </c>
      <c r="D1442" t="inlineStr">
        <is>
          <t>F15</t>
        </is>
      </c>
      <c r="E1442" t="inlineStr">
        <is>
          <t>TRANSACCIONAL</t>
        </is>
      </c>
      <c r="F1442" t="inlineStr">
        <is>
          <t>BAJA CALIFORNIA</t>
        </is>
      </c>
      <c r="G1442" t="n">
        <v>2</v>
      </c>
      <c r="H1442" t="n">
        <v>5</v>
      </c>
      <c r="I1442" t="n">
        <v>5</v>
      </c>
      <c r="J1442" t="n">
        <v>6</v>
      </c>
      <c r="K1442" t="n">
        <v>30</v>
      </c>
      <c r="L1442" t="n">
        <v>30</v>
      </c>
      <c r="M1442" t="n">
        <v>30</v>
      </c>
      <c r="N1442" t="n">
        <v>30</v>
      </c>
      <c r="O1442" t="n">
        <v>30</v>
      </c>
      <c r="P1442" t="n">
        <v>6</v>
      </c>
      <c r="R1442" s="9" t="n">
        <v>0.06</v>
      </c>
      <c r="S1442" s="10" t="inlineStr">
        <is>
          <t>NO — sucursal no aplica</t>
        </is>
      </c>
      <c r="T1442" s="11" t="n"/>
      <c r="U1442" s="11" t="inlineStr">
        <is>
          <t>DEL BANCO (se hereda)</t>
        </is>
      </c>
      <c r="V1442" s="11" t="n"/>
      <c r="W1442" s="12" t="n"/>
      <c r="X1442" s="12" t="n"/>
    </row>
    <row r="1443" ht="15" customHeight="1">
      <c r="C1443" t="inlineStr">
        <is>
          <t>SUCURSAL DE APERTURA DE LA CUENTA</t>
        </is>
      </c>
      <c r="D1443" t="inlineStr">
        <is>
          <t>F15</t>
        </is>
      </c>
      <c r="E1443" t="inlineStr">
        <is>
          <t>TRANSACCIONAL</t>
        </is>
      </c>
      <c r="F1443" t="inlineStr">
        <is>
          <t>BAJA CALIFORNIA SUR</t>
        </is>
      </c>
      <c r="G1443" t="n">
        <v>3</v>
      </c>
      <c r="H1443" t="n">
        <v>3</v>
      </c>
      <c r="I1443" t="n">
        <v>3</v>
      </c>
      <c r="J1443" t="n">
        <v>6</v>
      </c>
      <c r="K1443" t="n">
        <v>18</v>
      </c>
      <c r="L1443" t="n">
        <v>18</v>
      </c>
      <c r="M1443" t="n">
        <v>18</v>
      </c>
      <c r="N1443" t="n">
        <v>18</v>
      </c>
      <c r="O1443" t="n">
        <v>30</v>
      </c>
      <c r="P1443" t="n">
        <v>6</v>
      </c>
      <c r="R1443" s="9" t="n">
        <v>0.06</v>
      </c>
      <c r="S1443" s="10" t="inlineStr">
        <is>
          <t>NO — sucursal no aplica</t>
        </is>
      </c>
      <c r="T1443" s="11" t="n"/>
      <c r="U1443" s="11" t="inlineStr">
        <is>
          <t>DEL BANCO (se hereda)</t>
        </is>
      </c>
      <c r="V1443" s="11" t="n"/>
      <c r="W1443" s="12" t="n"/>
      <c r="X1443" s="12" t="n"/>
    </row>
    <row r="1444" ht="15" customHeight="1">
      <c r="C1444" t="inlineStr">
        <is>
          <t>SUCURSAL DE APERTURA DE LA CUENTA</t>
        </is>
      </c>
      <c r="D1444" t="inlineStr">
        <is>
          <t>F15</t>
        </is>
      </c>
      <c r="E1444" t="inlineStr">
        <is>
          <t>TRANSACCIONAL</t>
        </is>
      </c>
      <c r="F1444" t="inlineStr">
        <is>
          <t>CAMPECHE</t>
        </is>
      </c>
      <c r="G1444" t="n">
        <v>4</v>
      </c>
      <c r="H1444" t="n">
        <v>3</v>
      </c>
      <c r="I1444" t="n">
        <v>3</v>
      </c>
      <c r="J1444" t="n">
        <v>6</v>
      </c>
      <c r="K1444" t="n">
        <v>18</v>
      </c>
      <c r="L1444" t="n">
        <v>18</v>
      </c>
      <c r="M1444" t="n">
        <v>18</v>
      </c>
      <c r="N1444" t="n">
        <v>18</v>
      </c>
      <c r="O1444" t="n">
        <v>30</v>
      </c>
      <c r="P1444" t="n">
        <v>6</v>
      </c>
      <c r="R1444" s="9" t="n">
        <v>0.06</v>
      </c>
      <c r="S1444" s="10" t="inlineStr">
        <is>
          <t>NO — sucursal no aplica</t>
        </is>
      </c>
      <c r="T1444" s="11" t="n"/>
      <c r="U1444" s="11" t="inlineStr">
        <is>
          <t>DEL BANCO (se hereda)</t>
        </is>
      </c>
      <c r="V1444" s="11" t="n"/>
      <c r="W1444" s="12" t="n"/>
      <c r="X1444" s="12" t="n"/>
    </row>
    <row r="1445" ht="15" customHeight="1">
      <c r="C1445" t="inlineStr">
        <is>
          <t>SUCURSAL DE APERTURA DE LA CUENTA</t>
        </is>
      </c>
      <c r="D1445" t="inlineStr">
        <is>
          <t>F15</t>
        </is>
      </c>
      <c r="E1445" t="inlineStr">
        <is>
          <t>TRANSACCIONAL</t>
        </is>
      </c>
      <c r="F1445" t="inlineStr">
        <is>
          <t>COAHUILA</t>
        </is>
      </c>
      <c r="G1445" t="n">
        <v>5</v>
      </c>
      <c r="H1445" t="n">
        <v>3</v>
      </c>
      <c r="I1445" t="n">
        <v>3</v>
      </c>
      <c r="J1445" t="n">
        <v>6</v>
      </c>
      <c r="K1445" t="n">
        <v>18</v>
      </c>
      <c r="L1445" t="n">
        <v>18</v>
      </c>
      <c r="M1445" t="n">
        <v>18</v>
      </c>
      <c r="N1445" t="n">
        <v>18</v>
      </c>
      <c r="O1445" t="n">
        <v>30</v>
      </c>
      <c r="P1445" t="n">
        <v>6</v>
      </c>
      <c r="R1445" s="9" t="n">
        <v>0.06</v>
      </c>
      <c r="S1445" s="10" t="inlineStr">
        <is>
          <t>NO — sucursal no aplica</t>
        </is>
      </c>
      <c r="T1445" s="11" t="n"/>
      <c r="U1445" s="11" t="inlineStr">
        <is>
          <t>DEL BANCO (se hereda)</t>
        </is>
      </c>
      <c r="V1445" s="11" t="n"/>
      <c r="W1445" s="12" t="n"/>
      <c r="X1445" s="12" t="n"/>
    </row>
    <row r="1446" ht="15" customHeight="1">
      <c r="C1446" t="inlineStr">
        <is>
          <t>SUCURSAL DE APERTURA DE LA CUENTA</t>
        </is>
      </c>
      <c r="D1446" t="inlineStr">
        <is>
          <t>F15</t>
        </is>
      </c>
      <c r="E1446" t="inlineStr">
        <is>
          <t>TRANSACCIONAL</t>
        </is>
      </c>
      <c r="F1446" t="inlineStr">
        <is>
          <t>COLIMA</t>
        </is>
      </c>
      <c r="G1446" t="n">
        <v>6</v>
      </c>
      <c r="H1446" t="n">
        <v>4</v>
      </c>
      <c r="I1446" t="n">
        <v>4</v>
      </c>
      <c r="J1446" t="n">
        <v>6</v>
      </c>
      <c r="K1446" t="n">
        <v>24</v>
      </c>
      <c r="L1446" t="n">
        <v>24</v>
      </c>
      <c r="M1446" t="n">
        <v>24</v>
      </c>
      <c r="N1446" t="n">
        <v>24</v>
      </c>
      <c r="O1446" t="n">
        <v>30</v>
      </c>
      <c r="P1446" t="n">
        <v>6</v>
      </c>
      <c r="R1446" s="9" t="n">
        <v>0.06</v>
      </c>
      <c r="S1446" s="10" t="inlineStr">
        <is>
          <t>NO — sucursal no aplica</t>
        </is>
      </c>
      <c r="T1446" s="11" t="n"/>
      <c r="U1446" s="11" t="inlineStr">
        <is>
          <t>DEL BANCO (se hereda)</t>
        </is>
      </c>
      <c r="V1446" s="11" t="n"/>
      <c r="W1446" s="12" t="n"/>
      <c r="X1446" s="12" t="n"/>
    </row>
    <row r="1447" ht="15" customHeight="1">
      <c r="C1447" t="inlineStr">
        <is>
          <t>SUCURSAL DE APERTURA DE LA CUENTA</t>
        </is>
      </c>
      <c r="D1447" t="inlineStr">
        <is>
          <t>F15</t>
        </is>
      </c>
      <c r="E1447" t="inlineStr">
        <is>
          <t>TRANSACCIONAL</t>
        </is>
      </c>
      <c r="F1447" t="inlineStr">
        <is>
          <t>CHIAPAS</t>
        </is>
      </c>
      <c r="G1447" t="n">
        <v>7</v>
      </c>
      <c r="H1447" t="n">
        <v>4</v>
      </c>
      <c r="I1447" t="n">
        <v>4</v>
      </c>
      <c r="J1447" t="n">
        <v>6</v>
      </c>
      <c r="K1447" t="n">
        <v>24</v>
      </c>
      <c r="L1447" t="n">
        <v>24</v>
      </c>
      <c r="M1447" t="n">
        <v>24</v>
      </c>
      <c r="N1447" t="n">
        <v>24</v>
      </c>
      <c r="O1447" t="n">
        <v>30</v>
      </c>
      <c r="P1447" t="n">
        <v>6</v>
      </c>
      <c r="R1447" s="9" t="n">
        <v>0.06</v>
      </c>
      <c r="S1447" s="10" t="inlineStr">
        <is>
          <t>NO — sucursal no aplica</t>
        </is>
      </c>
      <c r="T1447" s="11" t="n"/>
      <c r="U1447" s="11" t="inlineStr">
        <is>
          <t>DEL BANCO (se hereda)</t>
        </is>
      </c>
      <c r="V1447" s="11" t="n"/>
      <c r="W1447" s="12" t="n"/>
      <c r="X1447" s="12" t="n"/>
    </row>
    <row r="1448" ht="15" customHeight="1">
      <c r="C1448" t="inlineStr">
        <is>
          <t>SUCURSAL DE APERTURA DE LA CUENTA</t>
        </is>
      </c>
      <c r="D1448" t="inlineStr">
        <is>
          <t>F15</t>
        </is>
      </c>
      <c r="E1448" t="inlineStr">
        <is>
          <t>TRANSACCIONAL</t>
        </is>
      </c>
      <c r="F1448" t="inlineStr">
        <is>
          <t>CHIHUAHUA</t>
        </is>
      </c>
      <c r="G1448" t="n">
        <v>8</v>
      </c>
      <c r="H1448" t="n">
        <v>5</v>
      </c>
      <c r="I1448" t="n">
        <v>5</v>
      </c>
      <c r="J1448" t="n">
        <v>6</v>
      </c>
      <c r="K1448" t="n">
        <v>30</v>
      </c>
      <c r="L1448" t="n">
        <v>30</v>
      </c>
      <c r="M1448" t="n">
        <v>30</v>
      </c>
      <c r="N1448" t="n">
        <v>30</v>
      </c>
      <c r="O1448" t="n">
        <v>30</v>
      </c>
      <c r="P1448" t="n">
        <v>6</v>
      </c>
      <c r="R1448" s="9" t="n">
        <v>0.06</v>
      </c>
      <c r="S1448" s="10" t="inlineStr">
        <is>
          <t>NO — sucursal no aplica</t>
        </is>
      </c>
      <c r="T1448" s="11" t="n"/>
      <c r="U1448" s="11" t="inlineStr">
        <is>
          <t>DEL BANCO (se hereda)</t>
        </is>
      </c>
      <c r="V1448" s="11" t="n"/>
      <c r="W1448" s="12" t="n"/>
      <c r="X1448" s="12" t="n"/>
    </row>
    <row r="1449" ht="15" customHeight="1">
      <c r="C1449" t="inlineStr">
        <is>
          <t>SUCURSAL DE APERTURA DE LA CUENTA</t>
        </is>
      </c>
      <c r="D1449" t="inlineStr">
        <is>
          <t>F15</t>
        </is>
      </c>
      <c r="E1449" t="inlineStr">
        <is>
          <t>TRANSACCIONAL</t>
        </is>
      </c>
      <c r="F1449" t="inlineStr">
        <is>
          <t>CIUDAD DE MÉXICO</t>
        </is>
      </c>
      <c r="G1449" t="n">
        <v>9</v>
      </c>
      <c r="H1449" t="n">
        <v>4</v>
      </c>
      <c r="I1449" t="n">
        <v>4</v>
      </c>
      <c r="J1449" t="n">
        <v>6</v>
      </c>
      <c r="K1449" t="n">
        <v>24</v>
      </c>
      <c r="L1449" t="n">
        <v>24</v>
      </c>
      <c r="M1449" t="n">
        <v>24</v>
      </c>
      <c r="N1449" t="n">
        <v>24</v>
      </c>
      <c r="O1449" t="n">
        <v>30</v>
      </c>
      <c r="P1449" t="n">
        <v>6</v>
      </c>
      <c r="R1449" s="9" t="n">
        <v>0.06</v>
      </c>
      <c r="S1449" s="10" t="inlineStr">
        <is>
          <t>NO — sucursal no aplica</t>
        </is>
      </c>
      <c r="T1449" s="11" t="n"/>
      <c r="U1449" s="11" t="inlineStr">
        <is>
          <t>DEL BANCO (se hereda)</t>
        </is>
      </c>
      <c r="V1449" s="11" t="n"/>
      <c r="W1449" s="12" t="n"/>
      <c r="X1449" s="12" t="n"/>
    </row>
    <row r="1450" ht="15" customHeight="1">
      <c r="C1450" t="inlineStr">
        <is>
          <t>SUCURSAL DE APERTURA DE LA CUENTA</t>
        </is>
      </c>
      <c r="D1450" t="inlineStr">
        <is>
          <t>F15</t>
        </is>
      </c>
      <c r="E1450" t="inlineStr">
        <is>
          <t>TRANSACCIONAL</t>
        </is>
      </c>
      <c r="F1450" t="inlineStr">
        <is>
          <t>DURANGO</t>
        </is>
      </c>
      <c r="G1450" t="n">
        <v>10</v>
      </c>
      <c r="H1450" t="n">
        <v>4</v>
      </c>
      <c r="I1450" t="n">
        <v>4</v>
      </c>
      <c r="J1450" t="n">
        <v>6</v>
      </c>
      <c r="K1450" t="n">
        <v>24</v>
      </c>
      <c r="L1450" t="n">
        <v>24</v>
      </c>
      <c r="M1450" t="n">
        <v>24</v>
      </c>
      <c r="N1450" t="n">
        <v>24</v>
      </c>
      <c r="O1450" t="n">
        <v>30</v>
      </c>
      <c r="P1450" t="n">
        <v>6</v>
      </c>
      <c r="R1450" s="9" t="n">
        <v>0.06</v>
      </c>
      <c r="S1450" s="10" t="inlineStr">
        <is>
          <t>NO — sucursal no aplica</t>
        </is>
      </c>
      <c r="T1450" s="11" t="n"/>
      <c r="U1450" s="11" t="inlineStr">
        <is>
          <t>DEL BANCO (se hereda)</t>
        </is>
      </c>
      <c r="V1450" s="11" t="n"/>
      <c r="W1450" s="12" t="n"/>
      <c r="X1450" s="12" t="n"/>
    </row>
    <row r="1451" ht="15" customHeight="1">
      <c r="C1451" t="inlineStr">
        <is>
          <t>SUCURSAL DE APERTURA DE LA CUENTA</t>
        </is>
      </c>
      <c r="D1451" t="inlineStr">
        <is>
          <t>F15</t>
        </is>
      </c>
      <c r="E1451" t="inlineStr">
        <is>
          <t>TRANSACCIONAL</t>
        </is>
      </c>
      <c r="F1451" t="inlineStr">
        <is>
          <t>GUANAJUATO</t>
        </is>
      </c>
      <c r="G1451" t="n">
        <v>11</v>
      </c>
      <c r="H1451" t="n">
        <v>4</v>
      </c>
      <c r="I1451" t="n">
        <v>4</v>
      </c>
      <c r="J1451" t="n">
        <v>6</v>
      </c>
      <c r="K1451" t="n">
        <v>24</v>
      </c>
      <c r="L1451" t="n">
        <v>24</v>
      </c>
      <c r="M1451" t="n">
        <v>24</v>
      </c>
      <c r="N1451" t="n">
        <v>24</v>
      </c>
      <c r="O1451" t="n">
        <v>30</v>
      </c>
      <c r="P1451" t="n">
        <v>6</v>
      </c>
      <c r="R1451" s="9" t="n">
        <v>0.06</v>
      </c>
      <c r="S1451" s="10" t="inlineStr">
        <is>
          <t>NO — sucursal no aplica</t>
        </is>
      </c>
      <c r="T1451" s="11" t="n"/>
      <c r="U1451" s="11" t="inlineStr">
        <is>
          <t>DEL BANCO (se hereda)</t>
        </is>
      </c>
      <c r="V1451" s="11" t="n"/>
      <c r="W1451" s="12" t="n"/>
      <c r="X1451" s="12" t="n"/>
    </row>
    <row r="1452" ht="15" customHeight="1">
      <c r="C1452" t="inlineStr">
        <is>
          <t>SUCURSAL DE APERTURA DE LA CUENTA</t>
        </is>
      </c>
      <c r="D1452" t="inlineStr">
        <is>
          <t>F15</t>
        </is>
      </c>
      <c r="E1452" t="inlineStr">
        <is>
          <t>TRANSACCIONAL</t>
        </is>
      </c>
      <c r="F1452" t="inlineStr">
        <is>
          <t>GUERRERO</t>
        </is>
      </c>
      <c r="G1452" t="n">
        <v>12</v>
      </c>
      <c r="H1452" t="n">
        <v>5</v>
      </c>
      <c r="I1452" t="n">
        <v>5</v>
      </c>
      <c r="J1452" t="n">
        <v>6</v>
      </c>
      <c r="K1452" t="n">
        <v>30</v>
      </c>
      <c r="L1452" t="n">
        <v>30</v>
      </c>
      <c r="M1452" t="n">
        <v>30</v>
      </c>
      <c r="N1452" t="n">
        <v>30</v>
      </c>
      <c r="O1452" t="n">
        <v>30</v>
      </c>
      <c r="P1452" t="n">
        <v>6</v>
      </c>
      <c r="R1452" s="9" t="n">
        <v>0.06</v>
      </c>
      <c r="S1452" s="10" t="inlineStr">
        <is>
          <t>NO — sucursal no aplica</t>
        </is>
      </c>
      <c r="T1452" s="11" t="n"/>
      <c r="U1452" s="11" t="inlineStr">
        <is>
          <t>DEL BANCO (se hereda)</t>
        </is>
      </c>
      <c r="V1452" s="11" t="n"/>
      <c r="W1452" s="12" t="n"/>
      <c r="X1452" s="12" t="n"/>
    </row>
    <row r="1453" ht="15" customHeight="1">
      <c r="C1453" t="inlineStr">
        <is>
          <t>SUCURSAL DE APERTURA DE LA CUENTA</t>
        </is>
      </c>
      <c r="D1453" t="inlineStr">
        <is>
          <t>F15</t>
        </is>
      </c>
      <c r="E1453" t="inlineStr">
        <is>
          <t>TRANSACCIONAL</t>
        </is>
      </c>
      <c r="F1453" t="inlineStr">
        <is>
          <t>HIDALGO</t>
        </is>
      </c>
      <c r="G1453" t="n">
        <v>13</v>
      </c>
      <c r="H1453" t="n">
        <v>3</v>
      </c>
      <c r="I1453" t="n">
        <v>3</v>
      </c>
      <c r="J1453" t="n">
        <v>6</v>
      </c>
      <c r="K1453" t="n">
        <v>18</v>
      </c>
      <c r="L1453" t="n">
        <v>18</v>
      </c>
      <c r="M1453" t="n">
        <v>18</v>
      </c>
      <c r="N1453" t="n">
        <v>18</v>
      </c>
      <c r="O1453" t="n">
        <v>30</v>
      </c>
      <c r="P1453" t="n">
        <v>6</v>
      </c>
      <c r="R1453" s="9" t="n">
        <v>0.06</v>
      </c>
      <c r="S1453" s="10" t="inlineStr">
        <is>
          <t>NO — sucursal no aplica</t>
        </is>
      </c>
      <c r="T1453" s="11" t="n"/>
      <c r="U1453" s="11" t="inlineStr">
        <is>
          <t>DEL BANCO (se hereda)</t>
        </is>
      </c>
      <c r="V1453" s="11" t="n"/>
      <c r="W1453" s="12" t="n"/>
      <c r="X1453" s="12" t="n"/>
    </row>
    <row r="1454" ht="15" customHeight="1">
      <c r="C1454" t="inlineStr">
        <is>
          <t>SUCURSAL DE APERTURA DE LA CUENTA</t>
        </is>
      </c>
      <c r="D1454" t="inlineStr">
        <is>
          <t>F15</t>
        </is>
      </c>
      <c r="E1454" t="inlineStr">
        <is>
          <t>TRANSACCIONAL</t>
        </is>
      </c>
      <c r="F1454" t="inlineStr">
        <is>
          <t>JALISCO</t>
        </is>
      </c>
      <c r="G1454" t="n">
        <v>14</v>
      </c>
      <c r="H1454" t="n">
        <v>5</v>
      </c>
      <c r="I1454" t="n">
        <v>5</v>
      </c>
      <c r="J1454" t="n">
        <v>6</v>
      </c>
      <c r="K1454" t="n">
        <v>30</v>
      </c>
      <c r="L1454" t="n">
        <v>30</v>
      </c>
      <c r="M1454" t="n">
        <v>30</v>
      </c>
      <c r="N1454" t="n">
        <v>30</v>
      </c>
      <c r="O1454" t="n">
        <v>30</v>
      </c>
      <c r="P1454" t="n">
        <v>6</v>
      </c>
      <c r="R1454" s="9" t="n">
        <v>0.06</v>
      </c>
      <c r="S1454" s="10" t="inlineStr">
        <is>
          <t>NO — sucursal no aplica</t>
        </is>
      </c>
      <c r="T1454" s="11" t="n"/>
      <c r="U1454" s="11" t="inlineStr">
        <is>
          <t>DEL BANCO (se hereda)</t>
        </is>
      </c>
      <c r="V1454" s="11" t="n"/>
      <c r="W1454" s="12" t="n"/>
      <c r="X1454" s="12" t="n"/>
    </row>
    <row r="1455" ht="15" customHeight="1">
      <c r="C1455" t="inlineStr">
        <is>
          <t>SUCURSAL DE APERTURA DE LA CUENTA</t>
        </is>
      </c>
      <c r="D1455" t="inlineStr">
        <is>
          <t>F15</t>
        </is>
      </c>
      <c r="E1455" t="inlineStr">
        <is>
          <t>TRANSACCIONAL</t>
        </is>
      </c>
      <c r="F1455" t="inlineStr">
        <is>
          <t>ESTADO DE MÉXICO</t>
        </is>
      </c>
      <c r="G1455" t="n">
        <v>15</v>
      </c>
      <c r="H1455" t="n">
        <v>4</v>
      </c>
      <c r="I1455" t="n">
        <v>4</v>
      </c>
      <c r="J1455" t="n">
        <v>6</v>
      </c>
      <c r="K1455" t="n">
        <v>24</v>
      </c>
      <c r="L1455" t="n">
        <v>24</v>
      </c>
      <c r="M1455" t="n">
        <v>24</v>
      </c>
      <c r="N1455" t="n">
        <v>24</v>
      </c>
      <c r="O1455" t="n">
        <v>30</v>
      </c>
      <c r="P1455" t="n">
        <v>6</v>
      </c>
      <c r="R1455" s="9" t="n">
        <v>0.06</v>
      </c>
      <c r="S1455" s="10" t="inlineStr">
        <is>
          <t>NO — sucursal no aplica</t>
        </is>
      </c>
      <c r="T1455" s="11" t="n"/>
      <c r="U1455" s="11" t="inlineStr">
        <is>
          <t>DEL BANCO (se hereda)</t>
        </is>
      </c>
      <c r="V1455" s="11" t="n"/>
      <c r="W1455" s="12" t="n"/>
      <c r="X1455" s="12" t="n"/>
    </row>
    <row r="1456" ht="15" customHeight="1">
      <c r="C1456" t="inlineStr">
        <is>
          <t>SUCURSAL DE APERTURA DE LA CUENTA</t>
        </is>
      </c>
      <c r="D1456" t="inlineStr">
        <is>
          <t>F15</t>
        </is>
      </c>
      <c r="E1456" t="inlineStr">
        <is>
          <t>TRANSACCIONAL</t>
        </is>
      </c>
      <c r="F1456" t="inlineStr">
        <is>
          <t>MICHOACÁN</t>
        </is>
      </c>
      <c r="G1456" t="n">
        <v>16</v>
      </c>
      <c r="H1456" t="n">
        <v>5</v>
      </c>
      <c r="I1456" t="n">
        <v>5</v>
      </c>
      <c r="J1456" t="n">
        <v>6</v>
      </c>
      <c r="K1456" t="n">
        <v>30</v>
      </c>
      <c r="L1456" t="n">
        <v>30</v>
      </c>
      <c r="M1456" t="n">
        <v>30</v>
      </c>
      <c r="N1456" t="n">
        <v>30</v>
      </c>
      <c r="O1456" t="n">
        <v>30</v>
      </c>
      <c r="P1456" t="n">
        <v>6</v>
      </c>
      <c r="R1456" s="9" t="n">
        <v>0.06</v>
      </c>
      <c r="S1456" s="10" t="inlineStr">
        <is>
          <t>NO — sucursal no aplica</t>
        </is>
      </c>
      <c r="T1456" s="11" t="n"/>
      <c r="U1456" s="11" t="inlineStr">
        <is>
          <t>DEL BANCO (se hereda)</t>
        </is>
      </c>
      <c r="V1456" s="11" t="n"/>
      <c r="W1456" s="12" t="n"/>
      <c r="X1456" s="12" t="n"/>
    </row>
    <row r="1457" ht="15" customHeight="1">
      <c r="C1457" t="inlineStr">
        <is>
          <t>SUCURSAL DE APERTURA DE LA CUENTA</t>
        </is>
      </c>
      <c r="D1457" t="inlineStr">
        <is>
          <t>F15</t>
        </is>
      </c>
      <c r="E1457" t="inlineStr">
        <is>
          <t>TRANSACCIONAL</t>
        </is>
      </c>
      <c r="F1457" t="inlineStr">
        <is>
          <t>MORELOS</t>
        </is>
      </c>
      <c r="G1457" t="n">
        <v>17</v>
      </c>
      <c r="H1457" t="n">
        <v>3</v>
      </c>
      <c r="I1457" t="n">
        <v>3</v>
      </c>
      <c r="J1457" t="n">
        <v>6</v>
      </c>
      <c r="K1457" t="n">
        <v>18</v>
      </c>
      <c r="L1457" t="n">
        <v>18</v>
      </c>
      <c r="M1457" t="n">
        <v>18</v>
      </c>
      <c r="N1457" t="n">
        <v>18</v>
      </c>
      <c r="O1457" t="n">
        <v>30</v>
      </c>
      <c r="P1457" t="n">
        <v>6</v>
      </c>
      <c r="R1457" s="9" t="n">
        <v>0.06</v>
      </c>
      <c r="S1457" s="10" t="inlineStr">
        <is>
          <t>NO — sucursal no aplica</t>
        </is>
      </c>
      <c r="T1457" s="11" t="n"/>
      <c r="U1457" s="11" t="inlineStr">
        <is>
          <t>DEL BANCO (se hereda)</t>
        </is>
      </c>
      <c r="V1457" s="11" t="n"/>
      <c r="W1457" s="12" t="n"/>
      <c r="X1457" s="12" t="n"/>
    </row>
    <row r="1458" ht="15" customHeight="1">
      <c r="C1458" t="inlineStr">
        <is>
          <t>SUCURSAL DE APERTURA DE LA CUENTA</t>
        </is>
      </c>
      <c r="D1458" t="inlineStr">
        <is>
          <t>F15</t>
        </is>
      </c>
      <c r="E1458" t="inlineStr">
        <is>
          <t>TRANSACCIONAL</t>
        </is>
      </c>
      <c r="F1458" t="inlineStr">
        <is>
          <t>NAYARIT</t>
        </is>
      </c>
      <c r="G1458" t="n">
        <v>18</v>
      </c>
      <c r="H1458" t="n">
        <v>3</v>
      </c>
      <c r="I1458" t="n">
        <v>3</v>
      </c>
      <c r="J1458" t="n">
        <v>6</v>
      </c>
      <c r="K1458" t="n">
        <v>18</v>
      </c>
      <c r="L1458" t="n">
        <v>18</v>
      </c>
      <c r="M1458" t="n">
        <v>18</v>
      </c>
      <c r="N1458" t="n">
        <v>18</v>
      </c>
      <c r="O1458" t="n">
        <v>30</v>
      </c>
      <c r="P1458" t="n">
        <v>6</v>
      </c>
      <c r="R1458" s="9" t="n">
        <v>0.06</v>
      </c>
      <c r="S1458" s="10" t="inlineStr">
        <is>
          <t>NO — sucursal no aplica</t>
        </is>
      </c>
      <c r="T1458" s="11" t="n"/>
      <c r="U1458" s="11" t="inlineStr">
        <is>
          <t>DEL BANCO (se hereda)</t>
        </is>
      </c>
      <c r="V1458" s="11" t="n"/>
      <c r="W1458" s="12" t="n"/>
      <c r="X1458" s="12" t="n"/>
    </row>
    <row r="1459" ht="15" customHeight="1">
      <c r="C1459" t="inlineStr">
        <is>
          <t>SUCURSAL DE APERTURA DE LA CUENTA</t>
        </is>
      </c>
      <c r="D1459" t="inlineStr">
        <is>
          <t>F15</t>
        </is>
      </c>
      <c r="E1459" t="inlineStr">
        <is>
          <t>TRANSACCIONAL</t>
        </is>
      </c>
      <c r="F1459" t="inlineStr">
        <is>
          <t>NUEVO LEON</t>
        </is>
      </c>
      <c r="G1459" t="n">
        <v>19</v>
      </c>
      <c r="H1459" t="n">
        <v>4</v>
      </c>
      <c r="I1459" t="n">
        <v>4</v>
      </c>
      <c r="J1459" t="n">
        <v>6</v>
      </c>
      <c r="K1459" t="n">
        <v>24</v>
      </c>
      <c r="L1459" t="n">
        <v>24</v>
      </c>
      <c r="M1459" t="n">
        <v>24</v>
      </c>
      <c r="N1459" t="n">
        <v>24</v>
      </c>
      <c r="O1459" t="n">
        <v>30</v>
      </c>
      <c r="P1459" t="n">
        <v>6</v>
      </c>
      <c r="R1459" s="9" t="n">
        <v>0.06</v>
      </c>
      <c r="S1459" s="10" t="inlineStr">
        <is>
          <t>NO — sucursal no aplica</t>
        </is>
      </c>
      <c r="T1459" s="11" t="n"/>
      <c r="U1459" s="11" t="inlineStr">
        <is>
          <t>DEL BANCO (se hereda)</t>
        </is>
      </c>
      <c r="V1459" s="11" t="n"/>
      <c r="W1459" s="12" t="n"/>
      <c r="X1459" s="12" t="n"/>
    </row>
    <row r="1460" ht="15" customHeight="1">
      <c r="C1460" t="inlineStr">
        <is>
          <t>SUCURSAL DE APERTURA DE LA CUENTA</t>
        </is>
      </c>
      <c r="D1460" t="inlineStr">
        <is>
          <t>F15</t>
        </is>
      </c>
      <c r="E1460" t="inlineStr">
        <is>
          <t>TRANSACCIONAL</t>
        </is>
      </c>
      <c r="F1460" t="inlineStr">
        <is>
          <t>OAXACA</t>
        </is>
      </c>
      <c r="G1460" t="n">
        <v>20</v>
      </c>
      <c r="H1460" t="n">
        <v>4</v>
      </c>
      <c r="I1460" t="n">
        <v>4</v>
      </c>
      <c r="J1460" t="n">
        <v>6</v>
      </c>
      <c r="K1460" t="n">
        <v>24</v>
      </c>
      <c r="L1460" t="n">
        <v>24</v>
      </c>
      <c r="M1460" t="n">
        <v>24</v>
      </c>
      <c r="N1460" t="n">
        <v>24</v>
      </c>
      <c r="O1460" t="n">
        <v>30</v>
      </c>
      <c r="P1460" t="n">
        <v>6</v>
      </c>
      <c r="R1460" s="9" t="n">
        <v>0.06</v>
      </c>
      <c r="S1460" s="10" t="inlineStr">
        <is>
          <t>NO — sucursal no aplica</t>
        </is>
      </c>
      <c r="T1460" s="11" t="n"/>
      <c r="U1460" s="11" t="inlineStr">
        <is>
          <t>DEL BANCO (se hereda)</t>
        </is>
      </c>
      <c r="V1460" s="11" t="n"/>
      <c r="W1460" s="12" t="n"/>
      <c r="X1460" s="12" t="n"/>
    </row>
    <row r="1461" ht="15" customHeight="1">
      <c r="C1461" t="inlineStr">
        <is>
          <t>SUCURSAL DE APERTURA DE LA CUENTA</t>
        </is>
      </c>
      <c r="D1461" t="inlineStr">
        <is>
          <t>F15</t>
        </is>
      </c>
      <c r="E1461" t="inlineStr">
        <is>
          <t>TRANSACCIONAL</t>
        </is>
      </c>
      <c r="F1461" t="inlineStr">
        <is>
          <t>PUEBLA</t>
        </is>
      </c>
      <c r="G1461" t="n">
        <v>21</v>
      </c>
      <c r="H1461" t="n">
        <v>3</v>
      </c>
      <c r="I1461" t="n">
        <v>3</v>
      </c>
      <c r="J1461" t="n">
        <v>6</v>
      </c>
      <c r="K1461" t="n">
        <v>18</v>
      </c>
      <c r="L1461" t="n">
        <v>18</v>
      </c>
      <c r="M1461" t="n">
        <v>18</v>
      </c>
      <c r="N1461" t="n">
        <v>18</v>
      </c>
      <c r="O1461" t="n">
        <v>30</v>
      </c>
      <c r="P1461" t="n">
        <v>6</v>
      </c>
      <c r="R1461" s="9" t="n">
        <v>0.06</v>
      </c>
      <c r="S1461" s="10" t="inlineStr">
        <is>
          <t>NO — sucursal no aplica</t>
        </is>
      </c>
      <c r="T1461" s="11" t="n"/>
      <c r="U1461" s="11" t="inlineStr">
        <is>
          <t>DEL BANCO (se hereda)</t>
        </is>
      </c>
      <c r="V1461" s="11" t="n"/>
      <c r="W1461" s="12" t="n"/>
      <c r="X1461" s="12" t="n"/>
    </row>
    <row r="1462" ht="15" customHeight="1">
      <c r="C1462" t="inlineStr">
        <is>
          <t>SUCURSAL DE APERTURA DE LA CUENTA</t>
        </is>
      </c>
      <c r="D1462" t="inlineStr">
        <is>
          <t>F15</t>
        </is>
      </c>
      <c r="E1462" t="inlineStr">
        <is>
          <t>TRANSACCIONAL</t>
        </is>
      </c>
      <c r="F1462" t="inlineStr">
        <is>
          <t>QUERÉTARO</t>
        </is>
      </c>
      <c r="G1462" t="n">
        <v>22</v>
      </c>
      <c r="H1462" t="n">
        <v>2</v>
      </c>
      <c r="I1462" t="n">
        <v>2</v>
      </c>
      <c r="J1462" t="n">
        <v>6</v>
      </c>
      <c r="K1462" t="n">
        <v>12</v>
      </c>
      <c r="L1462" t="n">
        <v>12</v>
      </c>
      <c r="M1462" t="n">
        <v>12</v>
      </c>
      <c r="N1462" t="n">
        <v>12</v>
      </c>
      <c r="O1462" t="n">
        <v>30</v>
      </c>
      <c r="P1462" t="n">
        <v>6</v>
      </c>
      <c r="R1462" s="9" t="n">
        <v>0.06</v>
      </c>
      <c r="S1462" s="10" t="inlineStr">
        <is>
          <t>NO — sucursal no aplica</t>
        </is>
      </c>
      <c r="T1462" s="11" t="n"/>
      <c r="U1462" s="11" t="inlineStr">
        <is>
          <t>DEL BANCO (se hereda)</t>
        </is>
      </c>
      <c r="V1462" s="11" t="n"/>
      <c r="W1462" s="12" t="n"/>
      <c r="X1462" s="12" t="n"/>
    </row>
    <row r="1463" ht="15" customHeight="1">
      <c r="C1463" t="inlineStr">
        <is>
          <t>SUCURSAL DE APERTURA DE LA CUENTA</t>
        </is>
      </c>
      <c r="D1463" t="inlineStr">
        <is>
          <t>F15</t>
        </is>
      </c>
      <c r="E1463" t="inlineStr">
        <is>
          <t>TRANSACCIONAL</t>
        </is>
      </c>
      <c r="F1463" t="inlineStr">
        <is>
          <t>QUINTANA ROO</t>
        </is>
      </c>
      <c r="G1463" t="n">
        <v>23</v>
      </c>
      <c r="H1463" t="n">
        <v>4</v>
      </c>
      <c r="I1463" t="n">
        <v>4</v>
      </c>
      <c r="J1463" t="n">
        <v>6</v>
      </c>
      <c r="K1463" t="n">
        <v>24</v>
      </c>
      <c r="L1463" t="n">
        <v>24</v>
      </c>
      <c r="M1463" t="n">
        <v>24</v>
      </c>
      <c r="N1463" t="n">
        <v>24</v>
      </c>
      <c r="O1463" t="n">
        <v>30</v>
      </c>
      <c r="P1463" t="n">
        <v>6</v>
      </c>
      <c r="R1463" s="9" t="n">
        <v>0.06</v>
      </c>
      <c r="S1463" s="10" t="inlineStr">
        <is>
          <t>NO — sucursal no aplica</t>
        </is>
      </c>
      <c r="T1463" s="11" t="n"/>
      <c r="U1463" s="11" t="inlineStr">
        <is>
          <t>DEL BANCO (se hereda)</t>
        </is>
      </c>
      <c r="V1463" s="11" t="n"/>
      <c r="W1463" s="12" t="n"/>
      <c r="X1463" s="12" t="n"/>
    </row>
    <row r="1464" ht="15" customHeight="1">
      <c r="C1464" t="inlineStr">
        <is>
          <t>SUCURSAL DE APERTURA DE LA CUENTA</t>
        </is>
      </c>
      <c r="D1464" t="inlineStr">
        <is>
          <t>F15</t>
        </is>
      </c>
      <c r="E1464" t="inlineStr">
        <is>
          <t>TRANSACCIONAL</t>
        </is>
      </c>
      <c r="F1464" t="inlineStr">
        <is>
          <t>SAN LUIS POTOSÍ</t>
        </is>
      </c>
      <c r="G1464" t="n">
        <v>24</v>
      </c>
      <c r="H1464" t="n">
        <v>3</v>
      </c>
      <c r="I1464" t="n">
        <v>3</v>
      </c>
      <c r="J1464" t="n">
        <v>6</v>
      </c>
      <c r="K1464" t="n">
        <v>18</v>
      </c>
      <c r="L1464" t="n">
        <v>18</v>
      </c>
      <c r="M1464" t="n">
        <v>18</v>
      </c>
      <c r="N1464" t="n">
        <v>18</v>
      </c>
      <c r="O1464" t="n">
        <v>30</v>
      </c>
      <c r="P1464" t="n">
        <v>6</v>
      </c>
      <c r="R1464" s="9" t="n">
        <v>0.06</v>
      </c>
      <c r="S1464" s="10" t="inlineStr">
        <is>
          <t>NO — sucursal no aplica</t>
        </is>
      </c>
      <c r="T1464" s="11" t="n"/>
      <c r="U1464" s="11" t="inlineStr">
        <is>
          <t>DEL BANCO (se hereda)</t>
        </is>
      </c>
      <c r="V1464" s="11" t="n"/>
      <c r="W1464" s="12" t="n"/>
      <c r="X1464" s="12" t="n"/>
    </row>
    <row r="1465" ht="15" customHeight="1">
      <c r="C1465" t="inlineStr">
        <is>
          <t>SUCURSAL DE APERTURA DE LA CUENTA</t>
        </is>
      </c>
      <c r="D1465" t="inlineStr">
        <is>
          <t>F15</t>
        </is>
      </c>
      <c r="E1465" t="inlineStr">
        <is>
          <t>TRANSACCIONAL</t>
        </is>
      </c>
      <c r="F1465" t="inlineStr">
        <is>
          <t>SINALOA</t>
        </is>
      </c>
      <c r="G1465" t="n">
        <v>25</v>
      </c>
      <c r="H1465" t="n">
        <v>4</v>
      </c>
      <c r="I1465" t="n">
        <v>4</v>
      </c>
      <c r="J1465" t="n">
        <v>6</v>
      </c>
      <c r="K1465" t="n">
        <v>24</v>
      </c>
      <c r="L1465" t="n">
        <v>24</v>
      </c>
      <c r="M1465" t="n">
        <v>24</v>
      </c>
      <c r="N1465" t="n">
        <v>24</v>
      </c>
      <c r="O1465" t="n">
        <v>30</v>
      </c>
      <c r="P1465" t="n">
        <v>6</v>
      </c>
      <c r="R1465" s="9" t="n">
        <v>0.06</v>
      </c>
      <c r="S1465" s="10" t="inlineStr">
        <is>
          <t>NO — sucursal no aplica</t>
        </is>
      </c>
      <c r="T1465" s="11" t="n"/>
      <c r="U1465" s="11" t="inlineStr">
        <is>
          <t>DEL BANCO (se hereda)</t>
        </is>
      </c>
      <c r="V1465" s="11" t="n"/>
      <c r="W1465" s="12" t="n"/>
      <c r="X1465" s="12" t="n"/>
    </row>
    <row r="1466" ht="15" customHeight="1">
      <c r="C1466" t="inlineStr">
        <is>
          <t>SUCURSAL DE APERTURA DE LA CUENTA</t>
        </is>
      </c>
      <c r="D1466" t="inlineStr">
        <is>
          <t>F15</t>
        </is>
      </c>
      <c r="E1466" t="inlineStr">
        <is>
          <t>TRANSACCIONAL</t>
        </is>
      </c>
      <c r="F1466" t="inlineStr">
        <is>
          <t>SONORA</t>
        </is>
      </c>
      <c r="G1466" t="n">
        <v>26</v>
      </c>
      <c r="H1466" t="n">
        <v>4</v>
      </c>
      <c r="I1466" t="n">
        <v>4</v>
      </c>
      <c r="J1466" t="n">
        <v>6</v>
      </c>
      <c r="K1466" t="n">
        <v>24</v>
      </c>
      <c r="L1466" t="n">
        <v>24</v>
      </c>
      <c r="M1466" t="n">
        <v>24</v>
      </c>
      <c r="N1466" t="n">
        <v>24</v>
      </c>
      <c r="O1466" t="n">
        <v>30</v>
      </c>
      <c r="P1466" t="n">
        <v>6</v>
      </c>
      <c r="R1466" s="9" t="n">
        <v>0.06</v>
      </c>
      <c r="S1466" s="10" t="inlineStr">
        <is>
          <t>NO — sucursal no aplica</t>
        </is>
      </c>
      <c r="T1466" s="11" t="n"/>
      <c r="U1466" s="11" t="inlineStr">
        <is>
          <t>DEL BANCO (se hereda)</t>
        </is>
      </c>
      <c r="V1466" s="11" t="n"/>
      <c r="W1466" s="12" t="n"/>
      <c r="X1466" s="12" t="n"/>
    </row>
    <row r="1467" ht="15" customHeight="1">
      <c r="C1467" t="inlineStr">
        <is>
          <t>SUCURSAL DE APERTURA DE LA CUENTA</t>
        </is>
      </c>
      <c r="D1467" t="inlineStr">
        <is>
          <t>F15</t>
        </is>
      </c>
      <c r="E1467" t="inlineStr">
        <is>
          <t>TRANSACCIONAL</t>
        </is>
      </c>
      <c r="F1467" t="inlineStr">
        <is>
          <t>TABASCO</t>
        </is>
      </c>
      <c r="G1467" t="n">
        <v>27</v>
      </c>
      <c r="H1467" t="n">
        <v>4</v>
      </c>
      <c r="I1467" t="n">
        <v>4</v>
      </c>
      <c r="J1467" t="n">
        <v>6</v>
      </c>
      <c r="K1467" t="n">
        <v>24</v>
      </c>
      <c r="L1467" t="n">
        <v>24</v>
      </c>
      <c r="M1467" t="n">
        <v>24</v>
      </c>
      <c r="N1467" t="n">
        <v>24</v>
      </c>
      <c r="O1467" t="n">
        <v>30</v>
      </c>
      <c r="P1467" t="n">
        <v>6</v>
      </c>
      <c r="R1467" s="9" t="n">
        <v>0.06</v>
      </c>
      <c r="S1467" s="10" t="inlineStr">
        <is>
          <t>NO — sucursal no aplica</t>
        </is>
      </c>
      <c r="T1467" s="11" t="n"/>
      <c r="U1467" s="11" t="inlineStr">
        <is>
          <t>DEL BANCO (se hereda)</t>
        </is>
      </c>
      <c r="V1467" s="11" t="n"/>
      <c r="W1467" s="12" t="n"/>
      <c r="X1467" s="12" t="n"/>
    </row>
    <row r="1468" ht="15" customHeight="1">
      <c r="C1468" t="inlineStr">
        <is>
          <t>SUCURSAL DE APERTURA DE LA CUENTA</t>
        </is>
      </c>
      <c r="D1468" t="inlineStr">
        <is>
          <t>F15</t>
        </is>
      </c>
      <c r="E1468" t="inlineStr">
        <is>
          <t>TRANSACCIONAL</t>
        </is>
      </c>
      <c r="F1468" t="inlineStr">
        <is>
          <t>TAMAULIPAS</t>
        </is>
      </c>
      <c r="G1468" t="n">
        <v>28</v>
      </c>
      <c r="H1468" t="n">
        <v>4</v>
      </c>
      <c r="I1468" t="n">
        <v>4</v>
      </c>
      <c r="J1468" t="n">
        <v>6</v>
      </c>
      <c r="K1468" t="n">
        <v>24</v>
      </c>
      <c r="L1468" t="n">
        <v>24</v>
      </c>
      <c r="M1468" t="n">
        <v>24</v>
      </c>
      <c r="N1468" t="n">
        <v>24</v>
      </c>
      <c r="O1468" t="n">
        <v>30</v>
      </c>
      <c r="P1468" t="n">
        <v>6</v>
      </c>
      <c r="R1468" s="9" t="n">
        <v>0.06</v>
      </c>
      <c r="S1468" s="10" t="inlineStr">
        <is>
          <t>NO — sucursal no aplica</t>
        </is>
      </c>
      <c r="T1468" s="11" t="n"/>
      <c r="U1468" s="11" t="inlineStr">
        <is>
          <t>DEL BANCO (se hereda)</t>
        </is>
      </c>
      <c r="V1468" s="11" t="n"/>
      <c r="W1468" s="12" t="n"/>
      <c r="X1468" s="12" t="n"/>
    </row>
    <row r="1469" ht="15" customHeight="1">
      <c r="C1469" t="inlineStr">
        <is>
          <t>SUCURSAL DE APERTURA DE LA CUENTA</t>
        </is>
      </c>
      <c r="D1469" t="inlineStr">
        <is>
          <t>F15</t>
        </is>
      </c>
      <c r="E1469" t="inlineStr">
        <is>
          <t>TRANSACCIONAL</t>
        </is>
      </c>
      <c r="F1469" t="inlineStr">
        <is>
          <t>TLAXCALA</t>
        </is>
      </c>
      <c r="G1469" t="n">
        <v>29</v>
      </c>
      <c r="H1469" t="n">
        <v>2</v>
      </c>
      <c r="I1469" t="n">
        <v>2</v>
      </c>
      <c r="J1469" t="n">
        <v>6</v>
      </c>
      <c r="K1469" t="n">
        <v>12</v>
      </c>
      <c r="L1469" t="n">
        <v>12</v>
      </c>
      <c r="M1469" t="n">
        <v>12</v>
      </c>
      <c r="N1469" t="n">
        <v>12</v>
      </c>
      <c r="O1469" t="n">
        <v>30</v>
      </c>
      <c r="P1469" t="n">
        <v>6</v>
      </c>
      <c r="R1469" s="9" t="n">
        <v>0.06</v>
      </c>
      <c r="S1469" s="10" t="inlineStr">
        <is>
          <t>NO — sucursal no aplica</t>
        </is>
      </c>
      <c r="T1469" s="11" t="n"/>
      <c r="U1469" s="11" t="inlineStr">
        <is>
          <t>DEL BANCO (se hereda)</t>
        </is>
      </c>
      <c r="V1469" s="11" t="n"/>
      <c r="W1469" s="12" t="n"/>
      <c r="X1469" s="12" t="n"/>
    </row>
    <row r="1470" ht="15" customHeight="1">
      <c r="C1470" t="inlineStr">
        <is>
          <t>SUCURSAL DE APERTURA DE LA CUENTA</t>
        </is>
      </c>
      <c r="D1470" t="inlineStr">
        <is>
          <t>F15</t>
        </is>
      </c>
      <c r="E1470" t="inlineStr">
        <is>
          <t>TRANSACCIONAL</t>
        </is>
      </c>
      <c r="F1470" t="inlineStr">
        <is>
          <t>VERACRUZ</t>
        </is>
      </c>
      <c r="G1470" t="n">
        <v>30</v>
      </c>
      <c r="H1470" t="n">
        <v>4</v>
      </c>
      <c r="I1470" t="n">
        <v>4</v>
      </c>
      <c r="J1470" t="n">
        <v>6</v>
      </c>
      <c r="K1470" t="n">
        <v>24</v>
      </c>
      <c r="L1470" t="n">
        <v>24</v>
      </c>
      <c r="M1470" t="n">
        <v>24</v>
      </c>
      <c r="N1470" t="n">
        <v>24</v>
      </c>
      <c r="O1470" t="n">
        <v>30</v>
      </c>
      <c r="P1470" t="n">
        <v>6</v>
      </c>
      <c r="R1470" s="9" t="n">
        <v>0.06</v>
      </c>
      <c r="S1470" s="10" t="inlineStr">
        <is>
          <t>NO — sucursal no aplica</t>
        </is>
      </c>
      <c r="T1470" s="11" t="n"/>
      <c r="U1470" s="11" t="inlineStr">
        <is>
          <t>DEL BANCO (se hereda)</t>
        </is>
      </c>
      <c r="V1470" s="11" t="n"/>
      <c r="W1470" s="12" t="n"/>
      <c r="X1470" s="12" t="n"/>
    </row>
    <row r="1471" ht="15" customHeight="1">
      <c r="C1471" t="inlineStr">
        <is>
          <t>SUCURSAL DE APERTURA DE LA CUENTA</t>
        </is>
      </c>
      <c r="D1471" t="inlineStr">
        <is>
          <t>F15</t>
        </is>
      </c>
      <c r="E1471" t="inlineStr">
        <is>
          <t>TRANSACCIONAL</t>
        </is>
      </c>
      <c r="F1471" t="inlineStr">
        <is>
          <t>YUCATÁN</t>
        </is>
      </c>
      <c r="G1471" t="n">
        <v>31</v>
      </c>
      <c r="H1471" t="n">
        <v>3</v>
      </c>
      <c r="I1471" t="n">
        <v>3</v>
      </c>
      <c r="J1471" t="n">
        <v>6</v>
      </c>
      <c r="K1471" t="n">
        <v>18</v>
      </c>
      <c r="L1471" t="n">
        <v>18</v>
      </c>
      <c r="M1471" t="n">
        <v>18</v>
      </c>
      <c r="N1471" t="n">
        <v>18</v>
      </c>
      <c r="O1471" t="n">
        <v>30</v>
      </c>
      <c r="P1471" t="n">
        <v>6</v>
      </c>
      <c r="R1471" s="9" t="n">
        <v>0.06</v>
      </c>
      <c r="S1471" s="10" t="inlineStr">
        <is>
          <t>NO — sucursal no aplica</t>
        </is>
      </c>
      <c r="T1471" s="11" t="n"/>
      <c r="U1471" s="11" t="inlineStr">
        <is>
          <t>DEL BANCO (se hereda)</t>
        </is>
      </c>
      <c r="V1471" s="11" t="n"/>
      <c r="W1471" s="12" t="n"/>
      <c r="X1471" s="12" t="n"/>
    </row>
    <row r="1472" ht="15" customHeight="1">
      <c r="C1472" t="inlineStr">
        <is>
          <t>SUCURSAL DE APERTURA DE LA CUENTA</t>
        </is>
      </c>
      <c r="D1472" t="inlineStr">
        <is>
          <t>F15</t>
        </is>
      </c>
      <c r="E1472" t="inlineStr">
        <is>
          <t>TRANSACCIONAL</t>
        </is>
      </c>
      <c r="F1472" t="inlineStr">
        <is>
          <t>ZACATECAS</t>
        </is>
      </c>
      <c r="G1472" t="n">
        <v>32</v>
      </c>
      <c r="H1472" t="n">
        <v>4</v>
      </c>
      <c r="I1472" t="n">
        <v>4</v>
      </c>
      <c r="J1472" t="n">
        <v>6</v>
      </c>
      <c r="K1472" t="n">
        <v>24</v>
      </c>
      <c r="L1472" t="n">
        <v>24</v>
      </c>
      <c r="M1472" t="n">
        <v>24</v>
      </c>
      <c r="N1472" t="n">
        <v>24</v>
      </c>
      <c r="O1472" t="n">
        <v>30</v>
      </c>
      <c r="P1472" t="n">
        <v>6</v>
      </c>
      <c r="R1472" s="9" t="n">
        <v>0.06</v>
      </c>
      <c r="S1472" s="10" t="inlineStr">
        <is>
          <t>NO — sucursal no aplica</t>
        </is>
      </c>
      <c r="T1472" s="11" t="n"/>
      <c r="U1472" s="11" t="inlineStr">
        <is>
          <t>DEL BANCO (se hereda)</t>
        </is>
      </c>
      <c r="V1472" s="11" t="n"/>
      <c r="W1472" s="12" t="n"/>
      <c r="X1472" s="12" t="n"/>
    </row>
    <row r="1473" ht="15" customHeight="1">
      <c r="C1473" t="inlineStr">
        <is>
          <t>SUCURSAL DE APERTURA DE LA CUENTA</t>
        </is>
      </c>
      <c r="D1473" t="inlineStr">
        <is>
          <t>F15</t>
        </is>
      </c>
      <c r="E1473" t="inlineStr">
        <is>
          <t>TRANSACCIONAL</t>
        </is>
      </c>
      <c r="F1473" t="inlineStr">
        <is>
          <t>EXTRANJERO</t>
        </is>
      </c>
      <c r="G1473" t="n">
        <v>33</v>
      </c>
      <c r="H1473" t="n">
        <v>4</v>
      </c>
      <c r="I1473" t="n">
        <v>4</v>
      </c>
      <c r="J1473" t="n">
        <v>6</v>
      </c>
      <c r="K1473" t="n">
        <v>24</v>
      </c>
      <c r="L1473" t="n">
        <v>24</v>
      </c>
      <c r="M1473" t="n">
        <v>24</v>
      </c>
      <c r="N1473" t="n">
        <v>24</v>
      </c>
      <c r="O1473" t="n">
        <v>30</v>
      </c>
      <c r="P1473" t="n">
        <v>6</v>
      </c>
      <c r="R1473" s="9" t="n">
        <v>0.06</v>
      </c>
      <c r="S1473" s="10" t="inlineStr">
        <is>
          <t>NO — sucursal no aplica</t>
        </is>
      </c>
      <c r="T1473" s="11" t="n"/>
      <c r="U1473" s="11" t="inlineStr">
        <is>
          <t>DEL BANCO (se hereda)</t>
        </is>
      </c>
      <c r="V1473" s="11" t="n"/>
      <c r="W1473" s="12" t="n"/>
      <c r="X1473" s="12" t="n"/>
    </row>
    <row r="1474" ht="15" customHeight="1">
      <c r="C1474" t="inlineStr">
        <is>
          <t>TIPO DE CLIENTE (PERSONALIDAD JURIDICA)</t>
        </is>
      </c>
      <c r="D1474" t="inlineStr">
        <is>
          <t>F18</t>
        </is>
      </c>
      <c r="E1474" t="inlineStr">
        <is>
          <t>INHERENTE</t>
        </is>
      </c>
      <c r="F1474" t="inlineStr">
        <is>
          <t>PERSONA FÍSICA</t>
        </is>
      </c>
      <c r="G1474" t="n">
        <v>1</v>
      </c>
      <c r="H1474" t="n">
        <v>2</v>
      </c>
      <c r="I1474" t="n">
        <v>2</v>
      </c>
      <c r="J1474" t="n">
        <v>5</v>
      </c>
      <c r="K1474" t="n">
        <v>10</v>
      </c>
      <c r="L1474" t="n">
        <v>10</v>
      </c>
      <c r="M1474" t="n">
        <v>10</v>
      </c>
      <c r="N1474" t="n">
        <v>10</v>
      </c>
      <c r="O1474" t="n">
        <v>25</v>
      </c>
      <c r="P1474" t="n">
        <v>5</v>
      </c>
      <c r="R1474" s="9" t="n">
        <v>0.05</v>
      </c>
      <c r="S1474" s="10" t="inlineStr">
        <is>
          <t>SÍ — integrante</t>
        </is>
      </c>
      <c r="T1474" s="11" t="inlineStr">
        <is>
          <t>B · INTEGRANTE</t>
        </is>
      </c>
      <c r="U1474" s="11" t="inlineStr">
        <is>
          <t>DEL BANCO (se hereda)</t>
        </is>
      </c>
      <c r="V1474" s="11" t="n"/>
      <c r="W1474" s="12" t="n"/>
      <c r="X1474" s="12" t="n"/>
    </row>
    <row r="1475" ht="15" customHeight="1">
      <c r="C1475" t="inlineStr">
        <is>
          <t>TIPO DE CLIENTE (PERSONALIDAD JURIDICA)</t>
        </is>
      </c>
      <c r="D1475" t="inlineStr">
        <is>
          <t>F18</t>
        </is>
      </c>
      <c r="E1475" t="inlineStr">
        <is>
          <t>INHERENTE</t>
        </is>
      </c>
      <c r="F1475" t="inlineStr">
        <is>
          <t>PFAE</t>
        </is>
      </c>
      <c r="G1475" t="n">
        <v>2</v>
      </c>
      <c r="H1475" t="n">
        <v>1</v>
      </c>
      <c r="I1475" t="n">
        <v>1</v>
      </c>
      <c r="J1475" t="n">
        <v>5</v>
      </c>
      <c r="K1475" t="n">
        <v>5</v>
      </c>
      <c r="L1475" t="n">
        <v>5</v>
      </c>
      <c r="M1475" t="n">
        <v>5</v>
      </c>
      <c r="N1475" t="n">
        <v>5</v>
      </c>
      <c r="O1475" t="n">
        <v>25</v>
      </c>
      <c r="P1475" t="n">
        <v>5</v>
      </c>
      <c r="R1475" s="9" t="n">
        <v>0.05</v>
      </c>
      <c r="S1475" s="10" t="inlineStr">
        <is>
          <t>SÍ — integrante</t>
        </is>
      </c>
      <c r="T1475" s="11" t="inlineStr">
        <is>
          <t>B · INTEGRANTE</t>
        </is>
      </c>
      <c r="U1475" s="11" t="inlineStr">
        <is>
          <t>DEL BANCO (se hereda)</t>
        </is>
      </c>
      <c r="V1475" s="11" t="n"/>
      <c r="W1475" s="12" t="n"/>
      <c r="X1475" s="12" t="n"/>
    </row>
    <row r="1476" ht="15" customHeight="1">
      <c r="C1476" t="inlineStr">
        <is>
          <t>TIPO DE CLIENTE (PERSONALIDAD JURIDICA)</t>
        </is>
      </c>
      <c r="D1476" t="inlineStr">
        <is>
          <t>F18</t>
        </is>
      </c>
      <c r="E1476" t="inlineStr">
        <is>
          <t>INHERENTE</t>
        </is>
      </c>
      <c r="F1476" t="inlineStr">
        <is>
          <t>PERSONA MORAL</t>
        </is>
      </c>
      <c r="G1476" t="n">
        <v>3</v>
      </c>
      <c r="H1476" t="n">
        <v>3</v>
      </c>
      <c r="I1476" t="n">
        <v>3</v>
      </c>
      <c r="J1476" t="n">
        <v>5</v>
      </c>
      <c r="K1476" t="n">
        <v>15</v>
      </c>
      <c r="L1476" t="n">
        <v>15</v>
      </c>
      <c r="M1476" t="n">
        <v>15</v>
      </c>
      <c r="N1476" t="n">
        <v>15</v>
      </c>
      <c r="O1476" t="n">
        <v>25</v>
      </c>
      <c r="P1476" t="n">
        <v>5</v>
      </c>
      <c r="R1476" s="9" t="n">
        <v>0.05</v>
      </c>
      <c r="S1476" s="10" t="inlineStr">
        <is>
          <t>SÍ — integrante</t>
        </is>
      </c>
      <c r="T1476" s="11" t="inlineStr">
        <is>
          <t>B · INTEGRANTE</t>
        </is>
      </c>
      <c r="U1476" s="11" t="inlineStr">
        <is>
          <t>DEL BANCO (se hereda)</t>
        </is>
      </c>
      <c r="V1476" s="11" t="n"/>
      <c r="W1476" s="12" t="n"/>
      <c r="X1476" s="12" t="n"/>
    </row>
    <row r="1477" ht="15" customHeight="1">
      <c r="C1477" t="inlineStr">
        <is>
          <t>TIPO DE CLIENTE (PERSONALIDAD JURIDICA)</t>
        </is>
      </c>
      <c r="D1477" t="inlineStr">
        <is>
          <t>F18</t>
        </is>
      </c>
      <c r="E1477" t="inlineStr">
        <is>
          <t>INHERENTE</t>
        </is>
      </c>
      <c r="F1477" t="inlineStr">
        <is>
          <t>FIDEICOMISO</t>
        </is>
      </c>
      <c r="G1477" t="n">
        <v>4</v>
      </c>
      <c r="H1477" t="n">
        <v>4</v>
      </c>
      <c r="I1477" t="n">
        <v>4</v>
      </c>
      <c r="J1477" t="n">
        <v>5</v>
      </c>
      <c r="K1477" t="n">
        <v>20</v>
      </c>
      <c r="L1477" t="n">
        <v>20</v>
      </c>
      <c r="M1477" t="n">
        <v>20</v>
      </c>
      <c r="N1477" t="n">
        <v>20</v>
      </c>
      <c r="O1477" t="n">
        <v>25</v>
      </c>
      <c r="P1477" t="n">
        <v>5</v>
      </c>
      <c r="R1477" s="9" t="n">
        <v>0.05</v>
      </c>
      <c r="S1477" s="10" t="inlineStr">
        <is>
          <t>SÍ — integrante</t>
        </is>
      </c>
      <c r="T1477" s="11" t="inlineStr">
        <is>
          <t>B · INTEGRANTE</t>
        </is>
      </c>
      <c r="U1477" s="11" t="inlineStr">
        <is>
          <t>DEL BANCO (se hereda)</t>
        </is>
      </c>
      <c r="V1477" s="11" t="n"/>
      <c r="W1477" s="12" t="n"/>
      <c r="X1477" s="12" t="n"/>
    </row>
    <row r="1478" ht="15" customHeight="1">
      <c r="C1478" t="inlineStr">
        <is>
          <t>TIPO DE CLIENTE (PERSONALIDAD JURIDICA)</t>
        </is>
      </c>
      <c r="D1478" t="inlineStr">
        <is>
          <t>F18</t>
        </is>
      </c>
      <c r="E1478" t="inlineStr">
        <is>
          <t>INHERENTE</t>
        </is>
      </c>
      <c r="F1478" t="inlineStr">
        <is>
          <t>MANDATO</t>
        </is>
      </c>
      <c r="G1478" t="n">
        <v>5</v>
      </c>
      <c r="H1478" t="n">
        <v>4</v>
      </c>
      <c r="I1478" t="n">
        <v>4</v>
      </c>
      <c r="J1478" t="n">
        <v>5</v>
      </c>
      <c r="K1478" t="n">
        <v>20</v>
      </c>
      <c r="L1478" t="n">
        <v>20</v>
      </c>
      <c r="M1478" t="n">
        <v>20</v>
      </c>
      <c r="N1478" t="n">
        <v>20</v>
      </c>
      <c r="O1478" t="n">
        <v>25</v>
      </c>
      <c r="P1478" t="n">
        <v>5</v>
      </c>
      <c r="R1478" s="9" t="n">
        <v>0.05</v>
      </c>
      <c r="S1478" s="10" t="inlineStr">
        <is>
          <t>SÍ — integrante</t>
        </is>
      </c>
      <c r="T1478" s="11" t="inlineStr">
        <is>
          <t>B · INTEGRANTE</t>
        </is>
      </c>
      <c r="U1478" s="11" t="inlineStr">
        <is>
          <t>DEL BANCO (se hereda)</t>
        </is>
      </c>
      <c r="V1478" s="11" t="n"/>
      <c r="W1478" s="12" t="n"/>
      <c r="X1478" s="12" t="n"/>
    </row>
    <row r="1479" ht="15" customHeight="1">
      <c r="C1479" t="inlineStr">
        <is>
          <t>NUMERO DE CONTRAPARTES</t>
        </is>
      </c>
      <c r="D1479" t="inlineStr">
        <is>
          <t>F19</t>
        </is>
      </c>
      <c r="E1479" t="inlineStr">
        <is>
          <t>TRANSACCIONAL</t>
        </is>
      </c>
      <c r="F1479" t="inlineStr">
        <is>
          <t>DE 0 A 5 CONTRAPARTES</t>
        </is>
      </c>
      <c r="G1479" t="n">
        <v>1</v>
      </c>
      <c r="H1479" t="n">
        <v>1</v>
      </c>
      <c r="I1479" t="n">
        <v>1</v>
      </c>
      <c r="J1479" t="n">
        <v>2</v>
      </c>
      <c r="K1479" t="n">
        <v>2</v>
      </c>
      <c r="L1479" t="n">
        <v>2</v>
      </c>
      <c r="M1479" t="n">
        <v>2</v>
      </c>
      <c r="N1479" t="n">
        <v>2</v>
      </c>
      <c r="O1479" t="n">
        <v>10</v>
      </c>
      <c r="P1479" t="n">
        <v>2</v>
      </c>
      <c r="R1479" s="9" t="n">
        <v>0.02</v>
      </c>
      <c r="S1479" s="10" t="inlineStr">
        <is>
          <t>NO — sustituido por FF5</t>
        </is>
      </c>
      <c r="T1479" s="11" t="n"/>
      <c r="U1479" s="11" t="inlineStr">
        <is>
          <t>DEL BANCO (se hereda)</t>
        </is>
      </c>
      <c r="V1479" s="11" t="n"/>
      <c r="W1479" s="12" t="n"/>
      <c r="X1479" s="12" t="n"/>
    </row>
    <row r="1480" ht="15" customHeight="1">
      <c r="C1480" t="inlineStr">
        <is>
          <t>NUMERO DE CONTRAPARTES</t>
        </is>
      </c>
      <c r="D1480" t="inlineStr">
        <is>
          <t>F19</t>
        </is>
      </c>
      <c r="E1480" t="inlineStr">
        <is>
          <t>TRANSACCIONAL</t>
        </is>
      </c>
      <c r="F1480" t="inlineStr">
        <is>
          <t>DE 6 A 10 CONTRAPARTES</t>
        </is>
      </c>
      <c r="G1480" t="n">
        <v>2</v>
      </c>
      <c r="H1480" t="n">
        <v>3</v>
      </c>
      <c r="I1480" t="n">
        <v>3</v>
      </c>
      <c r="J1480" t="n">
        <v>2</v>
      </c>
      <c r="K1480" t="n">
        <v>6</v>
      </c>
      <c r="L1480" t="n">
        <v>6</v>
      </c>
      <c r="M1480" t="n">
        <v>6</v>
      </c>
      <c r="N1480" t="n">
        <v>6</v>
      </c>
      <c r="O1480" t="n">
        <v>10</v>
      </c>
      <c r="P1480" t="n">
        <v>2</v>
      </c>
      <c r="R1480" s="9" t="n">
        <v>0.02</v>
      </c>
      <c r="S1480" s="10" t="inlineStr">
        <is>
          <t>NO — sustituido por FF5</t>
        </is>
      </c>
      <c r="T1480" s="11" t="n"/>
      <c r="U1480" s="11" t="inlineStr">
        <is>
          <t>DEL BANCO (se hereda)</t>
        </is>
      </c>
      <c r="V1480" s="11" t="n"/>
      <c r="W1480" s="12" t="n"/>
      <c r="X1480" s="12" t="n"/>
    </row>
    <row r="1481" ht="15" customHeight="1">
      <c r="C1481" t="inlineStr">
        <is>
          <t>NUMERO DE CONTRAPARTES</t>
        </is>
      </c>
      <c r="D1481" t="inlineStr">
        <is>
          <t>F19</t>
        </is>
      </c>
      <c r="E1481" t="inlineStr">
        <is>
          <t>TRANSACCIONAL</t>
        </is>
      </c>
      <c r="F1481" t="inlineStr">
        <is>
          <t>MAS DE 10 CONTRAPARTES</t>
        </is>
      </c>
      <c r="G1481" t="n">
        <v>3</v>
      </c>
      <c r="H1481" t="n">
        <v>5</v>
      </c>
      <c r="I1481" t="n">
        <v>5</v>
      </c>
      <c r="J1481" t="n">
        <v>2</v>
      </c>
      <c r="K1481" t="n">
        <v>10</v>
      </c>
      <c r="L1481" t="n">
        <v>10</v>
      </c>
      <c r="M1481" t="n">
        <v>10</v>
      </c>
      <c r="N1481" t="n">
        <v>10</v>
      </c>
      <c r="O1481" t="n">
        <v>10</v>
      </c>
      <c r="P1481" t="n">
        <v>2</v>
      </c>
      <c r="R1481" s="9" t="n">
        <v>0.02</v>
      </c>
      <c r="S1481" s="10" t="inlineStr">
        <is>
          <t>NO — sustituido por FF5</t>
        </is>
      </c>
      <c r="T1481" s="11" t="n"/>
      <c r="U1481" s="11" t="inlineStr">
        <is>
          <t>DEL BANCO (se hereda)</t>
        </is>
      </c>
      <c r="V1481" s="11" t="n"/>
      <c r="W1481" s="12" t="n"/>
      <c r="X1481" s="12" t="n"/>
    </row>
    <row r="1482" ht="15" customHeight="1">
      <c r="C1482" t="inlineStr">
        <is>
          <t>Edad / Fecha de constitución</t>
        </is>
      </c>
      <c r="D1482" t="inlineStr">
        <is>
          <t>F2</t>
        </is>
      </c>
      <c r="E1482" t="inlineStr">
        <is>
          <t>INHERENTE</t>
        </is>
      </c>
      <c r="F1482" t="inlineStr">
        <is>
          <t>0-1 AÑOS</t>
        </is>
      </c>
      <c r="G1482" t="n">
        <v>1</v>
      </c>
      <c r="H1482" t="n">
        <v>5</v>
      </c>
      <c r="I1482" t="n">
        <v>5</v>
      </c>
      <c r="J1482" t="n">
        <v>2</v>
      </c>
      <c r="K1482" t="n">
        <v>10</v>
      </c>
      <c r="L1482" t="n">
        <v>10</v>
      </c>
      <c r="M1482" t="n">
        <v>10</v>
      </c>
      <c r="N1482" t="n">
        <v>10</v>
      </c>
      <c r="O1482" t="n">
        <v>10</v>
      </c>
      <c r="P1482" t="n">
        <v>2</v>
      </c>
      <c r="R1482" s="9" t="n">
        <v>0.02</v>
      </c>
      <c r="S1482" s="10" t="inlineStr">
        <is>
          <t>SÍ — integrante</t>
        </is>
      </c>
      <c r="T1482" s="11" t="inlineStr">
        <is>
          <t>B · INTEGRANTE</t>
        </is>
      </c>
      <c r="U1482" s="11" t="inlineStr">
        <is>
          <t>DEL BANCO (se hereda)</t>
        </is>
      </c>
      <c r="V1482" s="11" t="n"/>
      <c r="W1482" s="12" t="n"/>
      <c r="X1482" s="12" t="n"/>
    </row>
    <row r="1483" ht="15" customHeight="1">
      <c r="C1483" t="inlineStr">
        <is>
          <t>Edad / Fecha de constitución</t>
        </is>
      </c>
      <c r="D1483" t="inlineStr">
        <is>
          <t>F2</t>
        </is>
      </c>
      <c r="E1483" t="inlineStr">
        <is>
          <t>INHERENTE</t>
        </is>
      </c>
      <c r="F1483" t="inlineStr">
        <is>
          <t>2-4 AÑOS</t>
        </is>
      </c>
      <c r="G1483" t="n">
        <v>2</v>
      </c>
      <c r="H1483" t="n">
        <v>5</v>
      </c>
      <c r="I1483" t="n">
        <v>4</v>
      </c>
      <c r="J1483" t="n">
        <v>2</v>
      </c>
      <c r="K1483" t="n">
        <v>10</v>
      </c>
      <c r="L1483" t="n">
        <v>10</v>
      </c>
      <c r="M1483" t="n">
        <v>8</v>
      </c>
      <c r="N1483" t="n">
        <v>8</v>
      </c>
      <c r="O1483" t="n">
        <v>10</v>
      </c>
      <c r="P1483" t="n">
        <v>2</v>
      </c>
      <c r="R1483" s="9" t="n">
        <v>0.02</v>
      </c>
      <c r="S1483" s="10" t="inlineStr">
        <is>
          <t>SÍ — integrante</t>
        </is>
      </c>
      <c r="T1483" s="11" t="inlineStr">
        <is>
          <t>B · INTEGRANTE</t>
        </is>
      </c>
      <c r="U1483" s="11" t="inlineStr">
        <is>
          <t>DEL BANCO (se hereda)</t>
        </is>
      </c>
      <c r="V1483" s="11" t="n"/>
      <c r="W1483" s="12" t="n"/>
      <c r="X1483" s="12" t="n"/>
    </row>
    <row r="1484" ht="15" customHeight="1">
      <c r="C1484" t="inlineStr">
        <is>
          <t>Edad / Fecha de constitución</t>
        </is>
      </c>
      <c r="D1484" t="inlineStr">
        <is>
          <t>F2</t>
        </is>
      </c>
      <c r="E1484" t="inlineStr">
        <is>
          <t>INHERENTE</t>
        </is>
      </c>
      <c r="F1484" t="inlineStr">
        <is>
          <t>5-6 AÑOS</t>
        </is>
      </c>
      <c r="G1484" t="n">
        <v>3</v>
      </c>
      <c r="H1484" t="n">
        <v>5</v>
      </c>
      <c r="I1484" t="n">
        <v>3</v>
      </c>
      <c r="J1484" t="n">
        <v>2</v>
      </c>
      <c r="K1484" t="n">
        <v>10</v>
      </c>
      <c r="L1484" t="n">
        <v>10</v>
      </c>
      <c r="M1484" t="n">
        <v>6</v>
      </c>
      <c r="N1484" t="n">
        <v>6</v>
      </c>
      <c r="O1484" t="n">
        <v>10</v>
      </c>
      <c r="P1484" t="n">
        <v>2</v>
      </c>
      <c r="R1484" s="9" t="n">
        <v>0.02</v>
      </c>
      <c r="S1484" s="10" t="inlineStr">
        <is>
          <t>SÍ — integrante</t>
        </is>
      </c>
      <c r="T1484" s="11" t="inlineStr">
        <is>
          <t>B · INTEGRANTE</t>
        </is>
      </c>
      <c r="U1484" s="11" t="inlineStr">
        <is>
          <t>DEL BANCO (se hereda)</t>
        </is>
      </c>
      <c r="V1484" s="11" t="n"/>
      <c r="W1484" s="12" t="n"/>
      <c r="X1484" s="12" t="n"/>
    </row>
    <row r="1485" ht="15" customHeight="1">
      <c r="C1485" t="inlineStr">
        <is>
          <t>Edad / Fecha de constitución</t>
        </is>
      </c>
      <c r="D1485" t="inlineStr">
        <is>
          <t>F2</t>
        </is>
      </c>
      <c r="E1485" t="inlineStr">
        <is>
          <t>INHERENTE</t>
        </is>
      </c>
      <c r="F1485" t="inlineStr">
        <is>
          <t>7-14 AÑOS</t>
        </is>
      </c>
      <c r="G1485" t="n">
        <v>4</v>
      </c>
      <c r="H1485" t="n">
        <v>5</v>
      </c>
      <c r="I1485" t="n">
        <v>1</v>
      </c>
      <c r="J1485" t="n">
        <v>2</v>
      </c>
      <c r="K1485" t="n">
        <v>10</v>
      </c>
      <c r="L1485" t="n">
        <v>10</v>
      </c>
      <c r="M1485" t="n">
        <v>2</v>
      </c>
      <c r="N1485" t="n">
        <v>2</v>
      </c>
      <c r="O1485" t="n">
        <v>10</v>
      </c>
      <c r="P1485" t="n">
        <v>2</v>
      </c>
      <c r="R1485" s="9" t="n">
        <v>0.02</v>
      </c>
      <c r="S1485" s="10" t="inlineStr">
        <is>
          <t>SÍ — integrante</t>
        </is>
      </c>
      <c r="T1485" s="11" t="inlineStr">
        <is>
          <t>B · INTEGRANTE</t>
        </is>
      </c>
      <c r="U1485" s="11" t="inlineStr">
        <is>
          <t>DEL BANCO (se hereda)</t>
        </is>
      </c>
      <c r="V1485" s="11" t="n"/>
      <c r="W1485" s="12" t="n"/>
      <c r="X1485" s="12" t="n"/>
    </row>
    <row r="1486" ht="15" customHeight="1">
      <c r="C1486" t="inlineStr">
        <is>
          <t>Edad / Fecha de constitución</t>
        </is>
      </c>
      <c r="D1486" t="inlineStr">
        <is>
          <t>F2</t>
        </is>
      </c>
      <c r="E1486" t="inlineStr">
        <is>
          <t>INHERENTE</t>
        </is>
      </c>
      <c r="F1486" t="inlineStr">
        <is>
          <t>15-17 AÑOS</t>
        </is>
      </c>
      <c r="G1486" t="n">
        <v>5</v>
      </c>
      <c r="H1486" t="n">
        <v>5</v>
      </c>
      <c r="I1486" t="n">
        <v>1</v>
      </c>
      <c r="J1486" t="n">
        <v>2</v>
      </c>
      <c r="K1486" t="n">
        <v>10</v>
      </c>
      <c r="L1486" t="n">
        <v>10</v>
      </c>
      <c r="M1486" t="n">
        <v>2</v>
      </c>
      <c r="N1486" t="n">
        <v>2</v>
      </c>
      <c r="O1486" t="n">
        <v>10</v>
      </c>
      <c r="P1486" t="n">
        <v>2</v>
      </c>
      <c r="R1486" s="9" t="n">
        <v>0.02</v>
      </c>
      <c r="S1486" s="10" t="inlineStr">
        <is>
          <t>SÍ — integrante</t>
        </is>
      </c>
      <c r="T1486" s="11" t="inlineStr">
        <is>
          <t>B · INTEGRANTE</t>
        </is>
      </c>
      <c r="U1486" s="11" t="inlineStr">
        <is>
          <t>DEL BANCO (se hereda)</t>
        </is>
      </c>
      <c r="V1486" s="11" t="n"/>
      <c r="W1486" s="12" t="n"/>
      <c r="X1486" s="12" t="n"/>
    </row>
    <row r="1487" ht="15" customHeight="1">
      <c r="C1487" t="inlineStr">
        <is>
          <t>Edad / Fecha de constitución</t>
        </is>
      </c>
      <c r="D1487" t="inlineStr">
        <is>
          <t>F2</t>
        </is>
      </c>
      <c r="E1487" t="inlineStr">
        <is>
          <t>INHERENTE</t>
        </is>
      </c>
      <c r="F1487" t="inlineStr">
        <is>
          <t>18-25 AÑOS</t>
        </is>
      </c>
      <c r="G1487" t="n">
        <v>6</v>
      </c>
      <c r="H1487" t="n">
        <v>5</v>
      </c>
      <c r="I1487" t="n">
        <v>1</v>
      </c>
      <c r="J1487" t="n">
        <v>2</v>
      </c>
      <c r="K1487" t="n">
        <v>10</v>
      </c>
      <c r="L1487" t="n">
        <v>10</v>
      </c>
      <c r="M1487" t="n">
        <v>2</v>
      </c>
      <c r="N1487" t="n">
        <v>2</v>
      </c>
      <c r="O1487" t="n">
        <v>10</v>
      </c>
      <c r="P1487" t="n">
        <v>2</v>
      </c>
      <c r="R1487" s="9" t="n">
        <v>0.02</v>
      </c>
      <c r="S1487" s="10" t="inlineStr">
        <is>
          <t>SÍ — integrante</t>
        </is>
      </c>
      <c r="T1487" s="11" t="inlineStr">
        <is>
          <t>B · INTEGRANTE</t>
        </is>
      </c>
      <c r="U1487" s="11" t="inlineStr">
        <is>
          <t>DEL BANCO (se hereda)</t>
        </is>
      </c>
      <c r="V1487" s="11" t="n"/>
      <c r="W1487" s="12" t="n"/>
      <c r="X1487" s="12" t="n"/>
    </row>
    <row r="1488" ht="15" customHeight="1">
      <c r="C1488" t="inlineStr">
        <is>
          <t>Edad / Fecha de constitución</t>
        </is>
      </c>
      <c r="D1488" t="inlineStr">
        <is>
          <t>F2</t>
        </is>
      </c>
      <c r="E1488" t="inlineStr">
        <is>
          <t>INHERENTE</t>
        </is>
      </c>
      <c r="F1488" t="inlineStr">
        <is>
          <t>25-50 AÑOS</t>
        </is>
      </c>
      <c r="G1488" t="n">
        <v>7</v>
      </c>
      <c r="H1488" t="n">
        <v>1</v>
      </c>
      <c r="I1488" t="n">
        <v>1</v>
      </c>
      <c r="J1488" t="n">
        <v>2</v>
      </c>
      <c r="K1488" t="n">
        <v>2</v>
      </c>
      <c r="L1488" t="n">
        <v>2</v>
      </c>
      <c r="M1488" t="n">
        <v>2</v>
      </c>
      <c r="N1488" t="n">
        <v>2</v>
      </c>
      <c r="O1488" t="n">
        <v>10</v>
      </c>
      <c r="P1488" t="n">
        <v>2</v>
      </c>
      <c r="R1488" s="9" t="n">
        <v>0.02</v>
      </c>
      <c r="S1488" s="10" t="inlineStr">
        <is>
          <t>SÍ — integrante</t>
        </is>
      </c>
      <c r="T1488" s="11" t="inlineStr">
        <is>
          <t>B · INTEGRANTE</t>
        </is>
      </c>
      <c r="U1488" s="11" t="inlineStr">
        <is>
          <t>DEL BANCO (se hereda)</t>
        </is>
      </c>
      <c r="V1488" s="11" t="n"/>
      <c r="W1488" s="12" t="n"/>
      <c r="X1488" s="12" t="n"/>
    </row>
    <row r="1489" ht="15" customHeight="1">
      <c r="C1489" t="inlineStr">
        <is>
          <t>Edad / Fecha de constitución</t>
        </is>
      </c>
      <c r="D1489" t="inlineStr">
        <is>
          <t>F2</t>
        </is>
      </c>
      <c r="E1489" t="inlineStr">
        <is>
          <t>INHERENTE</t>
        </is>
      </c>
      <c r="F1489" t="inlineStr">
        <is>
          <t>51-60 AÑOS</t>
        </is>
      </c>
      <c r="G1489" t="n">
        <v>8</v>
      </c>
      <c r="H1489" t="n">
        <v>2</v>
      </c>
      <c r="I1489" t="n">
        <v>1</v>
      </c>
      <c r="J1489" t="n">
        <v>2</v>
      </c>
      <c r="K1489" t="n">
        <v>4</v>
      </c>
      <c r="L1489" t="n">
        <v>4</v>
      </c>
      <c r="M1489" t="n">
        <v>2</v>
      </c>
      <c r="N1489" t="n">
        <v>2</v>
      </c>
      <c r="O1489" t="n">
        <v>10</v>
      </c>
      <c r="P1489" t="n">
        <v>2</v>
      </c>
      <c r="R1489" s="9" t="n">
        <v>0.02</v>
      </c>
      <c r="S1489" s="10" t="inlineStr">
        <is>
          <t>SÍ — integrante</t>
        </is>
      </c>
      <c r="T1489" s="11" t="inlineStr">
        <is>
          <t>B · INTEGRANTE</t>
        </is>
      </c>
      <c r="U1489" s="11" t="inlineStr">
        <is>
          <t>DEL BANCO (se hereda)</t>
        </is>
      </c>
      <c r="V1489" s="11" t="n"/>
      <c r="W1489" s="12" t="n"/>
      <c r="X1489" s="12" t="n"/>
    </row>
    <row r="1490" ht="15" customHeight="1">
      <c r="C1490" t="inlineStr">
        <is>
          <t>Edad / Fecha de constitución</t>
        </is>
      </c>
      <c r="D1490" t="inlineStr">
        <is>
          <t>F2</t>
        </is>
      </c>
      <c r="E1490" t="inlineStr">
        <is>
          <t>INHERENTE</t>
        </is>
      </c>
      <c r="F1490" t="inlineStr">
        <is>
          <t>61-70 AÑOS</t>
        </is>
      </c>
      <c r="G1490" t="n">
        <v>9</v>
      </c>
      <c r="H1490" t="n">
        <v>4</v>
      </c>
      <c r="I1490" t="n">
        <v>1</v>
      </c>
      <c r="J1490" t="n">
        <v>2</v>
      </c>
      <c r="K1490" t="n">
        <v>8</v>
      </c>
      <c r="L1490" t="n">
        <v>8</v>
      </c>
      <c r="M1490" t="n">
        <v>2</v>
      </c>
      <c r="N1490" t="n">
        <v>2</v>
      </c>
      <c r="O1490" t="n">
        <v>10</v>
      </c>
      <c r="P1490" t="n">
        <v>2</v>
      </c>
      <c r="R1490" s="9" t="n">
        <v>0.02</v>
      </c>
      <c r="S1490" s="10" t="inlineStr">
        <is>
          <t>SÍ — integrante</t>
        </is>
      </c>
      <c r="T1490" s="11" t="inlineStr">
        <is>
          <t>B · INTEGRANTE</t>
        </is>
      </c>
      <c r="U1490" s="11" t="inlineStr">
        <is>
          <t>DEL BANCO (se hereda)</t>
        </is>
      </c>
      <c r="V1490" s="11" t="n"/>
      <c r="W1490" s="12" t="n"/>
      <c r="X1490" s="12" t="n"/>
    </row>
    <row r="1491" ht="15" customHeight="1">
      <c r="C1491" t="inlineStr">
        <is>
          <t>Edad / Fecha de constitución</t>
        </is>
      </c>
      <c r="D1491" t="inlineStr">
        <is>
          <t>F2</t>
        </is>
      </c>
      <c r="E1491" t="inlineStr">
        <is>
          <t>INHERENTE</t>
        </is>
      </c>
      <c r="F1491" t="inlineStr">
        <is>
          <t>71 - 90</t>
        </is>
      </c>
      <c r="G1491" t="n">
        <v>10</v>
      </c>
      <c r="H1491" t="n">
        <v>5</v>
      </c>
      <c r="I1491" t="n">
        <v>1</v>
      </c>
      <c r="J1491" t="n">
        <v>2</v>
      </c>
      <c r="K1491" t="n">
        <v>10</v>
      </c>
      <c r="L1491" t="n">
        <v>10</v>
      </c>
      <c r="M1491" t="n">
        <v>2</v>
      </c>
      <c r="N1491" t="n">
        <v>2</v>
      </c>
      <c r="O1491" t="n">
        <v>10</v>
      </c>
      <c r="P1491" t="n">
        <v>2</v>
      </c>
      <c r="R1491" s="9" t="n">
        <v>0.02</v>
      </c>
      <c r="S1491" s="10" t="inlineStr">
        <is>
          <t>SÍ — integrante</t>
        </is>
      </c>
      <c r="T1491" s="11" t="inlineStr">
        <is>
          <t>B · INTEGRANTE</t>
        </is>
      </c>
      <c r="U1491" s="11" t="inlineStr">
        <is>
          <t>DEL BANCO (se hereda)</t>
        </is>
      </c>
      <c r="V1491" s="11" t="n"/>
      <c r="W1491" s="12" t="n"/>
      <c r="X1491" s="12" t="n"/>
    </row>
    <row r="1492" ht="15" customHeight="1">
      <c r="C1492" t="inlineStr">
        <is>
          <t>Edad / Fecha de constitución</t>
        </is>
      </c>
      <c r="D1492" t="inlineStr">
        <is>
          <t>F2</t>
        </is>
      </c>
      <c r="E1492" t="inlineStr">
        <is>
          <t>INHERENTE</t>
        </is>
      </c>
      <c r="F1492" t="inlineStr">
        <is>
          <t>91 - EN ADELANTE</t>
        </is>
      </c>
      <c r="G1492" t="n">
        <v>11</v>
      </c>
      <c r="H1492" t="n">
        <v>5</v>
      </c>
      <c r="I1492" t="n">
        <v>1</v>
      </c>
      <c r="J1492" t="n">
        <v>2</v>
      </c>
      <c r="K1492" t="n">
        <v>10</v>
      </c>
      <c r="L1492" t="n">
        <v>10</v>
      </c>
      <c r="M1492" t="n">
        <v>2</v>
      </c>
      <c r="N1492" t="n">
        <v>2</v>
      </c>
      <c r="O1492" t="n">
        <v>10</v>
      </c>
      <c r="P1492" t="n">
        <v>2</v>
      </c>
      <c r="R1492" s="9" t="n">
        <v>0.02</v>
      </c>
      <c r="S1492" s="10" t="inlineStr">
        <is>
          <t>SÍ — integrante</t>
        </is>
      </c>
      <c r="T1492" s="11" t="inlineStr">
        <is>
          <t>B · INTEGRANTE</t>
        </is>
      </c>
      <c r="U1492" s="11" t="inlineStr">
        <is>
          <t>DEL BANCO (se hereda)</t>
        </is>
      </c>
      <c r="V1492" s="11" t="n"/>
      <c r="W1492" s="12" t="n"/>
      <c r="X1492" s="12" t="n"/>
    </row>
    <row r="1493" ht="15" customHeight="1">
      <c r="C1493" t="inlineStr">
        <is>
          <t>Frecuencia de la operación</t>
        </is>
      </c>
      <c r="D1493" t="inlineStr">
        <is>
          <t>F23</t>
        </is>
      </c>
      <c r="E1493" t="inlineStr">
        <is>
          <t>TRANSACCIONAL</t>
        </is>
      </c>
      <c r="F1493" t="inlineStr">
        <is>
          <t>DE 0 A 20</t>
        </is>
      </c>
      <c r="G1493" t="n">
        <v>1</v>
      </c>
      <c r="H1493" t="n">
        <v>1</v>
      </c>
      <c r="I1493" t="n">
        <v>1</v>
      </c>
      <c r="J1493" t="n">
        <v>5</v>
      </c>
      <c r="K1493" t="n">
        <v>5</v>
      </c>
      <c r="L1493" t="n">
        <v>5</v>
      </c>
      <c r="M1493" t="n">
        <v>5</v>
      </c>
      <c r="N1493" t="n">
        <v>5</v>
      </c>
      <c r="O1493" t="n">
        <v>25</v>
      </c>
      <c r="P1493" t="n">
        <v>5</v>
      </c>
      <c r="R1493" s="9" t="n">
        <v>0.05</v>
      </c>
      <c r="S1493" s="10" t="inlineStr">
        <is>
          <t>V2 — frecuencia</t>
        </is>
      </c>
      <c r="T1493" s="11" t="n"/>
      <c r="U1493" s="11" t="inlineStr">
        <is>
          <t>DEL BANCO (se hereda)</t>
        </is>
      </c>
      <c r="V1493" s="11" t="n"/>
      <c r="W1493" s="12" t="n"/>
      <c r="X1493" s="12" t="n"/>
    </row>
    <row r="1494" ht="15" customHeight="1">
      <c r="C1494" t="inlineStr">
        <is>
          <t>Frecuencia de la operación</t>
        </is>
      </c>
      <c r="D1494" t="inlineStr">
        <is>
          <t>F23</t>
        </is>
      </c>
      <c r="E1494" t="inlineStr">
        <is>
          <t>TRANSACCIONAL</t>
        </is>
      </c>
      <c r="F1494" t="inlineStr">
        <is>
          <t>DE 21 A 50</t>
        </is>
      </c>
      <c r="G1494" t="n">
        <v>2</v>
      </c>
      <c r="H1494" t="n">
        <v>2</v>
      </c>
      <c r="I1494" t="n">
        <v>1</v>
      </c>
      <c r="J1494" t="n">
        <v>5</v>
      </c>
      <c r="K1494" t="n">
        <v>10</v>
      </c>
      <c r="L1494" t="n">
        <v>10</v>
      </c>
      <c r="M1494" t="n">
        <v>5</v>
      </c>
      <c r="N1494" t="n">
        <v>5</v>
      </c>
      <c r="O1494" t="n">
        <v>25</v>
      </c>
      <c r="P1494" t="n">
        <v>5</v>
      </c>
      <c r="R1494" s="9" t="n">
        <v>0.05</v>
      </c>
      <c r="S1494" s="10" t="inlineStr">
        <is>
          <t>V2 — frecuencia</t>
        </is>
      </c>
      <c r="T1494" s="11" t="n"/>
      <c r="U1494" s="11" t="inlineStr">
        <is>
          <t>DEL BANCO (se hereda)</t>
        </is>
      </c>
      <c r="V1494" s="11" t="n"/>
      <c r="W1494" s="12" t="n"/>
      <c r="X1494" s="12" t="n"/>
    </row>
    <row r="1495" ht="15" customHeight="1">
      <c r="C1495" t="inlineStr">
        <is>
          <t>Frecuencia de la operación</t>
        </is>
      </c>
      <c r="D1495" t="inlineStr">
        <is>
          <t>F23</t>
        </is>
      </c>
      <c r="E1495" t="inlineStr">
        <is>
          <t>TRANSACCIONAL</t>
        </is>
      </c>
      <c r="F1495" t="inlineStr">
        <is>
          <t>DE 51 A 200</t>
        </is>
      </c>
      <c r="G1495" t="n">
        <v>3</v>
      </c>
      <c r="H1495" t="n">
        <v>3</v>
      </c>
      <c r="I1495" t="n">
        <v>1</v>
      </c>
      <c r="J1495" t="n">
        <v>5</v>
      </c>
      <c r="K1495" t="n">
        <v>15</v>
      </c>
      <c r="L1495" t="n">
        <v>15</v>
      </c>
      <c r="M1495" t="n">
        <v>5</v>
      </c>
      <c r="N1495" t="n">
        <v>5</v>
      </c>
      <c r="O1495" t="n">
        <v>25</v>
      </c>
      <c r="P1495" t="n">
        <v>5</v>
      </c>
      <c r="R1495" s="9" t="n">
        <v>0.05</v>
      </c>
      <c r="S1495" s="10" t="inlineStr">
        <is>
          <t>V2 — frecuencia</t>
        </is>
      </c>
      <c r="T1495" s="11" t="n"/>
      <c r="U1495" s="11" t="inlineStr">
        <is>
          <t>DEL BANCO (se hereda)</t>
        </is>
      </c>
      <c r="V1495" s="11" t="n"/>
      <c r="W1495" s="12" t="n"/>
      <c r="X1495" s="12" t="n"/>
    </row>
    <row r="1496" ht="15" customHeight="1">
      <c r="C1496" t="inlineStr">
        <is>
          <t>Frecuencia de la operación</t>
        </is>
      </c>
      <c r="D1496" t="inlineStr">
        <is>
          <t>F23</t>
        </is>
      </c>
      <c r="E1496" t="inlineStr">
        <is>
          <t>TRANSACCIONAL</t>
        </is>
      </c>
      <c r="F1496" t="inlineStr">
        <is>
          <t>DE 201 A 1K</t>
        </is>
      </c>
      <c r="G1496" t="n">
        <v>4</v>
      </c>
      <c r="H1496" t="n">
        <v>4</v>
      </c>
      <c r="I1496" t="n">
        <v>1</v>
      </c>
      <c r="J1496" t="n">
        <v>5</v>
      </c>
      <c r="K1496" t="n">
        <v>20</v>
      </c>
      <c r="L1496" t="n">
        <v>20</v>
      </c>
      <c r="M1496" t="n">
        <v>5</v>
      </c>
      <c r="N1496" t="n">
        <v>5</v>
      </c>
      <c r="O1496" t="n">
        <v>25</v>
      </c>
      <c r="P1496" t="n">
        <v>5</v>
      </c>
      <c r="R1496" s="9" t="n">
        <v>0.05</v>
      </c>
      <c r="S1496" s="10" t="inlineStr">
        <is>
          <t>V2 — frecuencia</t>
        </is>
      </c>
      <c r="T1496" s="11" t="n"/>
      <c r="U1496" s="11" t="inlineStr">
        <is>
          <t>DEL BANCO (se hereda)</t>
        </is>
      </c>
      <c r="V1496" s="11" t="n"/>
      <c r="W1496" s="12" t="n"/>
      <c r="X1496" s="12" t="n"/>
    </row>
    <row r="1497" ht="15" customHeight="1">
      <c r="C1497" t="inlineStr">
        <is>
          <t>Frecuencia de la operación</t>
        </is>
      </c>
      <c r="D1497" t="inlineStr">
        <is>
          <t>F23</t>
        </is>
      </c>
      <c r="E1497" t="inlineStr">
        <is>
          <t>TRANSACCIONAL</t>
        </is>
      </c>
      <c r="F1497" t="inlineStr">
        <is>
          <t>MAS DE MIL</t>
        </is>
      </c>
      <c r="G1497" t="n">
        <v>5</v>
      </c>
      <c r="H1497" t="n">
        <v>5</v>
      </c>
      <c r="I1497" t="n">
        <v>1</v>
      </c>
      <c r="J1497" t="n">
        <v>5</v>
      </c>
      <c r="K1497" t="n">
        <v>25</v>
      </c>
      <c r="L1497" t="n">
        <v>25</v>
      </c>
      <c r="M1497" t="n">
        <v>5</v>
      </c>
      <c r="N1497" t="n">
        <v>5</v>
      </c>
      <c r="O1497" t="n">
        <v>25</v>
      </c>
      <c r="P1497" t="n">
        <v>5</v>
      </c>
      <c r="R1497" s="9" t="n">
        <v>0.05</v>
      </c>
      <c r="S1497" s="10" t="inlineStr">
        <is>
          <t>V2 — frecuencia</t>
        </is>
      </c>
      <c r="T1497" s="11" t="n"/>
      <c r="U1497" s="11" t="inlineStr">
        <is>
          <t>DEL BANCO (se hereda)</t>
        </is>
      </c>
      <c r="V1497" s="11" t="n"/>
      <c r="W1497" s="12" t="n"/>
      <c r="X1497" s="12" t="n"/>
    </row>
    <row r="1498" ht="15" customHeight="1">
      <c r="C1498" t="inlineStr">
        <is>
          <t>Frecuencia de la operación</t>
        </is>
      </c>
      <c r="D1498" t="inlineStr">
        <is>
          <t>F23</t>
        </is>
      </c>
      <c r="E1498" t="inlineStr">
        <is>
          <t>TRANSACCIONAL</t>
        </is>
      </c>
      <c r="F1498" t="inlineStr">
        <is>
          <t>de 0 a 100</t>
        </is>
      </c>
      <c r="G1498" t="n">
        <v>1</v>
      </c>
      <c r="H1498" t="n">
        <v>1</v>
      </c>
      <c r="I1498" t="n">
        <v>1</v>
      </c>
      <c r="J1498" t="n">
        <v>5</v>
      </c>
      <c r="K1498" t="n">
        <v>5</v>
      </c>
      <c r="L1498" t="n">
        <v>5</v>
      </c>
      <c r="M1498" t="n">
        <v>5</v>
      </c>
      <c r="N1498" t="n">
        <v>5</v>
      </c>
      <c r="O1498" t="n">
        <v>25</v>
      </c>
      <c r="P1498" t="n">
        <v>5</v>
      </c>
      <c r="R1498" s="9" t="n">
        <v>0.05</v>
      </c>
      <c r="S1498" s="10" t="inlineStr">
        <is>
          <t>V2 — frecuencia</t>
        </is>
      </c>
      <c r="T1498" s="11" t="n"/>
      <c r="U1498" s="11" t="inlineStr">
        <is>
          <t>DEL BANCO (se hereda)</t>
        </is>
      </c>
      <c r="V1498" s="11" t="n"/>
      <c r="W1498" s="12" t="n"/>
      <c r="X1498" s="12" t="n"/>
    </row>
    <row r="1499" ht="15" customHeight="1">
      <c r="C1499" t="inlineStr">
        <is>
          <t>Frecuencia de la operación</t>
        </is>
      </c>
      <c r="D1499" t="inlineStr">
        <is>
          <t>F23</t>
        </is>
      </c>
      <c r="E1499" t="inlineStr">
        <is>
          <t>TRANSACCIONAL</t>
        </is>
      </c>
      <c r="F1499" t="inlineStr">
        <is>
          <t>de 101 a 300</t>
        </is>
      </c>
      <c r="G1499" t="n">
        <v>2</v>
      </c>
      <c r="H1499" t="n">
        <v>2</v>
      </c>
      <c r="I1499" t="n">
        <v>1</v>
      </c>
      <c r="J1499" t="n">
        <v>5</v>
      </c>
      <c r="K1499" t="n">
        <v>10</v>
      </c>
      <c r="L1499" t="n">
        <v>10</v>
      </c>
      <c r="M1499" t="n">
        <v>5</v>
      </c>
      <c r="N1499" t="n">
        <v>5</v>
      </c>
      <c r="O1499" t="n">
        <v>25</v>
      </c>
      <c r="P1499" t="n">
        <v>5</v>
      </c>
      <c r="R1499" s="9" t="n">
        <v>0.05</v>
      </c>
      <c r="S1499" s="10" t="inlineStr">
        <is>
          <t>V2 — frecuencia</t>
        </is>
      </c>
      <c r="T1499" s="11" t="n"/>
      <c r="U1499" s="11" t="inlineStr">
        <is>
          <t>DEL BANCO (se hereda)</t>
        </is>
      </c>
      <c r="V1499" s="11" t="n"/>
      <c r="W1499" s="12" t="n"/>
      <c r="X1499" s="12" t="n"/>
    </row>
    <row r="1500" ht="15" customHeight="1">
      <c r="C1500" t="inlineStr">
        <is>
          <t>Frecuencia de la operación</t>
        </is>
      </c>
      <c r="D1500" t="inlineStr">
        <is>
          <t>F23</t>
        </is>
      </c>
      <c r="E1500" t="inlineStr">
        <is>
          <t>TRANSACCIONAL</t>
        </is>
      </c>
      <c r="F1500" t="inlineStr">
        <is>
          <t>de 301 a 1,000</t>
        </is>
      </c>
      <c r="G1500" t="n">
        <v>3</v>
      </c>
      <c r="H1500" t="n">
        <v>3</v>
      </c>
      <c r="I1500" t="n">
        <v>1</v>
      </c>
      <c r="J1500" t="n">
        <v>5</v>
      </c>
      <c r="K1500" t="n">
        <v>15</v>
      </c>
      <c r="L1500" t="n">
        <v>15</v>
      </c>
      <c r="M1500" t="n">
        <v>5</v>
      </c>
      <c r="N1500" t="n">
        <v>5</v>
      </c>
      <c r="O1500" t="n">
        <v>25</v>
      </c>
      <c r="P1500" t="n">
        <v>5</v>
      </c>
      <c r="R1500" s="9" t="n">
        <v>0.05</v>
      </c>
      <c r="S1500" s="10" t="inlineStr">
        <is>
          <t>V2 — frecuencia</t>
        </is>
      </c>
      <c r="T1500" s="11" t="n"/>
      <c r="U1500" s="11" t="inlineStr">
        <is>
          <t>DEL BANCO (se hereda)</t>
        </is>
      </c>
      <c r="V1500" s="11" t="n"/>
      <c r="W1500" s="12" t="n"/>
      <c r="X1500" s="12" t="n"/>
    </row>
    <row r="1501" ht="15" customHeight="1">
      <c r="C1501" t="inlineStr">
        <is>
          <t>Frecuencia de la operación</t>
        </is>
      </c>
      <c r="D1501" t="inlineStr">
        <is>
          <t>F23</t>
        </is>
      </c>
      <c r="E1501" t="inlineStr">
        <is>
          <t>TRANSACCIONAL</t>
        </is>
      </c>
      <c r="F1501" t="inlineStr">
        <is>
          <t>de 1,001 a 3,000</t>
        </is>
      </c>
      <c r="G1501" t="n">
        <v>4</v>
      </c>
      <c r="H1501" t="n">
        <v>4</v>
      </c>
      <c r="I1501" t="n">
        <v>1</v>
      </c>
      <c r="J1501" t="n">
        <v>5</v>
      </c>
      <c r="K1501" t="n">
        <v>20</v>
      </c>
      <c r="L1501" t="n">
        <v>20</v>
      </c>
      <c r="M1501" t="n">
        <v>5</v>
      </c>
      <c r="N1501" t="n">
        <v>5</v>
      </c>
      <c r="O1501" t="n">
        <v>25</v>
      </c>
      <c r="P1501" t="n">
        <v>5</v>
      </c>
      <c r="R1501" s="9" t="n">
        <v>0.05</v>
      </c>
      <c r="S1501" s="10" t="inlineStr">
        <is>
          <t>V2 — frecuencia</t>
        </is>
      </c>
      <c r="T1501" s="11" t="n"/>
      <c r="U1501" s="11" t="inlineStr">
        <is>
          <t>DEL BANCO (se hereda)</t>
        </is>
      </c>
      <c r="V1501" s="11" t="n"/>
      <c r="W1501" s="12" t="n"/>
      <c r="X1501" s="12" t="n"/>
    </row>
    <row r="1502" ht="15" customHeight="1">
      <c r="C1502" t="inlineStr">
        <is>
          <t>Frecuencia de la operación</t>
        </is>
      </c>
      <c r="D1502" t="inlineStr">
        <is>
          <t>F23</t>
        </is>
      </c>
      <c r="E1502" t="inlineStr">
        <is>
          <t>TRANSACCIONAL</t>
        </is>
      </c>
      <c r="F1502" t="inlineStr">
        <is>
          <t>mas de 3 mil</t>
        </is>
      </c>
      <c r="G1502" t="n">
        <v>5</v>
      </c>
      <c r="H1502" t="n">
        <v>5</v>
      </c>
      <c r="I1502" t="n">
        <v>1</v>
      </c>
      <c r="J1502" t="n">
        <v>5</v>
      </c>
      <c r="K1502" t="n">
        <v>25</v>
      </c>
      <c r="L1502" t="n">
        <v>25</v>
      </c>
      <c r="M1502" t="n">
        <v>5</v>
      </c>
      <c r="N1502" t="n">
        <v>5</v>
      </c>
      <c r="O1502" t="n">
        <v>25</v>
      </c>
      <c r="P1502" t="n">
        <v>5</v>
      </c>
      <c r="R1502" s="9" t="n">
        <v>0.05</v>
      </c>
      <c r="S1502" s="10" t="inlineStr">
        <is>
          <t>V2 — frecuencia</t>
        </is>
      </c>
      <c r="T1502" s="11" t="n"/>
      <c r="U1502" s="11" t="inlineStr">
        <is>
          <t>DEL BANCO (se hereda)</t>
        </is>
      </c>
      <c r="V1502" s="11" t="n"/>
      <c r="W1502" s="12" t="n"/>
      <c r="X1502" s="12" t="n"/>
    </row>
    <row r="1503" ht="15" customHeight="1">
      <c r="C1503" t="inlineStr">
        <is>
          <t>Frecuencia de la operación</t>
        </is>
      </c>
      <c r="D1503" t="inlineStr">
        <is>
          <t>F23</t>
        </is>
      </c>
      <c r="E1503" t="inlineStr">
        <is>
          <t>TRANSACCIONAL</t>
        </is>
      </c>
      <c r="F1503" t="inlineStr">
        <is>
          <t>de 0 a 500</t>
        </is>
      </c>
      <c r="G1503" t="n">
        <v>1</v>
      </c>
      <c r="H1503" t="n">
        <v>1</v>
      </c>
      <c r="I1503" t="n">
        <v>1</v>
      </c>
      <c r="J1503" t="n">
        <v>5</v>
      </c>
      <c r="K1503" t="n">
        <v>5</v>
      </c>
      <c r="L1503" t="n">
        <v>5</v>
      </c>
      <c r="M1503" t="n">
        <v>5</v>
      </c>
      <c r="N1503" t="n">
        <v>5</v>
      </c>
      <c r="O1503" t="n">
        <v>25</v>
      </c>
      <c r="P1503" t="n">
        <v>5</v>
      </c>
      <c r="R1503" s="9" t="n">
        <v>0.05</v>
      </c>
      <c r="S1503" s="10" t="inlineStr">
        <is>
          <t>V2 — frecuencia</t>
        </is>
      </c>
      <c r="T1503" s="11" t="n"/>
      <c r="U1503" s="11" t="inlineStr">
        <is>
          <t>DEL BANCO (se hereda)</t>
        </is>
      </c>
      <c r="V1503" s="11" t="n"/>
      <c r="W1503" s="12" t="n"/>
      <c r="X1503" s="12" t="n"/>
    </row>
    <row r="1504" ht="15" customHeight="1">
      <c r="C1504" t="inlineStr">
        <is>
          <t>Frecuencia de la operación</t>
        </is>
      </c>
      <c r="D1504" t="inlineStr">
        <is>
          <t>F23</t>
        </is>
      </c>
      <c r="E1504" t="inlineStr">
        <is>
          <t>TRANSACCIONAL</t>
        </is>
      </c>
      <c r="F1504" t="inlineStr">
        <is>
          <t>de 501 a 1000</t>
        </is>
      </c>
      <c r="G1504" t="n">
        <v>2</v>
      </c>
      <c r="H1504" t="n">
        <v>1</v>
      </c>
      <c r="I1504" t="n">
        <v>2</v>
      </c>
      <c r="J1504" t="n">
        <v>5</v>
      </c>
      <c r="K1504" t="n">
        <v>5</v>
      </c>
      <c r="L1504" t="n">
        <v>5</v>
      </c>
      <c r="M1504" t="n">
        <v>10</v>
      </c>
      <c r="N1504" t="n">
        <v>10</v>
      </c>
      <c r="O1504" t="n">
        <v>25</v>
      </c>
      <c r="P1504" t="n">
        <v>5</v>
      </c>
      <c r="R1504" s="9" t="n">
        <v>0.05</v>
      </c>
      <c r="S1504" s="10" t="inlineStr">
        <is>
          <t>V2 — frecuencia</t>
        </is>
      </c>
      <c r="T1504" s="11" t="n"/>
      <c r="U1504" s="11" t="inlineStr">
        <is>
          <t>DEL BANCO (se hereda)</t>
        </is>
      </c>
      <c r="V1504" s="11" t="n"/>
      <c r="W1504" s="12" t="n"/>
      <c r="X1504" s="12" t="n"/>
    </row>
    <row r="1505" ht="15" customHeight="1">
      <c r="C1505" t="inlineStr">
        <is>
          <t>Frecuencia de la operación</t>
        </is>
      </c>
      <c r="D1505" t="inlineStr">
        <is>
          <t>F23</t>
        </is>
      </c>
      <c r="E1505" t="inlineStr">
        <is>
          <t>TRANSACCIONAL</t>
        </is>
      </c>
      <c r="F1505" t="inlineStr">
        <is>
          <t>de 1001 a 5000</t>
        </is>
      </c>
      <c r="G1505" t="n">
        <v>3</v>
      </c>
      <c r="H1505" t="n">
        <v>1</v>
      </c>
      <c r="I1505" t="n">
        <v>3</v>
      </c>
      <c r="J1505" t="n">
        <v>5</v>
      </c>
      <c r="K1505" t="n">
        <v>5</v>
      </c>
      <c r="L1505" t="n">
        <v>5</v>
      </c>
      <c r="M1505" t="n">
        <v>15</v>
      </c>
      <c r="N1505" t="n">
        <v>15</v>
      </c>
      <c r="O1505" t="n">
        <v>25</v>
      </c>
      <c r="P1505" t="n">
        <v>5</v>
      </c>
      <c r="R1505" s="9" t="n">
        <v>0.05</v>
      </c>
      <c r="S1505" s="10" t="inlineStr">
        <is>
          <t>V2 — frecuencia</t>
        </is>
      </c>
      <c r="T1505" s="11" t="n"/>
      <c r="U1505" s="11" t="inlineStr">
        <is>
          <t>DEL BANCO (se hereda)</t>
        </is>
      </c>
      <c r="V1505" s="11" t="n"/>
      <c r="W1505" s="12" t="n"/>
      <c r="X1505" s="12" t="n"/>
    </row>
    <row r="1506" ht="15" customHeight="1">
      <c r="C1506" t="inlineStr">
        <is>
          <t>Frecuencia de la operación</t>
        </is>
      </c>
      <c r="D1506" t="inlineStr">
        <is>
          <t>F23</t>
        </is>
      </c>
      <c r="E1506" t="inlineStr">
        <is>
          <t>TRANSACCIONAL</t>
        </is>
      </c>
      <c r="F1506" t="inlineStr">
        <is>
          <t>de 5001 a 10 mil</t>
        </is>
      </c>
      <c r="G1506" t="n">
        <v>4</v>
      </c>
      <c r="H1506" t="n">
        <v>1</v>
      </c>
      <c r="I1506" t="n">
        <v>4</v>
      </c>
      <c r="J1506" t="n">
        <v>5</v>
      </c>
      <c r="K1506" t="n">
        <v>5</v>
      </c>
      <c r="L1506" t="n">
        <v>5</v>
      </c>
      <c r="M1506" t="n">
        <v>20</v>
      </c>
      <c r="N1506" t="n">
        <v>20</v>
      </c>
      <c r="O1506" t="n">
        <v>25</v>
      </c>
      <c r="P1506" t="n">
        <v>5</v>
      </c>
      <c r="R1506" s="9" t="n">
        <v>0.05</v>
      </c>
      <c r="S1506" s="10" t="inlineStr">
        <is>
          <t>V2 — frecuencia</t>
        </is>
      </c>
      <c r="T1506" s="11" t="n"/>
      <c r="U1506" s="11" t="inlineStr">
        <is>
          <t>DEL BANCO (se hereda)</t>
        </is>
      </c>
      <c r="V1506" s="11" t="n"/>
      <c r="W1506" s="12" t="n"/>
      <c r="X1506" s="12" t="n"/>
    </row>
    <row r="1507" ht="15" customHeight="1">
      <c r="C1507" t="inlineStr">
        <is>
          <t>Frecuencia de la operación</t>
        </is>
      </c>
      <c r="D1507" t="inlineStr">
        <is>
          <t>F23</t>
        </is>
      </c>
      <c r="E1507" t="inlineStr">
        <is>
          <t>TRANSACCIONAL</t>
        </is>
      </c>
      <c r="F1507" t="inlineStr">
        <is>
          <t>mas de 10 mil</t>
        </is>
      </c>
      <c r="G1507" t="n">
        <v>5</v>
      </c>
      <c r="H1507" t="n">
        <v>1</v>
      </c>
      <c r="I1507" t="n">
        <v>5</v>
      </c>
      <c r="J1507" t="n">
        <v>5</v>
      </c>
      <c r="K1507" t="n">
        <v>5</v>
      </c>
      <c r="L1507" t="n">
        <v>5</v>
      </c>
      <c r="M1507" t="n">
        <v>25</v>
      </c>
      <c r="N1507" t="n">
        <v>25</v>
      </c>
      <c r="O1507" t="n">
        <v>25</v>
      </c>
      <c r="P1507" t="n">
        <v>5</v>
      </c>
      <c r="R1507" s="9" t="n">
        <v>0.05</v>
      </c>
      <c r="S1507" s="10" t="inlineStr">
        <is>
          <t>V2 — frecuencia</t>
        </is>
      </c>
      <c r="T1507" s="11" t="n"/>
      <c r="U1507" s="11" t="inlineStr">
        <is>
          <t>DEL BANCO (se hereda)</t>
        </is>
      </c>
      <c r="V1507" s="11" t="n"/>
      <c r="W1507" s="12" t="n"/>
      <c r="X1507" s="12" t="n"/>
    </row>
    <row r="1508" ht="15" customHeight="1">
      <c r="C1508" t="inlineStr">
        <is>
          <t>Realización de SPID</t>
        </is>
      </c>
      <c r="D1508" t="inlineStr">
        <is>
          <t>F24</t>
        </is>
      </c>
      <c r="E1508" t="inlineStr">
        <is>
          <t>TRANSACCIONAL</t>
        </is>
      </c>
      <c r="F1508" t="inlineStr">
        <is>
          <t>NO</t>
        </is>
      </c>
      <c r="G1508" t="n">
        <v>1</v>
      </c>
      <c r="H1508" t="n">
        <v>1</v>
      </c>
      <c r="I1508" t="n">
        <v>1</v>
      </c>
      <c r="J1508" t="n">
        <v>5</v>
      </c>
      <c r="K1508" t="n">
        <v>5</v>
      </c>
      <c r="L1508" t="n">
        <v>5</v>
      </c>
      <c r="M1508" t="n">
        <v>5</v>
      </c>
      <c r="N1508" t="n">
        <v>5</v>
      </c>
      <c r="O1508" t="n">
        <v>25</v>
      </c>
      <c r="P1508" t="n">
        <v>5</v>
      </c>
      <c r="R1508" s="9" t="n">
        <v>0.05</v>
      </c>
      <c r="S1508" s="10" t="inlineStr">
        <is>
          <t>Absorbido en FF8</t>
        </is>
      </c>
      <c r="T1508" s="11" t="n"/>
      <c r="U1508" s="11" t="inlineStr">
        <is>
          <t>DEL BANCO (se hereda)</t>
        </is>
      </c>
      <c r="V1508" s="11" t="n"/>
      <c r="W1508" s="12" t="n"/>
      <c r="X1508" s="12" t="n"/>
    </row>
    <row r="1509" ht="15" customHeight="1">
      <c r="C1509" t="inlineStr">
        <is>
          <t>Realización de SPID</t>
        </is>
      </c>
      <c r="D1509" t="inlineStr">
        <is>
          <t>F24</t>
        </is>
      </c>
      <c r="E1509" t="inlineStr">
        <is>
          <t>TRANSACCIONAL</t>
        </is>
      </c>
      <c r="F1509" t="inlineStr">
        <is>
          <t>SI</t>
        </is>
      </c>
      <c r="G1509" t="n">
        <v>2</v>
      </c>
      <c r="H1509" t="n">
        <v>5</v>
      </c>
      <c r="I1509" t="n">
        <v>5</v>
      </c>
      <c r="J1509" t="n">
        <v>5</v>
      </c>
      <c r="K1509" t="n">
        <v>25</v>
      </c>
      <c r="L1509" t="n">
        <v>25</v>
      </c>
      <c r="M1509" t="n">
        <v>25</v>
      </c>
      <c r="N1509" t="n">
        <v>25</v>
      </c>
      <c r="O1509" t="n">
        <v>25</v>
      </c>
      <c r="P1509" t="n">
        <v>5</v>
      </c>
      <c r="R1509" s="9" t="n">
        <v>0.05</v>
      </c>
      <c r="S1509" s="10" t="inlineStr">
        <is>
          <t>Absorbido en FF8</t>
        </is>
      </c>
      <c r="T1509" s="11" t="n"/>
      <c r="U1509" s="11" t="inlineStr">
        <is>
          <t>DEL BANCO (se hereda)</t>
        </is>
      </c>
      <c r="V1509" s="11" t="n"/>
      <c r="W1509" s="12" t="n"/>
      <c r="X1509" s="12" t="n"/>
    </row>
    <row r="1510" ht="15" customHeight="1">
      <c r="C1510" t="inlineStr">
        <is>
          <t>Manejo de efectivo en la cuenta</t>
        </is>
      </c>
      <c r="D1510" t="inlineStr">
        <is>
          <t>F25</t>
        </is>
      </c>
      <c r="E1510" t="inlineStr">
        <is>
          <t>TRANSACCIONAL</t>
        </is>
      </c>
      <c r="F1510" t="inlineStr">
        <is>
          <t>DE 0 A 5K PF</t>
        </is>
      </c>
      <c r="G1510" t="n">
        <v>1</v>
      </c>
      <c r="H1510" t="n">
        <v>1</v>
      </c>
      <c r="I1510" t="n">
        <v>1</v>
      </c>
      <c r="J1510" t="n">
        <v>6</v>
      </c>
      <c r="K1510" t="n">
        <v>6</v>
      </c>
      <c r="L1510" t="n">
        <v>6</v>
      </c>
      <c r="M1510" t="n">
        <v>6</v>
      </c>
      <c r="N1510" t="n">
        <v>6</v>
      </c>
      <c r="O1510" t="n">
        <v>30</v>
      </c>
      <c r="P1510" t="n">
        <v>6</v>
      </c>
      <c r="R1510" s="9" t="n">
        <v>0.06</v>
      </c>
      <c r="S1510" s="10" t="inlineStr">
        <is>
          <t>V2 — efectivo (en revisión)</t>
        </is>
      </c>
      <c r="T1510" s="11" t="n"/>
      <c r="U1510" s="11" t="inlineStr">
        <is>
          <t>DEL BANCO (se hereda)</t>
        </is>
      </c>
      <c r="V1510" s="11" t="n"/>
      <c r="W1510" s="12" t="n"/>
      <c r="X1510" s="12" t="n"/>
    </row>
    <row r="1511" ht="15" customHeight="1">
      <c r="C1511" t="inlineStr">
        <is>
          <t>Manejo de efectivo en la cuenta</t>
        </is>
      </c>
      <c r="D1511" t="inlineStr">
        <is>
          <t>F25</t>
        </is>
      </c>
      <c r="E1511" t="inlineStr">
        <is>
          <t>TRANSACCIONAL</t>
        </is>
      </c>
      <c r="F1511" t="inlineStr">
        <is>
          <t>DE 5 A 10K PF</t>
        </is>
      </c>
      <c r="G1511" t="n">
        <v>2</v>
      </c>
      <c r="H1511" t="n">
        <v>2</v>
      </c>
      <c r="I1511" t="n">
        <v>1</v>
      </c>
      <c r="J1511" t="n">
        <v>6</v>
      </c>
      <c r="K1511" t="n">
        <v>12</v>
      </c>
      <c r="L1511" t="n">
        <v>12</v>
      </c>
      <c r="M1511" t="n">
        <v>6</v>
      </c>
      <c r="N1511" t="n">
        <v>6</v>
      </c>
      <c r="O1511" t="n">
        <v>30</v>
      </c>
      <c r="P1511" t="n">
        <v>6</v>
      </c>
      <c r="R1511" s="9" t="n">
        <v>0.06</v>
      </c>
      <c r="S1511" s="10" t="inlineStr">
        <is>
          <t>V2 — efectivo (en revisión)</t>
        </is>
      </c>
      <c r="T1511" s="11" t="n"/>
      <c r="U1511" s="11" t="inlineStr">
        <is>
          <t>DEL BANCO (se hereda)</t>
        </is>
      </c>
      <c r="V1511" s="11" t="n"/>
      <c r="W1511" s="12" t="n"/>
      <c r="X1511" s="12" t="n"/>
    </row>
    <row r="1512" ht="15" customHeight="1">
      <c r="C1512" t="inlineStr">
        <is>
          <t>Manejo de efectivo en la cuenta</t>
        </is>
      </c>
      <c r="D1512" t="inlineStr">
        <is>
          <t>F25</t>
        </is>
      </c>
      <c r="E1512" t="inlineStr">
        <is>
          <t>TRANSACCIONAL</t>
        </is>
      </c>
      <c r="F1512" t="inlineStr">
        <is>
          <t>DE 10 A 20K PF</t>
        </is>
      </c>
      <c r="G1512" t="n">
        <v>3</v>
      </c>
      <c r="H1512" t="n">
        <v>3</v>
      </c>
      <c r="I1512" t="n">
        <v>1</v>
      </c>
      <c r="J1512" t="n">
        <v>6</v>
      </c>
      <c r="K1512" t="n">
        <v>18</v>
      </c>
      <c r="L1512" t="n">
        <v>18</v>
      </c>
      <c r="M1512" t="n">
        <v>6</v>
      </c>
      <c r="N1512" t="n">
        <v>6</v>
      </c>
      <c r="O1512" t="n">
        <v>30</v>
      </c>
      <c r="P1512" t="n">
        <v>6</v>
      </c>
      <c r="R1512" s="9" t="n">
        <v>0.06</v>
      </c>
      <c r="S1512" s="10" t="inlineStr">
        <is>
          <t>V2 — efectivo (en revisión)</t>
        </is>
      </c>
      <c r="T1512" s="11" t="n"/>
      <c r="U1512" s="11" t="inlineStr">
        <is>
          <t>DEL BANCO (se hereda)</t>
        </is>
      </c>
      <c r="V1512" s="11" t="n"/>
      <c r="W1512" s="12" t="n"/>
      <c r="X1512" s="12" t="n"/>
    </row>
    <row r="1513" ht="15" customHeight="1">
      <c r="C1513" t="inlineStr">
        <is>
          <t>Manejo de efectivo en la cuenta</t>
        </is>
      </c>
      <c r="D1513" t="inlineStr">
        <is>
          <t>F25</t>
        </is>
      </c>
      <c r="E1513" t="inlineStr">
        <is>
          <t>TRANSACCIONAL</t>
        </is>
      </c>
      <c r="F1513" t="inlineStr">
        <is>
          <t>DE 20 A 50K PF</t>
        </is>
      </c>
      <c r="G1513" t="n">
        <v>4</v>
      </c>
      <c r="H1513" t="n">
        <v>4</v>
      </c>
      <c r="I1513" t="n">
        <v>1</v>
      </c>
      <c r="J1513" t="n">
        <v>6</v>
      </c>
      <c r="K1513" t="n">
        <v>24</v>
      </c>
      <c r="L1513" t="n">
        <v>24</v>
      </c>
      <c r="M1513" t="n">
        <v>6</v>
      </c>
      <c r="N1513" t="n">
        <v>6</v>
      </c>
      <c r="O1513" t="n">
        <v>30</v>
      </c>
      <c r="P1513" t="n">
        <v>6</v>
      </c>
      <c r="R1513" s="9" t="n">
        <v>0.06</v>
      </c>
      <c r="S1513" s="10" t="inlineStr">
        <is>
          <t>V2 — efectivo (en revisión)</t>
        </is>
      </c>
      <c r="T1513" s="11" t="n"/>
      <c r="U1513" s="11" t="inlineStr">
        <is>
          <t>DEL BANCO (se hereda)</t>
        </is>
      </c>
      <c r="V1513" s="11" t="n"/>
      <c r="W1513" s="12" t="n"/>
      <c r="X1513" s="12" t="n"/>
    </row>
    <row r="1514" ht="15" customHeight="1">
      <c r="C1514" t="inlineStr">
        <is>
          <t>Manejo de efectivo en la cuenta</t>
        </is>
      </c>
      <c r="D1514" t="inlineStr">
        <is>
          <t>F25</t>
        </is>
      </c>
      <c r="E1514" t="inlineStr">
        <is>
          <t>TRANSACCIONAL</t>
        </is>
      </c>
      <c r="F1514" t="inlineStr">
        <is>
          <t>MAS DE 50K PF</t>
        </is>
      </c>
      <c r="G1514" t="n">
        <v>5</v>
      </c>
      <c r="H1514" t="n">
        <v>5</v>
      </c>
      <c r="I1514" t="n">
        <v>1</v>
      </c>
      <c r="J1514" t="n">
        <v>6</v>
      </c>
      <c r="K1514" t="n">
        <v>30</v>
      </c>
      <c r="L1514" t="n">
        <v>30</v>
      </c>
      <c r="M1514" t="n">
        <v>6</v>
      </c>
      <c r="N1514" t="n">
        <v>6</v>
      </c>
      <c r="O1514" t="n">
        <v>30</v>
      </c>
      <c r="P1514" t="n">
        <v>6</v>
      </c>
      <c r="R1514" s="9" t="n">
        <v>0.06</v>
      </c>
      <c r="S1514" s="10" t="inlineStr">
        <is>
          <t>V2 — efectivo (en revisión)</t>
        </is>
      </c>
      <c r="T1514" s="11" t="n"/>
      <c r="U1514" s="11" t="inlineStr">
        <is>
          <t>DEL BANCO (se hereda)</t>
        </is>
      </c>
      <c r="V1514" s="11" t="n"/>
      <c r="W1514" s="12" t="n"/>
      <c r="X1514" s="12" t="n"/>
    </row>
    <row r="1515" ht="15" customHeight="1">
      <c r="C1515" t="inlineStr">
        <is>
          <t>Manejo de efectivo en la cuenta</t>
        </is>
      </c>
      <c r="D1515" t="inlineStr">
        <is>
          <t>F25</t>
        </is>
      </c>
      <c r="E1515" t="inlineStr">
        <is>
          <t>TRANSACCIONAL</t>
        </is>
      </c>
      <c r="F1515" t="inlineStr">
        <is>
          <t>DE 0 A 100K PM</t>
        </is>
      </c>
      <c r="G1515" t="n">
        <v>6</v>
      </c>
      <c r="H1515" t="n">
        <v>1</v>
      </c>
      <c r="I1515" t="n">
        <v>1</v>
      </c>
      <c r="J1515" t="n">
        <v>6</v>
      </c>
      <c r="K1515" t="n">
        <v>6</v>
      </c>
      <c r="L1515" t="n">
        <v>6</v>
      </c>
      <c r="M1515" t="n">
        <v>6</v>
      </c>
      <c r="N1515" t="n">
        <v>6</v>
      </c>
      <c r="O1515" t="n">
        <v>30</v>
      </c>
      <c r="P1515" t="n">
        <v>6</v>
      </c>
      <c r="R1515" s="9" t="n">
        <v>0.06</v>
      </c>
      <c r="S1515" s="10" t="inlineStr">
        <is>
          <t>V2 — efectivo (en revisión)</t>
        </is>
      </c>
      <c r="T1515" s="11" t="n"/>
      <c r="U1515" s="11" t="inlineStr">
        <is>
          <t>DEL BANCO (se hereda)</t>
        </is>
      </c>
      <c r="V1515" s="11" t="n"/>
      <c r="W1515" s="12" t="n"/>
      <c r="X1515" s="12" t="n"/>
    </row>
    <row r="1516" ht="15" customHeight="1">
      <c r="C1516" t="inlineStr">
        <is>
          <t>Manejo de efectivo en la cuenta</t>
        </is>
      </c>
      <c r="D1516" t="inlineStr">
        <is>
          <t>F25</t>
        </is>
      </c>
      <c r="E1516" t="inlineStr">
        <is>
          <t>TRANSACCIONAL</t>
        </is>
      </c>
      <c r="F1516" t="inlineStr">
        <is>
          <t>DE 100 A 500K PM</t>
        </is>
      </c>
      <c r="G1516" t="n">
        <v>7</v>
      </c>
      <c r="H1516" t="n">
        <v>1</v>
      </c>
      <c r="I1516" t="n">
        <v>2</v>
      </c>
      <c r="J1516" t="n">
        <v>6</v>
      </c>
      <c r="K1516" t="n">
        <v>6</v>
      </c>
      <c r="L1516" t="n">
        <v>6</v>
      </c>
      <c r="M1516" t="n">
        <v>12</v>
      </c>
      <c r="N1516" t="n">
        <v>12</v>
      </c>
      <c r="O1516" t="n">
        <v>30</v>
      </c>
      <c r="P1516" t="n">
        <v>6</v>
      </c>
      <c r="R1516" s="9" t="n">
        <v>0.06</v>
      </c>
      <c r="S1516" s="10" t="inlineStr">
        <is>
          <t>V2 — efectivo (en revisión)</t>
        </is>
      </c>
      <c r="T1516" s="11" t="n"/>
      <c r="U1516" s="11" t="inlineStr">
        <is>
          <t>DEL BANCO (se hereda)</t>
        </is>
      </c>
      <c r="V1516" s="11" t="n"/>
      <c r="W1516" s="12" t="n"/>
      <c r="X1516" s="12" t="n"/>
    </row>
    <row r="1517" ht="15" customHeight="1">
      <c r="C1517" t="inlineStr">
        <is>
          <t>Manejo de efectivo en la cuenta</t>
        </is>
      </c>
      <c r="D1517" t="inlineStr">
        <is>
          <t>F25</t>
        </is>
      </c>
      <c r="E1517" t="inlineStr">
        <is>
          <t>TRANSACCIONAL</t>
        </is>
      </c>
      <c r="F1517" t="inlineStr">
        <is>
          <t>DE 500K A 1MM PM</t>
        </is>
      </c>
      <c r="G1517" t="n">
        <v>8</v>
      </c>
      <c r="H1517" t="n">
        <v>1</v>
      </c>
      <c r="I1517" t="n">
        <v>3</v>
      </c>
      <c r="J1517" t="n">
        <v>6</v>
      </c>
      <c r="K1517" t="n">
        <v>6</v>
      </c>
      <c r="L1517" t="n">
        <v>6</v>
      </c>
      <c r="M1517" t="n">
        <v>18</v>
      </c>
      <c r="N1517" t="n">
        <v>18</v>
      </c>
      <c r="O1517" t="n">
        <v>30</v>
      </c>
      <c r="P1517" t="n">
        <v>6</v>
      </c>
      <c r="R1517" s="9" t="n">
        <v>0.06</v>
      </c>
      <c r="S1517" s="10" t="inlineStr">
        <is>
          <t>V2 — efectivo (en revisión)</t>
        </is>
      </c>
      <c r="T1517" s="11" t="n"/>
      <c r="U1517" s="11" t="inlineStr">
        <is>
          <t>DEL BANCO (se hereda)</t>
        </is>
      </c>
      <c r="V1517" s="11" t="n"/>
      <c r="W1517" s="12" t="n"/>
      <c r="X1517" s="12" t="n"/>
    </row>
    <row r="1518" ht="15" customHeight="1">
      <c r="C1518" t="inlineStr">
        <is>
          <t>Manejo de efectivo en la cuenta</t>
        </is>
      </c>
      <c r="D1518" t="inlineStr">
        <is>
          <t>F25</t>
        </is>
      </c>
      <c r="E1518" t="inlineStr">
        <is>
          <t>TRANSACCIONAL</t>
        </is>
      </c>
      <c r="F1518" t="inlineStr">
        <is>
          <t>DE 1MM A 5MM PM</t>
        </is>
      </c>
      <c r="G1518" t="n">
        <v>9</v>
      </c>
      <c r="H1518" t="n">
        <v>1</v>
      </c>
      <c r="I1518" t="n">
        <v>4</v>
      </c>
      <c r="J1518" t="n">
        <v>6</v>
      </c>
      <c r="K1518" t="n">
        <v>6</v>
      </c>
      <c r="L1518" t="n">
        <v>6</v>
      </c>
      <c r="M1518" t="n">
        <v>24</v>
      </c>
      <c r="N1518" t="n">
        <v>24</v>
      </c>
      <c r="O1518" t="n">
        <v>30</v>
      </c>
      <c r="P1518" t="n">
        <v>6</v>
      </c>
      <c r="R1518" s="9" t="n">
        <v>0.06</v>
      </c>
      <c r="S1518" s="10" t="inlineStr">
        <is>
          <t>V2 — efectivo (en revisión)</t>
        </is>
      </c>
      <c r="T1518" s="11" t="n"/>
      <c r="U1518" s="11" t="inlineStr">
        <is>
          <t>DEL BANCO (se hereda)</t>
        </is>
      </c>
      <c r="V1518" s="11" t="n"/>
      <c r="W1518" s="12" t="n"/>
      <c r="X1518" s="12" t="n"/>
    </row>
    <row r="1519" ht="15" customHeight="1">
      <c r="C1519" t="inlineStr">
        <is>
          <t>Manejo de efectivo en la cuenta</t>
        </is>
      </c>
      <c r="D1519" t="inlineStr">
        <is>
          <t>F25</t>
        </is>
      </c>
      <c r="E1519" t="inlineStr">
        <is>
          <t>TRANSACCIONAL</t>
        </is>
      </c>
      <c r="F1519" t="inlineStr">
        <is>
          <t>MAS DE 5MM PM</t>
        </is>
      </c>
      <c r="G1519" t="n">
        <v>10</v>
      </c>
      <c r="H1519" t="n">
        <v>1</v>
      </c>
      <c r="I1519" t="n">
        <v>5</v>
      </c>
      <c r="J1519" t="n">
        <v>6</v>
      </c>
      <c r="K1519" t="n">
        <v>6</v>
      </c>
      <c r="L1519" t="n">
        <v>6</v>
      </c>
      <c r="M1519" t="n">
        <v>30</v>
      </c>
      <c r="N1519" t="n">
        <v>30</v>
      </c>
      <c r="O1519" t="n">
        <v>30</v>
      </c>
      <c r="P1519" t="n">
        <v>6</v>
      </c>
      <c r="R1519" s="9" t="n">
        <v>0.06</v>
      </c>
      <c r="S1519" s="10" t="inlineStr">
        <is>
          <t>V2 — efectivo (en revisión)</t>
        </is>
      </c>
      <c r="T1519" s="11" t="n"/>
      <c r="U1519" s="11" t="inlineStr">
        <is>
          <t>DEL BANCO (se hereda)</t>
        </is>
      </c>
      <c r="V1519" s="11" t="n"/>
      <c r="W1519" s="12" t="n"/>
      <c r="X1519" s="12" t="n"/>
    </row>
    <row r="1520" ht="15" customHeight="1">
      <c r="C1520" t="inlineStr">
        <is>
          <t>Envío o recepción de transferencias internacionales</t>
        </is>
      </c>
      <c r="D1520" t="inlineStr">
        <is>
          <t>F26</t>
        </is>
      </c>
      <c r="E1520" t="inlineStr">
        <is>
          <t>TRANSACCIONAL</t>
        </is>
      </c>
      <c r="F1520" t="inlineStr">
        <is>
          <t>NO</t>
        </is>
      </c>
      <c r="G1520" t="n">
        <v>1</v>
      </c>
      <c r="H1520" t="n">
        <v>1</v>
      </c>
      <c r="I1520" t="n">
        <v>1</v>
      </c>
      <c r="J1520" t="n">
        <v>6</v>
      </c>
      <c r="K1520" t="n">
        <v>6</v>
      </c>
      <c r="L1520" t="n">
        <v>6</v>
      </c>
      <c r="M1520" t="n">
        <v>6</v>
      </c>
      <c r="N1520" t="n">
        <v>6</v>
      </c>
      <c r="O1520" t="n">
        <v>30</v>
      </c>
      <c r="P1520" t="n">
        <v>6</v>
      </c>
      <c r="R1520" s="9" t="n">
        <v>0.06</v>
      </c>
      <c r="S1520" s="10" t="inlineStr">
        <is>
          <t>Absorbido en FF8 (catálogo país se reutiliza)</t>
        </is>
      </c>
      <c r="T1520" s="11" t="n"/>
      <c r="U1520" s="11" t="inlineStr">
        <is>
          <t>DEL BANCO (se hereda)</t>
        </is>
      </c>
      <c r="V1520" s="11" t="n"/>
      <c r="W1520" s="12" t="n"/>
      <c r="X1520" s="12" t="n"/>
    </row>
    <row r="1521" ht="15" customHeight="1">
      <c r="C1521" t="inlineStr">
        <is>
          <t>Envío o recepción de transferencias internacionales</t>
        </is>
      </c>
      <c r="D1521" t="inlineStr">
        <is>
          <t>F26</t>
        </is>
      </c>
      <c r="E1521" t="inlineStr">
        <is>
          <t>TRANSACCIONAL</t>
        </is>
      </c>
      <c r="F1521" t="inlineStr">
        <is>
          <t>ANDORRA</t>
        </is>
      </c>
      <c r="G1521" t="inlineStr">
        <is>
          <t>AD</t>
        </is>
      </c>
      <c r="H1521" t="n">
        <v>1</v>
      </c>
      <c r="I1521" t="n">
        <v>1</v>
      </c>
      <c r="J1521" t="n">
        <v>6</v>
      </c>
      <c r="K1521" t="n">
        <v>6</v>
      </c>
      <c r="L1521" t="n">
        <v>6</v>
      </c>
      <c r="M1521" t="n">
        <v>6</v>
      </c>
      <c r="N1521" t="n">
        <v>6</v>
      </c>
      <c r="O1521" t="n">
        <v>30</v>
      </c>
      <c r="P1521" t="n">
        <v>6</v>
      </c>
      <c r="R1521" s="9" t="n">
        <v>0.06</v>
      </c>
      <c r="S1521" s="10" t="inlineStr">
        <is>
          <t>Absorbido en FF8 (catálogo país se reutiliza)</t>
        </is>
      </c>
      <c r="T1521" s="11" t="n"/>
      <c r="U1521" s="11" t="inlineStr">
        <is>
          <t>DEL BANCO (se hereda)</t>
        </is>
      </c>
      <c r="V1521" s="11" t="n"/>
      <c r="W1521" s="12" t="n"/>
      <c r="X1521" s="12" t="n"/>
    </row>
    <row r="1522" ht="15" customHeight="1">
      <c r="C1522" t="inlineStr">
        <is>
          <t>Envío o recepción de transferencias internacionales</t>
        </is>
      </c>
      <c r="D1522" t="inlineStr">
        <is>
          <t>F26</t>
        </is>
      </c>
      <c r="E1522" t="inlineStr">
        <is>
          <t>TRANSACCIONAL</t>
        </is>
      </c>
      <c r="F1522" t="inlineStr">
        <is>
          <t>EMIRATOS ARABES UNID</t>
        </is>
      </c>
      <c r="G1522" t="inlineStr">
        <is>
          <t>AE</t>
        </is>
      </c>
      <c r="H1522" t="n">
        <v>3</v>
      </c>
      <c r="I1522" t="n">
        <v>3</v>
      </c>
      <c r="J1522" t="n">
        <v>6</v>
      </c>
      <c r="K1522" t="n">
        <v>18</v>
      </c>
      <c r="L1522" t="n">
        <v>18</v>
      </c>
      <c r="M1522" t="n">
        <v>18</v>
      </c>
      <c r="N1522" t="n">
        <v>18</v>
      </c>
      <c r="O1522" t="n">
        <v>30</v>
      </c>
      <c r="P1522" t="n">
        <v>6</v>
      </c>
      <c r="R1522" s="9" t="n">
        <v>0.06</v>
      </c>
      <c r="S1522" s="10" t="inlineStr">
        <is>
          <t>Absorbido en FF8 (catálogo país se reutiliza)</t>
        </is>
      </c>
      <c r="T1522" s="11" t="n"/>
      <c r="U1522" s="11" t="inlineStr">
        <is>
          <t>DEL BANCO (se hereda)</t>
        </is>
      </c>
      <c r="V1522" s="11" t="n"/>
      <c r="W1522" s="12" t="n"/>
      <c r="X1522" s="12" t="n"/>
    </row>
    <row r="1523" ht="15" customHeight="1">
      <c r="C1523" t="inlineStr">
        <is>
          <t>Envío o recepción de transferencias internacionales</t>
        </is>
      </c>
      <c r="D1523" t="inlineStr">
        <is>
          <t>F26</t>
        </is>
      </c>
      <c r="E1523" t="inlineStr">
        <is>
          <t>TRANSACCIONAL</t>
        </is>
      </c>
      <c r="F1523" t="inlineStr">
        <is>
          <t>AFGANISTAN (GFG)</t>
        </is>
      </c>
      <c r="G1523" t="inlineStr">
        <is>
          <t>AF</t>
        </is>
      </c>
      <c r="H1523" t="n">
        <v>4</v>
      </c>
      <c r="I1523" t="n">
        <v>4</v>
      </c>
      <c r="J1523" t="n">
        <v>6</v>
      </c>
      <c r="K1523" t="n">
        <v>24</v>
      </c>
      <c r="L1523" t="n">
        <v>24</v>
      </c>
      <c r="M1523" t="n">
        <v>24</v>
      </c>
      <c r="N1523" t="n">
        <v>24</v>
      </c>
      <c r="O1523" t="n">
        <v>30</v>
      </c>
      <c r="P1523" t="n">
        <v>6</v>
      </c>
      <c r="R1523" s="9" t="n">
        <v>0.06</v>
      </c>
      <c r="S1523" s="10" t="inlineStr">
        <is>
          <t>Absorbido en FF8 (catálogo país se reutiliza)</t>
        </is>
      </c>
      <c r="T1523" s="11" t="n"/>
      <c r="U1523" s="11" t="inlineStr">
        <is>
          <t>DEL BANCO (se hereda)</t>
        </is>
      </c>
      <c r="V1523" s="11" t="n"/>
      <c r="W1523" s="12" t="n"/>
      <c r="X1523" s="12" t="n"/>
    </row>
    <row r="1524" ht="15" customHeight="1">
      <c r="C1524" t="inlineStr">
        <is>
          <t>Envío o recepción de transferencias internacionales</t>
        </is>
      </c>
      <c r="D1524" t="inlineStr">
        <is>
          <t>F26</t>
        </is>
      </c>
      <c r="E1524" t="inlineStr">
        <is>
          <t>TRANSACCIONAL</t>
        </is>
      </c>
      <c r="F1524" t="inlineStr">
        <is>
          <t>ANTIGUA Y BARBUDA</t>
        </is>
      </c>
      <c r="G1524" t="inlineStr">
        <is>
          <t>AG</t>
        </is>
      </c>
      <c r="H1524" t="n">
        <v>3</v>
      </c>
      <c r="I1524" t="n">
        <v>3</v>
      </c>
      <c r="J1524" t="n">
        <v>6</v>
      </c>
      <c r="K1524" t="n">
        <v>18</v>
      </c>
      <c r="L1524" t="n">
        <v>18</v>
      </c>
      <c r="M1524" t="n">
        <v>18</v>
      </c>
      <c r="N1524" t="n">
        <v>18</v>
      </c>
      <c r="O1524" t="n">
        <v>30</v>
      </c>
      <c r="P1524" t="n">
        <v>6</v>
      </c>
      <c r="R1524" s="9" t="n">
        <v>0.06</v>
      </c>
      <c r="S1524" s="10" t="inlineStr">
        <is>
          <t>Absorbido en FF8 (catálogo país se reutiliza)</t>
        </is>
      </c>
      <c r="T1524" s="11" t="n"/>
      <c r="U1524" s="11" t="inlineStr">
        <is>
          <t>DEL BANCO (se hereda)</t>
        </is>
      </c>
      <c r="V1524" s="11" t="n"/>
      <c r="W1524" s="12" t="n"/>
      <c r="X1524" s="12" t="n"/>
    </row>
    <row r="1525" ht="15" customHeight="1">
      <c r="C1525" t="inlineStr">
        <is>
          <t>Envío o recepción de transferencias internacionales</t>
        </is>
      </c>
      <c r="D1525" t="inlineStr">
        <is>
          <t>F26</t>
        </is>
      </c>
      <c r="E1525" t="inlineStr">
        <is>
          <t>TRANSACCIONAL</t>
        </is>
      </c>
      <c r="F1525" t="inlineStr">
        <is>
          <t>ANGUILA</t>
        </is>
      </c>
      <c r="G1525" t="inlineStr">
        <is>
          <t>AI</t>
        </is>
      </c>
      <c r="H1525" t="n">
        <v>3</v>
      </c>
      <c r="I1525" t="n">
        <v>3</v>
      </c>
      <c r="J1525" t="n">
        <v>6</v>
      </c>
      <c r="K1525" t="n">
        <v>18</v>
      </c>
      <c r="L1525" t="n">
        <v>18</v>
      </c>
      <c r="M1525" t="n">
        <v>18</v>
      </c>
      <c r="N1525" t="n">
        <v>18</v>
      </c>
      <c r="O1525" t="n">
        <v>30</v>
      </c>
      <c r="P1525" t="n">
        <v>6</v>
      </c>
      <c r="R1525" s="9" t="n">
        <v>0.06</v>
      </c>
      <c r="S1525" s="10" t="inlineStr">
        <is>
          <t>Absorbido en FF8 (catálogo país se reutiliza)</t>
        </is>
      </c>
      <c r="T1525" s="11" t="n"/>
      <c r="U1525" s="11" t="inlineStr">
        <is>
          <t>DEL BANCO (se hereda)</t>
        </is>
      </c>
      <c r="V1525" s="11" t="n"/>
      <c r="W1525" s="12" t="n"/>
      <c r="X1525" s="12" t="n"/>
    </row>
    <row r="1526" ht="15" customHeight="1">
      <c r="C1526" t="inlineStr">
        <is>
          <t>Envío o recepción de transferencias internacionales</t>
        </is>
      </c>
      <c r="D1526" t="inlineStr">
        <is>
          <t>F26</t>
        </is>
      </c>
      <c r="E1526" t="inlineStr">
        <is>
          <t>TRANSACCIONAL</t>
        </is>
      </c>
      <c r="F1526" t="inlineStr">
        <is>
          <t>ALBANIA</t>
        </is>
      </c>
      <c r="G1526" t="inlineStr">
        <is>
          <t>AL</t>
        </is>
      </c>
      <c r="H1526" t="n">
        <v>2</v>
      </c>
      <c r="I1526" t="n">
        <v>2</v>
      </c>
      <c r="J1526" t="n">
        <v>6</v>
      </c>
      <c r="K1526" t="n">
        <v>12</v>
      </c>
      <c r="L1526" t="n">
        <v>12</v>
      </c>
      <c r="M1526" t="n">
        <v>12</v>
      </c>
      <c r="N1526" t="n">
        <v>12</v>
      </c>
      <c r="O1526" t="n">
        <v>30</v>
      </c>
      <c r="P1526" t="n">
        <v>6</v>
      </c>
      <c r="R1526" s="9" t="n">
        <v>0.06</v>
      </c>
      <c r="S1526" s="10" t="inlineStr">
        <is>
          <t>Absorbido en FF8 (catálogo país se reutiliza)</t>
        </is>
      </c>
      <c r="T1526" s="11" t="n"/>
      <c r="U1526" s="11" t="inlineStr">
        <is>
          <t>DEL BANCO (se hereda)</t>
        </is>
      </c>
      <c r="V1526" s="11" t="n"/>
      <c r="W1526" s="12" t="n"/>
      <c r="X1526" s="12" t="n"/>
    </row>
    <row r="1527" ht="15" customHeight="1">
      <c r="C1527" t="inlineStr">
        <is>
          <t>Envío o recepción de transferencias internacionales</t>
        </is>
      </c>
      <c r="D1527" t="inlineStr">
        <is>
          <t>F26</t>
        </is>
      </c>
      <c r="E1527" t="inlineStr">
        <is>
          <t>TRANSACCIONAL</t>
        </is>
      </c>
      <c r="F1527" t="inlineStr">
        <is>
          <t>ARMENIA</t>
        </is>
      </c>
      <c r="G1527" t="inlineStr">
        <is>
          <t>AM</t>
        </is>
      </c>
      <c r="H1527" t="n">
        <v>2</v>
      </c>
      <c r="I1527" t="n">
        <v>2</v>
      </c>
      <c r="J1527" t="n">
        <v>6</v>
      </c>
      <c r="K1527" t="n">
        <v>12</v>
      </c>
      <c r="L1527" t="n">
        <v>12</v>
      </c>
      <c r="M1527" t="n">
        <v>12</v>
      </c>
      <c r="N1527" t="n">
        <v>12</v>
      </c>
      <c r="O1527" t="n">
        <v>30</v>
      </c>
      <c r="P1527" t="n">
        <v>6</v>
      </c>
      <c r="R1527" s="9" t="n">
        <v>0.06</v>
      </c>
      <c r="S1527" s="10" t="inlineStr">
        <is>
          <t>Absorbido en FF8 (catálogo país se reutiliza)</t>
        </is>
      </c>
      <c r="T1527" s="11" t="n"/>
      <c r="U1527" s="11" t="inlineStr">
        <is>
          <t>DEL BANCO (se hereda)</t>
        </is>
      </c>
      <c r="V1527" s="11" t="n"/>
      <c r="W1527" s="12" t="n"/>
      <c r="X1527" s="12" t="n"/>
    </row>
    <row r="1528" ht="15" customHeight="1">
      <c r="C1528" t="inlineStr">
        <is>
          <t>Envío o recepción de transferencias internacionales</t>
        </is>
      </c>
      <c r="D1528" t="inlineStr">
        <is>
          <t>F26</t>
        </is>
      </c>
      <c r="E1528" t="inlineStr">
        <is>
          <t>TRANSACCIONAL</t>
        </is>
      </c>
      <c r="F1528" t="inlineStr">
        <is>
          <t>ANTILLAS NEERLANDESA</t>
        </is>
      </c>
      <c r="G1528" t="inlineStr">
        <is>
          <t>AN</t>
        </is>
      </c>
      <c r="H1528" t="n">
        <v>3</v>
      </c>
      <c r="I1528" t="n">
        <v>3</v>
      </c>
      <c r="J1528" t="n">
        <v>6</v>
      </c>
      <c r="K1528" t="n">
        <v>18</v>
      </c>
      <c r="L1528" t="n">
        <v>18</v>
      </c>
      <c r="M1528" t="n">
        <v>18</v>
      </c>
      <c r="N1528" t="n">
        <v>18</v>
      </c>
      <c r="O1528" t="n">
        <v>30</v>
      </c>
      <c r="P1528" t="n">
        <v>6</v>
      </c>
      <c r="R1528" s="9" t="n">
        <v>0.06</v>
      </c>
      <c r="S1528" s="10" t="inlineStr">
        <is>
          <t>Absorbido en FF8 (catálogo país se reutiliza)</t>
        </is>
      </c>
      <c r="T1528" s="11" t="n"/>
      <c r="U1528" s="11" t="inlineStr">
        <is>
          <t>DEL BANCO (se hereda)</t>
        </is>
      </c>
      <c r="V1528" s="11" t="n"/>
      <c r="W1528" s="12" t="n"/>
      <c r="X1528" s="12" t="n"/>
    </row>
    <row r="1529" ht="15" customHeight="1">
      <c r="C1529" t="inlineStr">
        <is>
          <t>Envío o recepción de transferencias internacionales</t>
        </is>
      </c>
      <c r="D1529" t="inlineStr">
        <is>
          <t>F26</t>
        </is>
      </c>
      <c r="E1529" t="inlineStr">
        <is>
          <t>TRANSACCIONAL</t>
        </is>
      </c>
      <c r="F1529" t="inlineStr">
        <is>
          <t>ANGOLA</t>
        </is>
      </c>
      <c r="G1529" t="inlineStr">
        <is>
          <t>AO</t>
        </is>
      </c>
      <c r="H1529" t="n">
        <v>4</v>
      </c>
      <c r="I1529" t="n">
        <v>4</v>
      </c>
      <c r="J1529" t="n">
        <v>6</v>
      </c>
      <c r="K1529" t="n">
        <v>24</v>
      </c>
      <c r="L1529" t="n">
        <v>24</v>
      </c>
      <c r="M1529" t="n">
        <v>24</v>
      </c>
      <c r="N1529" t="n">
        <v>24</v>
      </c>
      <c r="O1529" t="n">
        <v>30</v>
      </c>
      <c r="P1529" t="n">
        <v>6</v>
      </c>
      <c r="Q1529" t="inlineStr">
        <is>
          <t>DETERMINANTE</t>
        </is>
      </c>
      <c r="R1529" s="9" t="n">
        <v>0.06</v>
      </c>
      <c r="S1529" s="10" t="inlineStr">
        <is>
          <t>Absorbido en FF8 (catálogo país se reutiliza)</t>
        </is>
      </c>
      <c r="T1529" s="11" t="n"/>
      <c r="U1529" s="11" t="inlineStr">
        <is>
          <t>DEL BANCO (se hereda)</t>
        </is>
      </c>
      <c r="V1529" s="11" t="n"/>
      <c r="W1529" s="12" t="n"/>
      <c r="X1529" s="12" t="n"/>
    </row>
    <row r="1530" ht="15" customHeight="1">
      <c r="C1530" t="inlineStr">
        <is>
          <t>Envío o recepción de transferencias internacionales</t>
        </is>
      </c>
      <c r="D1530" t="inlineStr">
        <is>
          <t>F26</t>
        </is>
      </c>
      <c r="E1530" t="inlineStr">
        <is>
          <t>TRANSACCIONAL</t>
        </is>
      </c>
      <c r="F1530" t="inlineStr">
        <is>
          <t>ANTARTICA</t>
        </is>
      </c>
      <c r="G1530" t="inlineStr">
        <is>
          <t>AQ</t>
        </is>
      </c>
      <c r="H1530" t="n">
        <v>1</v>
      </c>
      <c r="I1530" t="n">
        <v>1</v>
      </c>
      <c r="J1530" t="n">
        <v>6</v>
      </c>
      <c r="K1530" t="n">
        <v>6</v>
      </c>
      <c r="L1530" t="n">
        <v>6</v>
      </c>
      <c r="M1530" t="n">
        <v>6</v>
      </c>
      <c r="N1530" t="n">
        <v>6</v>
      </c>
      <c r="O1530" t="n">
        <v>30</v>
      </c>
      <c r="P1530" t="n">
        <v>6</v>
      </c>
      <c r="R1530" s="9" t="n">
        <v>0.06</v>
      </c>
      <c r="S1530" s="10" t="inlineStr">
        <is>
          <t>Absorbido en FF8 (catálogo país se reutiliza)</t>
        </is>
      </c>
      <c r="T1530" s="11" t="n"/>
      <c r="U1530" s="11" t="inlineStr">
        <is>
          <t>DEL BANCO (se hereda)</t>
        </is>
      </c>
      <c r="V1530" s="11" t="n"/>
      <c r="W1530" s="12" t="n"/>
      <c r="X1530" s="12" t="n"/>
    </row>
    <row r="1531" ht="15" customHeight="1">
      <c r="C1531" t="inlineStr">
        <is>
          <t>Envío o recepción de transferencias internacionales</t>
        </is>
      </c>
      <c r="D1531" t="inlineStr">
        <is>
          <t>F26</t>
        </is>
      </c>
      <c r="E1531" t="inlineStr">
        <is>
          <t>TRANSACCIONAL</t>
        </is>
      </c>
      <c r="F1531" t="inlineStr">
        <is>
          <t>ARGENTINA</t>
        </is>
      </c>
      <c r="G1531" t="inlineStr">
        <is>
          <t>AR</t>
        </is>
      </c>
      <c r="H1531" t="n">
        <v>2</v>
      </c>
      <c r="I1531" t="n">
        <v>2</v>
      </c>
      <c r="J1531" t="n">
        <v>6</v>
      </c>
      <c r="K1531" t="n">
        <v>12</v>
      </c>
      <c r="L1531" t="n">
        <v>12</v>
      </c>
      <c r="M1531" t="n">
        <v>12</v>
      </c>
      <c r="N1531" t="n">
        <v>12</v>
      </c>
      <c r="O1531" t="n">
        <v>30</v>
      </c>
      <c r="P1531" t="n">
        <v>6</v>
      </c>
      <c r="R1531" s="9" t="n">
        <v>0.06</v>
      </c>
      <c r="S1531" s="10" t="inlineStr">
        <is>
          <t>Absorbido en FF8 (catálogo país se reutiliza)</t>
        </is>
      </c>
      <c r="T1531" s="11" t="n"/>
      <c r="U1531" s="11" t="inlineStr">
        <is>
          <t>DEL BANCO (se hereda)</t>
        </is>
      </c>
      <c r="V1531" s="11" t="n"/>
      <c r="W1531" s="12" t="n"/>
      <c r="X1531" s="12" t="n"/>
    </row>
    <row r="1532" ht="15" customHeight="1">
      <c r="C1532" t="inlineStr">
        <is>
          <t>Envío o recepción de transferencias internacionales</t>
        </is>
      </c>
      <c r="D1532" t="inlineStr">
        <is>
          <t>F26</t>
        </is>
      </c>
      <c r="E1532" t="inlineStr">
        <is>
          <t>TRANSACCIONAL</t>
        </is>
      </c>
      <c r="F1532" t="inlineStr">
        <is>
          <t>SAMOA</t>
        </is>
      </c>
      <c r="G1532" t="inlineStr">
        <is>
          <t>AS</t>
        </is>
      </c>
      <c r="H1532" t="n">
        <v>1</v>
      </c>
      <c r="I1532" t="n">
        <v>1</v>
      </c>
      <c r="J1532" t="n">
        <v>6</v>
      </c>
      <c r="K1532" t="n">
        <v>6</v>
      </c>
      <c r="L1532" t="n">
        <v>6</v>
      </c>
      <c r="M1532" t="n">
        <v>6</v>
      </c>
      <c r="N1532" t="n">
        <v>6</v>
      </c>
      <c r="O1532" t="n">
        <v>30</v>
      </c>
      <c r="P1532" t="n">
        <v>6</v>
      </c>
      <c r="R1532" s="9" t="n">
        <v>0.06</v>
      </c>
      <c r="S1532" s="10" t="inlineStr">
        <is>
          <t>Absorbido en FF8 (catálogo país se reutiliza)</t>
        </is>
      </c>
      <c r="T1532" s="11" t="n"/>
      <c r="U1532" s="11" t="inlineStr">
        <is>
          <t>DEL BANCO (se hereda)</t>
        </is>
      </c>
      <c r="V1532" s="11" t="n"/>
      <c r="W1532" s="12" t="n"/>
      <c r="X1532" s="12" t="n"/>
    </row>
    <row r="1533" ht="15" customHeight="1">
      <c r="C1533" t="inlineStr">
        <is>
          <t>Envío o recepción de transferencias internacionales</t>
        </is>
      </c>
      <c r="D1533" t="inlineStr">
        <is>
          <t>F26</t>
        </is>
      </c>
      <c r="E1533" t="inlineStr">
        <is>
          <t>TRANSACCIONAL</t>
        </is>
      </c>
      <c r="F1533" t="inlineStr">
        <is>
          <t>AUSTRIA</t>
        </is>
      </c>
      <c r="G1533" t="inlineStr">
        <is>
          <t>AT</t>
        </is>
      </c>
      <c r="H1533" t="n">
        <v>1</v>
      </c>
      <c r="I1533" t="n">
        <v>1</v>
      </c>
      <c r="J1533" t="n">
        <v>6</v>
      </c>
      <c r="K1533" t="n">
        <v>6</v>
      </c>
      <c r="L1533" t="n">
        <v>6</v>
      </c>
      <c r="M1533" t="n">
        <v>6</v>
      </c>
      <c r="N1533" t="n">
        <v>6</v>
      </c>
      <c r="O1533" t="n">
        <v>30</v>
      </c>
      <c r="P1533" t="n">
        <v>6</v>
      </c>
      <c r="R1533" s="9" t="n">
        <v>0.06</v>
      </c>
      <c r="S1533" s="10" t="inlineStr">
        <is>
          <t>Absorbido en FF8 (catálogo país se reutiliza)</t>
        </is>
      </c>
      <c r="T1533" s="11" t="n"/>
      <c r="U1533" s="11" t="inlineStr">
        <is>
          <t>DEL BANCO (se hereda)</t>
        </is>
      </c>
      <c r="V1533" s="11" t="n"/>
      <c r="W1533" s="12" t="n"/>
      <c r="X1533" s="12" t="n"/>
    </row>
    <row r="1534" ht="15" customHeight="1">
      <c r="C1534" t="inlineStr">
        <is>
          <t>Envío o recepción de transferencias internacionales</t>
        </is>
      </c>
      <c r="D1534" t="inlineStr">
        <is>
          <t>F26</t>
        </is>
      </c>
      <c r="E1534" t="inlineStr">
        <is>
          <t>TRANSACCIONAL</t>
        </is>
      </c>
      <c r="F1534" t="inlineStr">
        <is>
          <t>AUSTRALIA</t>
        </is>
      </c>
      <c r="G1534" t="inlineStr">
        <is>
          <t>AU</t>
        </is>
      </c>
      <c r="H1534" t="n">
        <v>1</v>
      </c>
      <c r="I1534" t="n">
        <v>1</v>
      </c>
      <c r="J1534" t="n">
        <v>6</v>
      </c>
      <c r="K1534" t="n">
        <v>6</v>
      </c>
      <c r="L1534" t="n">
        <v>6</v>
      </c>
      <c r="M1534" t="n">
        <v>6</v>
      </c>
      <c r="N1534" t="n">
        <v>6</v>
      </c>
      <c r="O1534" t="n">
        <v>30</v>
      </c>
      <c r="P1534" t="n">
        <v>6</v>
      </c>
      <c r="R1534" s="9" t="n">
        <v>0.06</v>
      </c>
      <c r="S1534" s="10" t="inlineStr">
        <is>
          <t>Absorbido en FF8 (catálogo país se reutiliza)</t>
        </is>
      </c>
      <c r="T1534" s="11" t="n"/>
      <c r="U1534" s="11" t="inlineStr">
        <is>
          <t>DEL BANCO (se hereda)</t>
        </is>
      </c>
      <c r="V1534" s="11" t="n"/>
      <c r="W1534" s="12" t="n"/>
      <c r="X1534" s="12" t="n"/>
    </row>
    <row r="1535" ht="15" customHeight="1">
      <c r="C1535" t="inlineStr">
        <is>
          <t>Envío o recepción de transferencias internacionales</t>
        </is>
      </c>
      <c r="D1535" t="inlineStr">
        <is>
          <t>F26</t>
        </is>
      </c>
      <c r="E1535" t="inlineStr">
        <is>
          <t>TRANSACCIONAL</t>
        </is>
      </c>
      <c r="F1535" t="inlineStr">
        <is>
          <t>ARUBA</t>
        </is>
      </c>
      <c r="G1535" t="inlineStr">
        <is>
          <t>AW</t>
        </is>
      </c>
      <c r="H1535" t="n">
        <v>3</v>
      </c>
      <c r="I1535" t="n">
        <v>3</v>
      </c>
      <c r="J1535" t="n">
        <v>6</v>
      </c>
      <c r="K1535" t="n">
        <v>18</v>
      </c>
      <c r="L1535" t="n">
        <v>18</v>
      </c>
      <c r="M1535" t="n">
        <v>18</v>
      </c>
      <c r="N1535" t="n">
        <v>18</v>
      </c>
      <c r="O1535" t="n">
        <v>30</v>
      </c>
      <c r="P1535" t="n">
        <v>6</v>
      </c>
      <c r="R1535" s="9" t="n">
        <v>0.06</v>
      </c>
      <c r="S1535" s="10" t="inlineStr">
        <is>
          <t>Absorbido en FF8 (catálogo país se reutiliza)</t>
        </is>
      </c>
      <c r="T1535" s="11" t="n"/>
      <c r="U1535" s="11" t="inlineStr">
        <is>
          <t>DEL BANCO (se hereda)</t>
        </is>
      </c>
      <c r="V1535" s="11" t="n"/>
      <c r="W1535" s="12" t="n"/>
      <c r="X1535" s="12" t="n"/>
    </row>
    <row r="1536" ht="15" customHeight="1">
      <c r="C1536" t="inlineStr">
        <is>
          <t>Envío o recepción de transferencias internacionales</t>
        </is>
      </c>
      <c r="D1536" t="inlineStr">
        <is>
          <t>F26</t>
        </is>
      </c>
      <c r="E1536" t="inlineStr">
        <is>
          <t>TRANSACCIONAL</t>
        </is>
      </c>
      <c r="F1536" t="inlineStr">
        <is>
          <t>ALAND</t>
        </is>
      </c>
      <c r="G1536" t="inlineStr">
        <is>
          <t>AX</t>
        </is>
      </c>
      <c r="H1536" t="n">
        <v>1</v>
      </c>
      <c r="I1536" t="n">
        <v>1</v>
      </c>
      <c r="J1536" t="n">
        <v>6</v>
      </c>
      <c r="K1536" t="n">
        <v>6</v>
      </c>
      <c r="L1536" t="n">
        <v>6</v>
      </c>
      <c r="M1536" t="n">
        <v>6</v>
      </c>
      <c r="N1536" t="n">
        <v>6</v>
      </c>
      <c r="O1536" t="n">
        <v>30</v>
      </c>
      <c r="P1536" t="n">
        <v>6</v>
      </c>
      <c r="R1536" s="9" t="n">
        <v>0.06</v>
      </c>
      <c r="S1536" s="10" t="inlineStr">
        <is>
          <t>Absorbido en FF8 (catálogo país se reutiliza)</t>
        </is>
      </c>
      <c r="T1536" s="11" t="n"/>
      <c r="U1536" s="11" t="inlineStr">
        <is>
          <t>DEL BANCO (se hereda)</t>
        </is>
      </c>
      <c r="V1536" s="11" t="n"/>
      <c r="W1536" s="12" t="n"/>
      <c r="X1536" s="12" t="n"/>
    </row>
    <row r="1537" ht="15" customHeight="1">
      <c r="C1537" t="inlineStr">
        <is>
          <t>Envío o recepción de transferencias internacionales</t>
        </is>
      </c>
      <c r="D1537" t="inlineStr">
        <is>
          <t>F26</t>
        </is>
      </c>
      <c r="E1537" t="inlineStr">
        <is>
          <t>TRANSACCIONAL</t>
        </is>
      </c>
      <c r="F1537" t="inlineStr">
        <is>
          <t>AZERBAIJAN</t>
        </is>
      </c>
      <c r="G1537" t="inlineStr">
        <is>
          <t>AZ</t>
        </is>
      </c>
      <c r="H1537" t="n">
        <v>3</v>
      </c>
      <c r="I1537" t="n">
        <v>3</v>
      </c>
      <c r="J1537" t="n">
        <v>6</v>
      </c>
      <c r="K1537" t="n">
        <v>18</v>
      </c>
      <c r="L1537" t="n">
        <v>18</v>
      </c>
      <c r="M1537" t="n">
        <v>18</v>
      </c>
      <c r="N1537" t="n">
        <v>18</v>
      </c>
      <c r="O1537" t="n">
        <v>30</v>
      </c>
      <c r="P1537" t="n">
        <v>6</v>
      </c>
      <c r="R1537" s="9" t="n">
        <v>0.06</v>
      </c>
      <c r="S1537" s="10" t="inlineStr">
        <is>
          <t>Absorbido en FF8 (catálogo país se reutiliza)</t>
        </is>
      </c>
      <c r="T1537" s="11" t="n"/>
      <c r="U1537" s="11" t="inlineStr">
        <is>
          <t>DEL BANCO (se hereda)</t>
        </is>
      </c>
      <c r="V1537" s="11" t="n"/>
      <c r="W1537" s="12" t="n"/>
      <c r="X1537" s="12" t="n"/>
    </row>
    <row r="1538" ht="15" customHeight="1">
      <c r="C1538" t="inlineStr">
        <is>
          <t>Envío o recepción de transferencias internacionales</t>
        </is>
      </c>
      <c r="D1538" t="inlineStr">
        <is>
          <t>F26</t>
        </is>
      </c>
      <c r="E1538" t="inlineStr">
        <is>
          <t>TRANSACCIONAL</t>
        </is>
      </c>
      <c r="F1538" t="inlineStr">
        <is>
          <t>BOSNIE-HERZ</t>
        </is>
      </c>
      <c r="G1538" t="inlineStr">
        <is>
          <t>BA</t>
        </is>
      </c>
      <c r="H1538" t="n">
        <v>2</v>
      </c>
      <c r="I1538" t="n">
        <v>2</v>
      </c>
      <c r="J1538" t="n">
        <v>6</v>
      </c>
      <c r="K1538" t="n">
        <v>12</v>
      </c>
      <c r="L1538" t="n">
        <v>12</v>
      </c>
      <c r="M1538" t="n">
        <v>12</v>
      </c>
      <c r="N1538" t="n">
        <v>12</v>
      </c>
      <c r="O1538" t="n">
        <v>30</v>
      </c>
      <c r="P1538" t="n">
        <v>6</v>
      </c>
      <c r="R1538" s="9" t="n">
        <v>0.06</v>
      </c>
      <c r="S1538" s="10" t="inlineStr">
        <is>
          <t>Absorbido en FF8 (catálogo país se reutiliza)</t>
        </is>
      </c>
      <c r="T1538" s="11" t="n"/>
      <c r="U1538" s="11" t="inlineStr">
        <is>
          <t>DEL BANCO (se hereda)</t>
        </is>
      </c>
      <c r="V1538" s="11" t="n"/>
      <c r="W1538" s="12" t="n"/>
      <c r="X1538" s="12" t="n"/>
    </row>
    <row r="1539" ht="15" customHeight="1">
      <c r="C1539" t="inlineStr">
        <is>
          <t>Envío o recepción de transferencias internacionales</t>
        </is>
      </c>
      <c r="D1539" t="inlineStr">
        <is>
          <t>F26</t>
        </is>
      </c>
      <c r="E1539" t="inlineStr">
        <is>
          <t>TRANSACCIONAL</t>
        </is>
      </c>
      <c r="F1539" t="inlineStr">
        <is>
          <t>BARBADOS</t>
        </is>
      </c>
      <c r="G1539" t="inlineStr">
        <is>
          <t>BB</t>
        </is>
      </c>
      <c r="H1539" t="n">
        <v>3</v>
      </c>
      <c r="I1539" t="n">
        <v>3</v>
      </c>
      <c r="J1539" t="n">
        <v>6</v>
      </c>
      <c r="K1539" t="n">
        <v>18</v>
      </c>
      <c r="L1539" t="n">
        <v>18</v>
      </c>
      <c r="M1539" t="n">
        <v>18</v>
      </c>
      <c r="N1539" t="n">
        <v>18</v>
      </c>
      <c r="O1539" t="n">
        <v>30</v>
      </c>
      <c r="P1539" t="n">
        <v>6</v>
      </c>
      <c r="R1539" s="9" t="n">
        <v>0.06</v>
      </c>
      <c r="S1539" s="10" t="inlineStr">
        <is>
          <t>Absorbido en FF8 (catálogo país se reutiliza)</t>
        </is>
      </c>
      <c r="T1539" s="11" t="n"/>
      <c r="U1539" s="11" t="inlineStr">
        <is>
          <t>DEL BANCO (se hereda)</t>
        </is>
      </c>
      <c r="V1539" s="11" t="n"/>
      <c r="W1539" s="12" t="n"/>
      <c r="X1539" s="12" t="n"/>
    </row>
    <row r="1540" ht="15" customHeight="1">
      <c r="C1540" t="inlineStr">
        <is>
          <t>Envío o recepción de transferencias internacionales</t>
        </is>
      </c>
      <c r="D1540" t="inlineStr">
        <is>
          <t>F26</t>
        </is>
      </c>
      <c r="E1540" t="inlineStr">
        <is>
          <t>TRANSACCIONAL</t>
        </is>
      </c>
      <c r="F1540" t="inlineStr">
        <is>
          <t>BANGLADESH</t>
        </is>
      </c>
      <c r="G1540" t="inlineStr">
        <is>
          <t>BD</t>
        </is>
      </c>
      <c r="H1540" t="n">
        <v>3</v>
      </c>
      <c r="I1540" t="n">
        <v>3</v>
      </c>
      <c r="J1540" t="n">
        <v>6</v>
      </c>
      <c r="K1540" t="n">
        <v>18</v>
      </c>
      <c r="L1540" t="n">
        <v>18</v>
      </c>
      <c r="M1540" t="n">
        <v>18</v>
      </c>
      <c r="N1540" t="n">
        <v>18</v>
      </c>
      <c r="O1540" t="n">
        <v>30</v>
      </c>
      <c r="P1540" t="n">
        <v>6</v>
      </c>
      <c r="R1540" s="9" t="n">
        <v>0.06</v>
      </c>
      <c r="S1540" s="10" t="inlineStr">
        <is>
          <t>Absorbido en FF8 (catálogo país se reutiliza)</t>
        </is>
      </c>
      <c r="T1540" s="11" t="n"/>
      <c r="U1540" s="11" t="inlineStr">
        <is>
          <t>DEL BANCO (se hereda)</t>
        </is>
      </c>
      <c r="V1540" s="11" t="n"/>
      <c r="W1540" s="12" t="n"/>
      <c r="X1540" s="12" t="n"/>
    </row>
    <row r="1541" ht="15" customHeight="1">
      <c r="C1541" t="inlineStr">
        <is>
          <t>Envío o recepción de transferencias internacionales</t>
        </is>
      </c>
      <c r="D1541" t="inlineStr">
        <is>
          <t>F26</t>
        </is>
      </c>
      <c r="E1541" t="inlineStr">
        <is>
          <t>TRANSACCIONAL</t>
        </is>
      </c>
      <c r="F1541" t="inlineStr">
        <is>
          <t>BELGICA</t>
        </is>
      </c>
      <c r="G1541" t="inlineStr">
        <is>
          <t>BE</t>
        </is>
      </c>
      <c r="H1541" t="n">
        <v>1</v>
      </c>
      <c r="I1541" t="n">
        <v>1</v>
      </c>
      <c r="J1541" t="n">
        <v>6</v>
      </c>
      <c r="K1541" t="n">
        <v>6</v>
      </c>
      <c r="L1541" t="n">
        <v>6</v>
      </c>
      <c r="M1541" t="n">
        <v>6</v>
      </c>
      <c r="N1541" t="n">
        <v>6</v>
      </c>
      <c r="O1541" t="n">
        <v>30</v>
      </c>
      <c r="P1541" t="n">
        <v>6</v>
      </c>
      <c r="R1541" s="9" t="n">
        <v>0.06</v>
      </c>
      <c r="S1541" s="10" t="inlineStr">
        <is>
          <t>Absorbido en FF8 (catálogo país se reutiliza)</t>
        </is>
      </c>
      <c r="T1541" s="11" t="n"/>
      <c r="U1541" s="11" t="inlineStr">
        <is>
          <t>DEL BANCO (se hereda)</t>
        </is>
      </c>
      <c r="V1541" s="11" t="n"/>
      <c r="W1541" s="12" t="n"/>
      <c r="X1541" s="12" t="n"/>
    </row>
    <row r="1542" ht="15" customHeight="1">
      <c r="C1542" t="inlineStr">
        <is>
          <t>Envío o recepción de transferencias internacionales</t>
        </is>
      </c>
      <c r="D1542" t="inlineStr">
        <is>
          <t>F26</t>
        </is>
      </c>
      <c r="E1542" t="inlineStr">
        <is>
          <t>TRANSACCIONAL</t>
        </is>
      </c>
      <c r="F1542" t="inlineStr">
        <is>
          <t>BURKINA FASO</t>
        </is>
      </c>
      <c r="G1542" t="inlineStr">
        <is>
          <t>BF</t>
        </is>
      </c>
      <c r="H1542" t="n">
        <v>3</v>
      </c>
      <c r="I1542" t="n">
        <v>3</v>
      </c>
      <c r="J1542" t="n">
        <v>6</v>
      </c>
      <c r="K1542" t="n">
        <v>18</v>
      </c>
      <c r="L1542" t="n">
        <v>18</v>
      </c>
      <c r="M1542" t="n">
        <v>18</v>
      </c>
      <c r="N1542" t="n">
        <v>18</v>
      </c>
      <c r="O1542" t="n">
        <v>30</v>
      </c>
      <c r="P1542" t="n">
        <v>6</v>
      </c>
      <c r="R1542" s="9" t="n">
        <v>0.06</v>
      </c>
      <c r="S1542" s="10" t="inlineStr">
        <is>
          <t>Absorbido en FF8 (catálogo país se reutiliza)</t>
        </is>
      </c>
      <c r="T1542" s="11" t="n"/>
      <c r="U1542" s="11" t="inlineStr">
        <is>
          <t>DEL BANCO (se hereda)</t>
        </is>
      </c>
      <c r="V1542" s="11" t="n"/>
      <c r="W1542" s="12" t="n"/>
      <c r="X1542" s="12" t="n"/>
    </row>
    <row r="1543" ht="15" customHeight="1">
      <c r="C1543" t="inlineStr">
        <is>
          <t>Envío o recepción de transferencias internacionales</t>
        </is>
      </c>
      <c r="D1543" t="inlineStr">
        <is>
          <t>F26</t>
        </is>
      </c>
      <c r="E1543" t="inlineStr">
        <is>
          <t>TRANSACCIONAL</t>
        </is>
      </c>
      <c r="F1543" t="inlineStr">
        <is>
          <t>BULGARIA</t>
        </is>
      </c>
      <c r="G1543" t="inlineStr">
        <is>
          <t>BG</t>
        </is>
      </c>
      <c r="H1543" t="n">
        <v>4</v>
      </c>
      <c r="I1543" t="n">
        <v>4</v>
      </c>
      <c r="J1543" t="n">
        <v>6</v>
      </c>
      <c r="K1543" t="n">
        <v>24</v>
      </c>
      <c r="L1543" t="n">
        <v>24</v>
      </c>
      <c r="M1543" t="n">
        <v>24</v>
      </c>
      <c r="N1543" t="n">
        <v>24</v>
      </c>
      <c r="O1543" t="n">
        <v>30</v>
      </c>
      <c r="P1543" t="n">
        <v>6</v>
      </c>
      <c r="Q1543" t="inlineStr">
        <is>
          <t>DETERMINANTE</t>
        </is>
      </c>
      <c r="R1543" s="9" t="n">
        <v>0.06</v>
      </c>
      <c r="S1543" s="10" t="inlineStr">
        <is>
          <t>Absorbido en FF8 (catálogo país se reutiliza)</t>
        </is>
      </c>
      <c r="T1543" s="11" t="n"/>
      <c r="U1543" s="11" t="inlineStr">
        <is>
          <t>DEL BANCO (se hereda)</t>
        </is>
      </c>
      <c r="V1543" s="11" t="n"/>
      <c r="W1543" s="12" t="n"/>
      <c r="X1543" s="12" t="n"/>
    </row>
    <row r="1544" ht="15" customHeight="1">
      <c r="C1544" t="inlineStr">
        <is>
          <t>Envío o recepción de transferencias internacionales</t>
        </is>
      </c>
      <c r="D1544" t="inlineStr">
        <is>
          <t>F26</t>
        </is>
      </c>
      <c r="E1544" t="inlineStr">
        <is>
          <t>TRANSACCIONAL</t>
        </is>
      </c>
      <c r="F1544" t="inlineStr">
        <is>
          <t>BAHREIN</t>
        </is>
      </c>
      <c r="G1544" t="inlineStr">
        <is>
          <t>BH</t>
        </is>
      </c>
      <c r="H1544" t="n">
        <v>3</v>
      </c>
      <c r="I1544" t="n">
        <v>3</v>
      </c>
      <c r="J1544" t="n">
        <v>6</v>
      </c>
      <c r="K1544" t="n">
        <v>18</v>
      </c>
      <c r="L1544" t="n">
        <v>18</v>
      </c>
      <c r="M1544" t="n">
        <v>18</v>
      </c>
      <c r="N1544" t="n">
        <v>18</v>
      </c>
      <c r="O1544" t="n">
        <v>30</v>
      </c>
      <c r="P1544" t="n">
        <v>6</v>
      </c>
      <c r="R1544" s="9" t="n">
        <v>0.06</v>
      </c>
      <c r="S1544" s="10" t="inlineStr">
        <is>
          <t>Absorbido en FF8 (catálogo país se reutiliza)</t>
        </is>
      </c>
      <c r="T1544" s="11" t="n"/>
      <c r="U1544" s="11" t="inlineStr">
        <is>
          <t>DEL BANCO (se hereda)</t>
        </is>
      </c>
      <c r="V1544" s="11" t="n"/>
      <c r="W1544" s="12" t="n"/>
      <c r="X1544" s="12" t="n"/>
    </row>
    <row r="1545" ht="15" customHeight="1">
      <c r="C1545" t="inlineStr">
        <is>
          <t>Envío o recepción de transferencias internacionales</t>
        </is>
      </c>
      <c r="D1545" t="inlineStr">
        <is>
          <t>F26</t>
        </is>
      </c>
      <c r="E1545" t="inlineStr">
        <is>
          <t>TRANSACCIONAL</t>
        </is>
      </c>
      <c r="F1545" t="inlineStr">
        <is>
          <t>BURUNDI</t>
        </is>
      </c>
      <c r="G1545" t="inlineStr">
        <is>
          <t>BI</t>
        </is>
      </c>
      <c r="H1545" t="n">
        <v>4</v>
      </c>
      <c r="I1545" t="n">
        <v>4</v>
      </c>
      <c r="J1545" t="n">
        <v>6</v>
      </c>
      <c r="K1545" t="n">
        <v>24</v>
      </c>
      <c r="L1545" t="n">
        <v>24</v>
      </c>
      <c r="M1545" t="n">
        <v>24</v>
      </c>
      <c r="N1545" t="n">
        <v>24</v>
      </c>
      <c r="O1545" t="n">
        <v>30</v>
      </c>
      <c r="P1545" t="n">
        <v>6</v>
      </c>
      <c r="R1545" s="9" t="n">
        <v>0.06</v>
      </c>
      <c r="S1545" s="10" t="inlineStr">
        <is>
          <t>Absorbido en FF8 (catálogo país se reutiliza)</t>
        </is>
      </c>
      <c r="T1545" s="11" t="n"/>
      <c r="U1545" s="11" t="inlineStr">
        <is>
          <t>DEL BANCO (se hereda)</t>
        </is>
      </c>
      <c r="V1545" s="11" t="n"/>
      <c r="W1545" s="12" t="n"/>
      <c r="X1545" s="12" t="n"/>
    </row>
    <row r="1546" ht="15" customHeight="1">
      <c r="C1546" t="inlineStr">
        <is>
          <t>Envío o recepción de transferencias internacionales</t>
        </is>
      </c>
      <c r="D1546" t="inlineStr">
        <is>
          <t>F26</t>
        </is>
      </c>
      <c r="E1546" t="inlineStr">
        <is>
          <t>TRANSACCIONAL</t>
        </is>
      </c>
      <c r="F1546" t="inlineStr">
        <is>
          <t>BENIN</t>
        </is>
      </c>
      <c r="G1546" t="inlineStr">
        <is>
          <t>BJ</t>
        </is>
      </c>
      <c r="H1546" t="n">
        <v>3</v>
      </c>
      <c r="I1546" t="n">
        <v>3</v>
      </c>
      <c r="J1546" t="n">
        <v>6</v>
      </c>
      <c r="K1546" t="n">
        <v>18</v>
      </c>
      <c r="L1546" t="n">
        <v>18</v>
      </c>
      <c r="M1546" t="n">
        <v>18</v>
      </c>
      <c r="N1546" t="n">
        <v>18</v>
      </c>
      <c r="O1546" t="n">
        <v>30</v>
      </c>
      <c r="P1546" t="n">
        <v>6</v>
      </c>
      <c r="R1546" s="9" t="n">
        <v>0.06</v>
      </c>
      <c r="S1546" s="10" t="inlineStr">
        <is>
          <t>Absorbido en FF8 (catálogo país se reutiliza)</t>
        </is>
      </c>
      <c r="T1546" s="11" t="n"/>
      <c r="U1546" s="11" t="inlineStr">
        <is>
          <t>DEL BANCO (se hereda)</t>
        </is>
      </c>
      <c r="V1546" s="11" t="n"/>
      <c r="W1546" s="12" t="n"/>
      <c r="X1546" s="12" t="n"/>
    </row>
    <row r="1547" ht="15" customHeight="1">
      <c r="C1547" t="inlineStr">
        <is>
          <t>Envío o recepción de transferencias internacionales</t>
        </is>
      </c>
      <c r="D1547" t="inlineStr">
        <is>
          <t>F26</t>
        </is>
      </c>
      <c r="E1547" t="inlineStr">
        <is>
          <t>TRANSACCIONAL</t>
        </is>
      </c>
      <c r="F1547" t="inlineStr">
        <is>
          <t>SAN BARTOLOME</t>
        </is>
      </c>
      <c r="G1547" t="inlineStr">
        <is>
          <t>BL</t>
        </is>
      </c>
      <c r="H1547" t="n">
        <v>1</v>
      </c>
      <c r="I1547" t="n">
        <v>1</v>
      </c>
      <c r="J1547" t="n">
        <v>6</v>
      </c>
      <c r="K1547" t="n">
        <v>6</v>
      </c>
      <c r="L1547" t="n">
        <v>6</v>
      </c>
      <c r="M1547" t="n">
        <v>6</v>
      </c>
      <c r="N1547" t="n">
        <v>6</v>
      </c>
      <c r="O1547" t="n">
        <v>30</v>
      </c>
      <c r="P1547" t="n">
        <v>6</v>
      </c>
      <c r="R1547" s="9" t="n">
        <v>0.06</v>
      </c>
      <c r="S1547" s="10" t="inlineStr">
        <is>
          <t>Absorbido en FF8 (catálogo país se reutiliza)</t>
        </is>
      </c>
      <c r="T1547" s="11" t="n"/>
      <c r="U1547" s="11" t="inlineStr">
        <is>
          <t>DEL BANCO (se hereda)</t>
        </is>
      </c>
      <c r="V1547" s="11" t="n"/>
      <c r="W1547" s="12" t="n"/>
      <c r="X1547" s="12" t="n"/>
    </row>
    <row r="1548" ht="15" customHeight="1">
      <c r="C1548" t="inlineStr">
        <is>
          <t>Envío o recepción de transferencias internacionales</t>
        </is>
      </c>
      <c r="D1548" t="inlineStr">
        <is>
          <t>F26</t>
        </is>
      </c>
      <c r="E1548" t="inlineStr">
        <is>
          <t>TRANSACCIONAL</t>
        </is>
      </c>
      <c r="F1548" t="inlineStr">
        <is>
          <t>BERMUDAS</t>
        </is>
      </c>
      <c r="G1548" t="inlineStr">
        <is>
          <t>BM</t>
        </is>
      </c>
      <c r="H1548" t="n">
        <v>3</v>
      </c>
      <c r="I1548" t="n">
        <v>3</v>
      </c>
      <c r="J1548" t="n">
        <v>6</v>
      </c>
      <c r="K1548" t="n">
        <v>18</v>
      </c>
      <c r="L1548" t="n">
        <v>18</v>
      </c>
      <c r="M1548" t="n">
        <v>18</v>
      </c>
      <c r="N1548" t="n">
        <v>18</v>
      </c>
      <c r="O1548" t="n">
        <v>30</v>
      </c>
      <c r="P1548" t="n">
        <v>6</v>
      </c>
      <c r="R1548" s="9" t="n">
        <v>0.06</v>
      </c>
      <c r="S1548" s="10" t="inlineStr">
        <is>
          <t>Absorbido en FF8 (catálogo país se reutiliza)</t>
        </is>
      </c>
      <c r="T1548" s="11" t="n"/>
      <c r="U1548" s="11" t="inlineStr">
        <is>
          <t>DEL BANCO (se hereda)</t>
        </is>
      </c>
      <c r="V1548" s="11" t="n"/>
      <c r="W1548" s="12" t="n"/>
      <c r="X1548" s="12" t="n"/>
    </row>
    <row r="1549" ht="15" customHeight="1">
      <c r="C1549" t="inlineStr">
        <is>
          <t>Envío o recepción de transferencias internacionales</t>
        </is>
      </c>
      <c r="D1549" t="inlineStr">
        <is>
          <t>F26</t>
        </is>
      </c>
      <c r="E1549" t="inlineStr">
        <is>
          <t>TRANSACCIONAL</t>
        </is>
      </c>
      <c r="F1549" t="inlineStr">
        <is>
          <t>BRUNEI</t>
        </is>
      </c>
      <c r="G1549" t="inlineStr">
        <is>
          <t>BN</t>
        </is>
      </c>
      <c r="H1549" t="n">
        <v>3</v>
      </c>
      <c r="I1549" t="n">
        <v>3</v>
      </c>
      <c r="J1549" t="n">
        <v>6</v>
      </c>
      <c r="K1549" t="n">
        <v>18</v>
      </c>
      <c r="L1549" t="n">
        <v>18</v>
      </c>
      <c r="M1549" t="n">
        <v>18</v>
      </c>
      <c r="N1549" t="n">
        <v>18</v>
      </c>
      <c r="O1549" t="n">
        <v>30</v>
      </c>
      <c r="P1549" t="n">
        <v>6</v>
      </c>
      <c r="R1549" s="9" t="n">
        <v>0.06</v>
      </c>
      <c r="S1549" s="10" t="inlineStr">
        <is>
          <t>Absorbido en FF8 (catálogo país se reutiliza)</t>
        </is>
      </c>
      <c r="T1549" s="11" t="n"/>
      <c r="U1549" s="11" t="inlineStr">
        <is>
          <t>DEL BANCO (se hereda)</t>
        </is>
      </c>
      <c r="V1549" s="11" t="n"/>
      <c r="W1549" s="12" t="n"/>
      <c r="X1549" s="12" t="n"/>
    </row>
    <row r="1550" ht="15" customHeight="1">
      <c r="C1550" t="inlineStr">
        <is>
          <t>Envío o recepción de transferencias internacionales</t>
        </is>
      </c>
      <c r="D1550" t="inlineStr">
        <is>
          <t>F26</t>
        </is>
      </c>
      <c r="E1550" t="inlineStr">
        <is>
          <t>TRANSACCIONAL</t>
        </is>
      </c>
      <c r="F1550" t="inlineStr">
        <is>
          <t>BOLIVIA</t>
        </is>
      </c>
      <c r="G1550" t="inlineStr">
        <is>
          <t>BO</t>
        </is>
      </c>
      <c r="H1550" t="n">
        <v>4</v>
      </c>
      <c r="I1550" t="n">
        <v>4</v>
      </c>
      <c r="J1550" t="n">
        <v>6</v>
      </c>
      <c r="K1550" t="n">
        <v>24</v>
      </c>
      <c r="L1550" t="n">
        <v>24</v>
      </c>
      <c r="M1550" t="n">
        <v>24</v>
      </c>
      <c r="N1550" t="n">
        <v>24</v>
      </c>
      <c r="O1550" t="n">
        <v>30</v>
      </c>
      <c r="P1550" t="n">
        <v>6</v>
      </c>
      <c r="Q1550" t="inlineStr">
        <is>
          <t>DETERMINANTE</t>
        </is>
      </c>
      <c r="R1550" s="9" t="n">
        <v>0.06</v>
      </c>
      <c r="S1550" s="10" t="inlineStr">
        <is>
          <t>Absorbido en FF8 (catálogo país se reutiliza)</t>
        </is>
      </c>
      <c r="T1550" s="11" t="n"/>
      <c r="U1550" s="11" t="inlineStr">
        <is>
          <t>DEL BANCO (se hereda)</t>
        </is>
      </c>
      <c r="V1550" s="11" t="n"/>
      <c r="W1550" s="12" t="n"/>
      <c r="X1550" s="12" t="n"/>
    </row>
    <row r="1551" ht="15" customHeight="1">
      <c r="C1551" t="inlineStr">
        <is>
          <t>Envío o recepción de transferencias internacionales</t>
        </is>
      </c>
      <c r="D1551" t="inlineStr">
        <is>
          <t>F26</t>
        </is>
      </c>
      <c r="E1551" t="inlineStr">
        <is>
          <t>TRANSACCIONAL</t>
        </is>
      </c>
      <c r="F1551" t="inlineStr">
        <is>
          <t>BRASIL</t>
        </is>
      </c>
      <c r="G1551" t="inlineStr">
        <is>
          <t>BR</t>
        </is>
      </c>
      <c r="H1551" t="n">
        <v>2</v>
      </c>
      <c r="I1551" t="n">
        <v>2</v>
      </c>
      <c r="J1551" t="n">
        <v>6</v>
      </c>
      <c r="K1551" t="n">
        <v>12</v>
      </c>
      <c r="L1551" t="n">
        <v>12</v>
      </c>
      <c r="M1551" t="n">
        <v>12</v>
      </c>
      <c r="N1551" t="n">
        <v>12</v>
      </c>
      <c r="O1551" t="n">
        <v>30</v>
      </c>
      <c r="P1551" t="n">
        <v>6</v>
      </c>
      <c r="R1551" s="9" t="n">
        <v>0.06</v>
      </c>
      <c r="S1551" s="10" t="inlineStr">
        <is>
          <t>Absorbido en FF8 (catálogo país se reutiliza)</t>
        </is>
      </c>
      <c r="T1551" s="11" t="n"/>
      <c r="U1551" s="11" t="inlineStr">
        <is>
          <t>DEL BANCO (se hereda)</t>
        </is>
      </c>
      <c r="V1551" s="11" t="n"/>
      <c r="W1551" s="12" t="n"/>
      <c r="X1551" s="12" t="n"/>
    </row>
    <row r="1552" ht="15" customHeight="1">
      <c r="C1552" t="inlineStr">
        <is>
          <t>Envío o recepción de transferencias internacionales</t>
        </is>
      </c>
      <c r="D1552" t="inlineStr">
        <is>
          <t>F26</t>
        </is>
      </c>
      <c r="E1552" t="inlineStr">
        <is>
          <t>TRANSACCIONAL</t>
        </is>
      </c>
      <c r="F1552" t="inlineStr">
        <is>
          <t>BAHAMAS</t>
        </is>
      </c>
      <c r="G1552" t="inlineStr">
        <is>
          <t>BS</t>
        </is>
      </c>
      <c r="H1552" t="n">
        <v>3</v>
      </c>
      <c r="I1552" t="n">
        <v>3</v>
      </c>
      <c r="J1552" t="n">
        <v>6</v>
      </c>
      <c r="K1552" t="n">
        <v>18</v>
      </c>
      <c r="L1552" t="n">
        <v>18</v>
      </c>
      <c r="M1552" t="n">
        <v>18</v>
      </c>
      <c r="N1552" t="n">
        <v>18</v>
      </c>
      <c r="O1552" t="n">
        <v>30</v>
      </c>
      <c r="P1552" t="n">
        <v>6</v>
      </c>
      <c r="R1552" s="9" t="n">
        <v>0.06</v>
      </c>
      <c r="S1552" s="10" t="inlineStr">
        <is>
          <t>Absorbido en FF8 (catálogo país se reutiliza)</t>
        </is>
      </c>
      <c r="T1552" s="11" t="n"/>
      <c r="U1552" s="11" t="inlineStr">
        <is>
          <t>DEL BANCO (se hereda)</t>
        </is>
      </c>
      <c r="V1552" s="11" t="n"/>
      <c r="W1552" s="12" t="n"/>
      <c r="X1552" s="12" t="n"/>
    </row>
    <row r="1553" ht="15" customHeight="1">
      <c r="C1553" t="inlineStr">
        <is>
          <t>Envío o recepción de transferencias internacionales</t>
        </is>
      </c>
      <c r="D1553" t="inlineStr">
        <is>
          <t>F26</t>
        </is>
      </c>
      <c r="E1553" t="inlineStr">
        <is>
          <t>TRANSACCIONAL</t>
        </is>
      </c>
      <c r="F1553" t="inlineStr">
        <is>
          <t>BHUTAN</t>
        </is>
      </c>
      <c r="G1553" t="inlineStr">
        <is>
          <t>BT</t>
        </is>
      </c>
      <c r="H1553" t="n">
        <v>1</v>
      </c>
      <c r="I1553" t="n">
        <v>1</v>
      </c>
      <c r="J1553" t="n">
        <v>6</v>
      </c>
      <c r="K1553" t="n">
        <v>6</v>
      </c>
      <c r="L1553" t="n">
        <v>6</v>
      </c>
      <c r="M1553" t="n">
        <v>6</v>
      </c>
      <c r="N1553" t="n">
        <v>6</v>
      </c>
      <c r="O1553" t="n">
        <v>30</v>
      </c>
      <c r="P1553" t="n">
        <v>6</v>
      </c>
      <c r="R1553" s="9" t="n">
        <v>0.06</v>
      </c>
      <c r="S1553" s="10" t="inlineStr">
        <is>
          <t>Absorbido en FF8 (catálogo país se reutiliza)</t>
        </is>
      </c>
      <c r="T1553" s="11" t="n"/>
      <c r="U1553" s="11" t="inlineStr">
        <is>
          <t>DEL BANCO (se hereda)</t>
        </is>
      </c>
      <c r="V1553" s="11" t="n"/>
      <c r="W1553" s="12" t="n"/>
      <c r="X1553" s="12" t="n"/>
    </row>
    <row r="1554" ht="15" customHeight="1">
      <c r="C1554" t="inlineStr">
        <is>
          <t>Envío o recepción de transferencias internacionales</t>
        </is>
      </c>
      <c r="D1554" t="inlineStr">
        <is>
          <t>F26</t>
        </is>
      </c>
      <c r="E1554" t="inlineStr">
        <is>
          <t>TRANSACCIONAL</t>
        </is>
      </c>
      <c r="F1554" t="inlineStr">
        <is>
          <t>ISLA BOUVET</t>
        </is>
      </c>
      <c r="G1554" t="inlineStr">
        <is>
          <t>BV</t>
        </is>
      </c>
      <c r="H1554" t="n">
        <v>1</v>
      </c>
      <c r="I1554" t="n">
        <v>1</v>
      </c>
      <c r="J1554" t="n">
        <v>6</v>
      </c>
      <c r="K1554" t="n">
        <v>6</v>
      </c>
      <c r="L1554" t="n">
        <v>6</v>
      </c>
      <c r="M1554" t="n">
        <v>6</v>
      </c>
      <c r="N1554" t="n">
        <v>6</v>
      </c>
      <c r="O1554" t="n">
        <v>30</v>
      </c>
      <c r="P1554" t="n">
        <v>6</v>
      </c>
      <c r="R1554" s="9" t="n">
        <v>0.06</v>
      </c>
      <c r="S1554" s="10" t="inlineStr">
        <is>
          <t>Absorbido en FF8 (catálogo país se reutiliza)</t>
        </is>
      </c>
      <c r="T1554" s="11" t="n"/>
      <c r="U1554" s="11" t="inlineStr">
        <is>
          <t>DEL BANCO (se hereda)</t>
        </is>
      </c>
      <c r="V1554" s="11" t="n"/>
      <c r="W1554" s="12" t="n"/>
      <c r="X1554" s="12" t="n"/>
    </row>
    <row r="1555" ht="15" customHeight="1">
      <c r="C1555" t="inlineStr">
        <is>
          <t>Envío o recepción de transferencias internacionales</t>
        </is>
      </c>
      <c r="D1555" t="inlineStr">
        <is>
          <t>F26</t>
        </is>
      </c>
      <c r="E1555" t="inlineStr">
        <is>
          <t>TRANSACCIONAL</t>
        </is>
      </c>
      <c r="F1555" t="inlineStr">
        <is>
          <t>BOTSWANA</t>
        </is>
      </c>
      <c r="G1555" t="inlineStr">
        <is>
          <t>BW</t>
        </is>
      </c>
      <c r="H1555" t="n">
        <v>1</v>
      </c>
      <c r="I1555" t="n">
        <v>1</v>
      </c>
      <c r="J1555" t="n">
        <v>6</v>
      </c>
      <c r="K1555" t="n">
        <v>6</v>
      </c>
      <c r="L1555" t="n">
        <v>6</v>
      </c>
      <c r="M1555" t="n">
        <v>6</v>
      </c>
      <c r="N1555" t="n">
        <v>6</v>
      </c>
      <c r="O1555" t="n">
        <v>30</v>
      </c>
      <c r="P1555" t="n">
        <v>6</v>
      </c>
      <c r="R1555" s="9" t="n">
        <v>0.06</v>
      </c>
      <c r="S1555" s="10" t="inlineStr">
        <is>
          <t>Absorbido en FF8 (catálogo país se reutiliza)</t>
        </is>
      </c>
      <c r="T1555" s="11" t="n"/>
      <c r="U1555" s="11" t="inlineStr">
        <is>
          <t>DEL BANCO (se hereda)</t>
        </is>
      </c>
      <c r="V1555" s="11" t="n"/>
      <c r="W1555" s="12" t="n"/>
      <c r="X1555" s="12" t="n"/>
    </row>
    <row r="1556" ht="15" customHeight="1">
      <c r="C1556" t="inlineStr">
        <is>
          <t>Envío o recepción de transferencias internacionales</t>
        </is>
      </c>
      <c r="D1556" t="inlineStr">
        <is>
          <t>F26</t>
        </is>
      </c>
      <c r="E1556" t="inlineStr">
        <is>
          <t>TRANSACCIONAL</t>
        </is>
      </c>
      <c r="F1556" t="inlineStr">
        <is>
          <t>BELARUS</t>
        </is>
      </c>
      <c r="G1556" t="inlineStr">
        <is>
          <t>BY</t>
        </is>
      </c>
      <c r="H1556" t="n">
        <v>4</v>
      </c>
      <c r="I1556" t="n">
        <v>4</v>
      </c>
      <c r="J1556" t="n">
        <v>6</v>
      </c>
      <c r="K1556" t="n">
        <v>24</v>
      </c>
      <c r="L1556" t="n">
        <v>24</v>
      </c>
      <c r="M1556" t="n">
        <v>24</v>
      </c>
      <c r="N1556" t="n">
        <v>24</v>
      </c>
      <c r="O1556" t="n">
        <v>30</v>
      </c>
      <c r="P1556" t="n">
        <v>6</v>
      </c>
      <c r="R1556" s="9" t="n">
        <v>0.06</v>
      </c>
      <c r="S1556" s="10" t="inlineStr">
        <is>
          <t>Absorbido en FF8 (catálogo país se reutiliza)</t>
        </is>
      </c>
      <c r="T1556" s="11" t="n"/>
      <c r="U1556" s="11" t="inlineStr">
        <is>
          <t>DEL BANCO (se hereda)</t>
        </is>
      </c>
      <c r="V1556" s="11" t="n"/>
      <c r="W1556" s="12" t="n"/>
      <c r="X1556" s="12" t="n"/>
    </row>
    <row r="1557" ht="15" customHeight="1">
      <c r="C1557" t="inlineStr">
        <is>
          <t>Envío o recepción de transferencias internacionales</t>
        </is>
      </c>
      <c r="D1557" t="inlineStr">
        <is>
          <t>F26</t>
        </is>
      </c>
      <c r="E1557" t="inlineStr">
        <is>
          <t>TRANSACCIONAL</t>
        </is>
      </c>
      <c r="F1557" t="inlineStr">
        <is>
          <t>BELICE</t>
        </is>
      </c>
      <c r="G1557" t="inlineStr">
        <is>
          <t>BZ</t>
        </is>
      </c>
      <c r="H1557" t="n">
        <v>3</v>
      </c>
      <c r="I1557" t="n">
        <v>3</v>
      </c>
      <c r="J1557" t="n">
        <v>6</v>
      </c>
      <c r="K1557" t="n">
        <v>18</v>
      </c>
      <c r="L1557" t="n">
        <v>18</v>
      </c>
      <c r="M1557" t="n">
        <v>18</v>
      </c>
      <c r="N1557" t="n">
        <v>18</v>
      </c>
      <c r="O1557" t="n">
        <v>30</v>
      </c>
      <c r="P1557" t="n">
        <v>6</v>
      </c>
      <c r="R1557" s="9" t="n">
        <v>0.06</v>
      </c>
      <c r="S1557" s="10" t="inlineStr">
        <is>
          <t>Absorbido en FF8 (catálogo país se reutiliza)</t>
        </is>
      </c>
      <c r="T1557" s="11" t="n"/>
      <c r="U1557" s="11" t="inlineStr">
        <is>
          <t>DEL BANCO (se hereda)</t>
        </is>
      </c>
      <c r="V1557" s="11" t="n"/>
      <c r="W1557" s="12" t="n"/>
      <c r="X1557" s="12" t="n"/>
    </row>
    <row r="1558" ht="15" customHeight="1">
      <c r="C1558" t="inlineStr">
        <is>
          <t>Envío o recepción de transferencias internacionales</t>
        </is>
      </c>
      <c r="D1558" t="inlineStr">
        <is>
          <t>F26</t>
        </is>
      </c>
      <c r="E1558" t="inlineStr">
        <is>
          <t>TRANSACCIONAL</t>
        </is>
      </c>
      <c r="F1558" t="inlineStr">
        <is>
          <t>CANADA</t>
        </is>
      </c>
      <c r="G1558" t="inlineStr">
        <is>
          <t>CA</t>
        </is>
      </c>
      <c r="H1558" t="n">
        <v>1</v>
      </c>
      <c r="I1558" t="n">
        <v>1</v>
      </c>
      <c r="J1558" t="n">
        <v>6</v>
      </c>
      <c r="K1558" t="n">
        <v>6</v>
      </c>
      <c r="L1558" t="n">
        <v>6</v>
      </c>
      <c r="M1558" t="n">
        <v>6</v>
      </c>
      <c r="N1558" t="n">
        <v>6</v>
      </c>
      <c r="O1558" t="n">
        <v>30</v>
      </c>
      <c r="P1558" t="n">
        <v>6</v>
      </c>
      <c r="R1558" s="9" t="n">
        <v>0.06</v>
      </c>
      <c r="S1558" s="10" t="inlineStr">
        <is>
          <t>Absorbido en FF8 (catálogo país se reutiliza)</t>
        </is>
      </c>
      <c r="T1558" s="11" t="n"/>
      <c r="U1558" s="11" t="inlineStr">
        <is>
          <t>DEL BANCO (se hereda)</t>
        </is>
      </c>
      <c r="V1558" s="11" t="n"/>
      <c r="W1558" s="12" t="n"/>
      <c r="X1558" s="12" t="n"/>
    </row>
    <row r="1559" ht="15" customHeight="1">
      <c r="C1559" t="inlineStr">
        <is>
          <t>Envío o recepción de transferencias internacionales</t>
        </is>
      </c>
      <c r="D1559" t="inlineStr">
        <is>
          <t>F26</t>
        </is>
      </c>
      <c r="E1559" t="inlineStr">
        <is>
          <t>TRANSACCIONAL</t>
        </is>
      </c>
      <c r="F1559" t="inlineStr">
        <is>
          <t>ISLAS COCOS O KELLIN</t>
        </is>
      </c>
      <c r="G1559" t="inlineStr">
        <is>
          <t>CC</t>
        </is>
      </c>
      <c r="H1559" t="n">
        <v>1</v>
      </c>
      <c r="I1559" t="n">
        <v>1</v>
      </c>
      <c r="J1559" t="n">
        <v>6</v>
      </c>
      <c r="K1559" t="n">
        <v>6</v>
      </c>
      <c r="L1559" t="n">
        <v>6</v>
      </c>
      <c r="M1559" t="n">
        <v>6</v>
      </c>
      <c r="N1559" t="n">
        <v>6</v>
      </c>
      <c r="O1559" t="n">
        <v>30</v>
      </c>
      <c r="P1559" t="n">
        <v>6</v>
      </c>
      <c r="R1559" s="9" t="n">
        <v>0.06</v>
      </c>
      <c r="S1559" s="10" t="inlineStr">
        <is>
          <t>Absorbido en FF8 (catálogo país se reutiliza)</t>
        </is>
      </c>
      <c r="T1559" s="11" t="n"/>
      <c r="U1559" s="11" t="inlineStr">
        <is>
          <t>DEL BANCO (se hereda)</t>
        </is>
      </c>
      <c r="V1559" s="11" t="n"/>
      <c r="W1559" s="12" t="n"/>
      <c r="X1559" s="12" t="n"/>
    </row>
    <row r="1560" ht="15" customHeight="1">
      <c r="C1560" t="inlineStr">
        <is>
          <t>Envío o recepción de transferencias internacionales</t>
        </is>
      </c>
      <c r="D1560" t="inlineStr">
        <is>
          <t>F26</t>
        </is>
      </c>
      <c r="E1560" t="inlineStr">
        <is>
          <t>TRANSACCIONAL</t>
        </is>
      </c>
      <c r="F1560" t="inlineStr">
        <is>
          <t>REP. DE CONGO</t>
        </is>
      </c>
      <c r="G1560" t="inlineStr">
        <is>
          <t>CD</t>
        </is>
      </c>
      <c r="H1560" t="n">
        <v>4</v>
      </c>
      <c r="I1560" t="n">
        <v>4</v>
      </c>
      <c r="J1560" t="n">
        <v>6</v>
      </c>
      <c r="K1560" t="n">
        <v>24</v>
      </c>
      <c r="L1560" t="n">
        <v>24</v>
      </c>
      <c r="M1560" t="n">
        <v>24</v>
      </c>
      <c r="N1560" t="n">
        <v>24</v>
      </c>
      <c r="O1560" t="n">
        <v>30</v>
      </c>
      <c r="P1560" t="n">
        <v>6</v>
      </c>
      <c r="Q1560" t="inlineStr">
        <is>
          <t>DETERMINANTE</t>
        </is>
      </c>
      <c r="R1560" s="9" t="n">
        <v>0.06</v>
      </c>
      <c r="S1560" s="10" t="inlineStr">
        <is>
          <t>Absorbido en FF8 (catálogo país se reutiliza)</t>
        </is>
      </c>
      <c r="T1560" s="11" t="n"/>
      <c r="U1560" s="11" t="inlineStr">
        <is>
          <t>DEL BANCO (se hereda)</t>
        </is>
      </c>
      <c r="V1560" s="11" t="n"/>
      <c r="W1560" s="12" t="n"/>
      <c r="X1560" s="12" t="n"/>
    </row>
    <row r="1561" ht="15" customHeight="1">
      <c r="C1561" t="inlineStr">
        <is>
          <t>Envío o recepción de transferencias internacionales</t>
        </is>
      </c>
      <c r="D1561" t="inlineStr">
        <is>
          <t>F26</t>
        </is>
      </c>
      <c r="E1561" t="inlineStr">
        <is>
          <t>TRANSACCIONAL</t>
        </is>
      </c>
      <c r="F1561" t="inlineStr">
        <is>
          <t>CENT AFR</t>
        </is>
      </c>
      <c r="G1561" t="inlineStr">
        <is>
          <t>CF</t>
        </is>
      </c>
      <c r="H1561" t="n">
        <v>4</v>
      </c>
      <c r="I1561" t="n">
        <v>4</v>
      </c>
      <c r="J1561" t="n">
        <v>6</v>
      </c>
      <c r="K1561" t="n">
        <v>24</v>
      </c>
      <c r="L1561" t="n">
        <v>24</v>
      </c>
      <c r="M1561" t="n">
        <v>24</v>
      </c>
      <c r="N1561" t="n">
        <v>24</v>
      </c>
      <c r="O1561" t="n">
        <v>30</v>
      </c>
      <c r="P1561" t="n">
        <v>6</v>
      </c>
      <c r="R1561" s="9" t="n">
        <v>0.06</v>
      </c>
      <c r="S1561" s="10" t="inlineStr">
        <is>
          <t>Absorbido en FF8 (catálogo país se reutiliza)</t>
        </is>
      </c>
      <c r="T1561" s="11" t="n"/>
      <c r="U1561" s="11" t="inlineStr">
        <is>
          <t>DEL BANCO (se hereda)</t>
        </is>
      </c>
      <c r="V1561" s="11" t="n"/>
      <c r="W1561" s="12" t="n"/>
      <c r="X1561" s="12" t="n"/>
    </row>
    <row r="1562" ht="15" customHeight="1">
      <c r="C1562" t="inlineStr">
        <is>
          <t>Envío o recepción de transferencias internacionales</t>
        </is>
      </c>
      <c r="D1562" t="inlineStr">
        <is>
          <t>F26</t>
        </is>
      </c>
      <c r="E1562" t="inlineStr">
        <is>
          <t>TRANSACCIONAL</t>
        </is>
      </c>
      <c r="F1562" t="inlineStr">
        <is>
          <t>CONGO</t>
        </is>
      </c>
      <c r="G1562" t="inlineStr">
        <is>
          <t>CG</t>
        </is>
      </c>
      <c r="H1562" t="n">
        <v>4</v>
      </c>
      <c r="I1562" t="n">
        <v>4</v>
      </c>
      <c r="J1562" t="n">
        <v>6</v>
      </c>
      <c r="K1562" t="n">
        <v>24</v>
      </c>
      <c r="L1562" t="n">
        <v>24</v>
      </c>
      <c r="M1562" t="n">
        <v>24</v>
      </c>
      <c r="N1562" t="n">
        <v>24</v>
      </c>
      <c r="O1562" t="n">
        <v>30</v>
      </c>
      <c r="P1562" t="n">
        <v>6</v>
      </c>
      <c r="R1562" s="9" t="n">
        <v>0.06</v>
      </c>
      <c r="S1562" s="10" t="inlineStr">
        <is>
          <t>Absorbido en FF8 (catálogo país se reutiliza)</t>
        </is>
      </c>
      <c r="T1562" s="11" t="n"/>
      <c r="U1562" s="11" t="inlineStr">
        <is>
          <t>DEL BANCO (se hereda)</t>
        </is>
      </c>
      <c r="V1562" s="11" t="n"/>
      <c r="W1562" s="12" t="n"/>
      <c r="X1562" s="12" t="n"/>
    </row>
    <row r="1563" ht="15" customHeight="1">
      <c r="C1563" t="inlineStr">
        <is>
          <t>Envío o recepción de transferencias internacionales</t>
        </is>
      </c>
      <c r="D1563" t="inlineStr">
        <is>
          <t>F26</t>
        </is>
      </c>
      <c r="E1563" t="inlineStr">
        <is>
          <t>TRANSACCIONAL</t>
        </is>
      </c>
      <c r="F1563" t="inlineStr">
        <is>
          <t>SUIZA</t>
        </is>
      </c>
      <c r="G1563" t="inlineStr">
        <is>
          <t>CH</t>
        </is>
      </c>
      <c r="H1563" t="n">
        <v>1</v>
      </c>
      <c r="I1563" t="n">
        <v>1</v>
      </c>
      <c r="J1563" t="n">
        <v>6</v>
      </c>
      <c r="K1563" t="n">
        <v>6</v>
      </c>
      <c r="L1563" t="n">
        <v>6</v>
      </c>
      <c r="M1563" t="n">
        <v>6</v>
      </c>
      <c r="N1563" t="n">
        <v>6</v>
      </c>
      <c r="O1563" t="n">
        <v>30</v>
      </c>
      <c r="P1563" t="n">
        <v>6</v>
      </c>
      <c r="R1563" s="9" t="n">
        <v>0.06</v>
      </c>
      <c r="S1563" s="10" t="inlineStr">
        <is>
          <t>Absorbido en FF8 (catálogo país se reutiliza)</t>
        </is>
      </c>
      <c r="T1563" s="11" t="n"/>
      <c r="U1563" s="11" t="inlineStr">
        <is>
          <t>DEL BANCO (se hereda)</t>
        </is>
      </c>
      <c r="V1563" s="11" t="n"/>
      <c r="W1563" s="12" t="n"/>
      <c r="X1563" s="12" t="n"/>
    </row>
    <row r="1564" ht="15" customHeight="1">
      <c r="C1564" t="inlineStr">
        <is>
          <t>Envío o recepción de transferencias internacionales</t>
        </is>
      </c>
      <c r="D1564" t="inlineStr">
        <is>
          <t>F26</t>
        </is>
      </c>
      <c r="E1564" t="inlineStr">
        <is>
          <t>TRANSACCIONAL</t>
        </is>
      </c>
      <c r="F1564" t="inlineStr">
        <is>
          <t>COSTA DE MARFIL</t>
        </is>
      </c>
      <c r="G1564" t="inlineStr">
        <is>
          <t>CI</t>
        </is>
      </c>
      <c r="H1564" t="n">
        <v>4</v>
      </c>
      <c r="I1564" t="n">
        <v>4</v>
      </c>
      <c r="J1564" t="n">
        <v>6</v>
      </c>
      <c r="K1564" t="n">
        <v>24</v>
      </c>
      <c r="L1564" t="n">
        <v>24</v>
      </c>
      <c r="M1564" t="n">
        <v>24</v>
      </c>
      <c r="N1564" t="n">
        <v>24</v>
      </c>
      <c r="O1564" t="n">
        <v>30</v>
      </c>
      <c r="P1564" t="n">
        <v>6</v>
      </c>
      <c r="Q1564" t="inlineStr">
        <is>
          <t>DETERMINANTE</t>
        </is>
      </c>
      <c r="R1564" s="9" t="n">
        <v>0.06</v>
      </c>
      <c r="S1564" s="10" t="inlineStr">
        <is>
          <t>Absorbido en FF8 (catálogo país se reutiliza)</t>
        </is>
      </c>
      <c r="T1564" s="11" t="n"/>
      <c r="U1564" s="11" t="inlineStr">
        <is>
          <t>DEL BANCO (se hereda)</t>
        </is>
      </c>
      <c r="V1564" s="11" t="n"/>
      <c r="W1564" s="12" t="n"/>
      <c r="X1564" s="12" t="n"/>
    </row>
    <row r="1565" ht="15" customHeight="1">
      <c r="C1565" t="inlineStr">
        <is>
          <t>Envío o recepción de transferencias internacionales</t>
        </is>
      </c>
      <c r="D1565" t="inlineStr">
        <is>
          <t>F26</t>
        </is>
      </c>
      <c r="E1565" t="inlineStr">
        <is>
          <t>TRANSACCIONAL</t>
        </is>
      </c>
      <c r="F1565" t="inlineStr">
        <is>
          <t>ISLAS COOK</t>
        </is>
      </c>
      <c r="G1565" t="inlineStr">
        <is>
          <t>CK</t>
        </is>
      </c>
      <c r="H1565" t="n">
        <v>3</v>
      </c>
      <c r="I1565" t="n">
        <v>3</v>
      </c>
      <c r="J1565" t="n">
        <v>6</v>
      </c>
      <c r="K1565" t="n">
        <v>18</v>
      </c>
      <c r="L1565" t="n">
        <v>18</v>
      </c>
      <c r="M1565" t="n">
        <v>18</v>
      </c>
      <c r="N1565" t="n">
        <v>18</v>
      </c>
      <c r="O1565" t="n">
        <v>30</v>
      </c>
      <c r="P1565" t="n">
        <v>6</v>
      </c>
      <c r="R1565" s="9" t="n">
        <v>0.06</v>
      </c>
      <c r="S1565" s="10" t="inlineStr">
        <is>
          <t>Absorbido en FF8 (catálogo país se reutiliza)</t>
        </is>
      </c>
      <c r="T1565" s="11" t="n"/>
      <c r="U1565" s="11" t="inlineStr">
        <is>
          <t>DEL BANCO (se hereda)</t>
        </is>
      </c>
      <c r="V1565" s="11" t="n"/>
      <c r="W1565" s="12" t="n"/>
      <c r="X1565" s="12" t="n"/>
    </row>
    <row r="1566" ht="15" customHeight="1">
      <c r="C1566" t="inlineStr">
        <is>
          <t>Envío o recepción de transferencias internacionales</t>
        </is>
      </c>
      <c r="D1566" t="inlineStr">
        <is>
          <t>F26</t>
        </is>
      </c>
      <c r="E1566" t="inlineStr">
        <is>
          <t>TRANSACCIONAL</t>
        </is>
      </c>
      <c r="F1566" t="inlineStr">
        <is>
          <t>CHILE</t>
        </is>
      </c>
      <c r="G1566" t="inlineStr">
        <is>
          <t>CL</t>
        </is>
      </c>
      <c r="H1566" t="n">
        <v>1</v>
      </c>
      <c r="I1566" t="n">
        <v>1</v>
      </c>
      <c r="J1566" t="n">
        <v>6</v>
      </c>
      <c r="K1566" t="n">
        <v>6</v>
      </c>
      <c r="L1566" t="n">
        <v>6</v>
      </c>
      <c r="M1566" t="n">
        <v>6</v>
      </c>
      <c r="N1566" t="n">
        <v>6</v>
      </c>
      <c r="O1566" t="n">
        <v>30</v>
      </c>
      <c r="P1566" t="n">
        <v>6</v>
      </c>
      <c r="R1566" s="9" t="n">
        <v>0.06</v>
      </c>
      <c r="S1566" s="10" t="inlineStr">
        <is>
          <t>Absorbido en FF8 (catálogo país se reutiliza)</t>
        </is>
      </c>
      <c r="T1566" s="11" t="n"/>
      <c r="U1566" s="11" t="inlineStr">
        <is>
          <t>DEL BANCO (se hereda)</t>
        </is>
      </c>
      <c r="V1566" s="11" t="n"/>
      <c r="W1566" s="12" t="n"/>
      <c r="X1566" s="12" t="n"/>
    </row>
    <row r="1567" ht="15" customHeight="1">
      <c r="C1567" t="inlineStr">
        <is>
          <t>Envío o recepción de transferencias internacionales</t>
        </is>
      </c>
      <c r="D1567" t="inlineStr">
        <is>
          <t>F26</t>
        </is>
      </c>
      <c r="E1567" t="inlineStr">
        <is>
          <t>TRANSACCIONAL</t>
        </is>
      </c>
      <c r="F1567" t="inlineStr">
        <is>
          <t>CAMERUN</t>
        </is>
      </c>
      <c r="G1567" t="inlineStr">
        <is>
          <t>CM</t>
        </is>
      </c>
      <c r="H1567" t="n">
        <v>4</v>
      </c>
      <c r="I1567" t="n">
        <v>4</v>
      </c>
      <c r="J1567" t="n">
        <v>6</v>
      </c>
      <c r="K1567" t="n">
        <v>24</v>
      </c>
      <c r="L1567" t="n">
        <v>24</v>
      </c>
      <c r="M1567" t="n">
        <v>24</v>
      </c>
      <c r="N1567" t="n">
        <v>24</v>
      </c>
      <c r="O1567" t="n">
        <v>30</v>
      </c>
      <c r="P1567" t="n">
        <v>6</v>
      </c>
      <c r="Q1567" t="inlineStr">
        <is>
          <t>DETERMINANTE</t>
        </is>
      </c>
      <c r="R1567" s="9" t="n">
        <v>0.06</v>
      </c>
      <c r="S1567" s="10" t="inlineStr">
        <is>
          <t>Absorbido en FF8 (catálogo país se reutiliza)</t>
        </is>
      </c>
      <c r="T1567" s="11" t="n"/>
      <c r="U1567" s="11" t="inlineStr">
        <is>
          <t>DEL BANCO (se hereda)</t>
        </is>
      </c>
      <c r="V1567" s="11" t="n"/>
      <c r="W1567" s="12" t="n"/>
      <c r="X1567" s="12" t="n"/>
    </row>
    <row r="1568" ht="15" customHeight="1">
      <c r="C1568" t="inlineStr">
        <is>
          <t>Envío o recepción de transferencias internacionales</t>
        </is>
      </c>
      <c r="D1568" t="inlineStr">
        <is>
          <t>F26</t>
        </is>
      </c>
      <c r="E1568" t="inlineStr">
        <is>
          <t>TRANSACCIONAL</t>
        </is>
      </c>
      <c r="F1568" t="inlineStr">
        <is>
          <t>CHINA</t>
        </is>
      </c>
      <c r="G1568" t="inlineStr">
        <is>
          <t>CN</t>
        </is>
      </c>
      <c r="H1568" t="n">
        <v>4</v>
      </c>
      <c r="I1568" t="n">
        <v>4</v>
      </c>
      <c r="J1568" t="n">
        <v>6</v>
      </c>
      <c r="K1568" t="n">
        <v>24</v>
      </c>
      <c r="L1568" t="n">
        <v>24</v>
      </c>
      <c r="M1568" t="n">
        <v>24</v>
      </c>
      <c r="N1568" t="n">
        <v>24</v>
      </c>
      <c r="O1568" t="n">
        <v>30</v>
      </c>
      <c r="P1568" t="n">
        <v>6</v>
      </c>
      <c r="R1568" s="9" t="n">
        <v>0.06</v>
      </c>
      <c r="S1568" s="10" t="inlineStr">
        <is>
          <t>Absorbido en FF8 (catálogo país se reutiliza)</t>
        </is>
      </c>
      <c r="T1568" s="11" t="n"/>
      <c r="U1568" s="11" t="inlineStr">
        <is>
          <t>DEL BANCO (se hereda)</t>
        </is>
      </c>
      <c r="V1568" s="11" t="n"/>
      <c r="W1568" s="12" t="n"/>
      <c r="X1568" s="12" t="n"/>
    </row>
    <row r="1569" ht="15" customHeight="1">
      <c r="C1569" t="inlineStr">
        <is>
          <t>Envío o recepción de transferencias internacionales</t>
        </is>
      </c>
      <c r="D1569" t="inlineStr">
        <is>
          <t>F26</t>
        </is>
      </c>
      <c r="E1569" t="inlineStr">
        <is>
          <t>TRANSACCIONAL</t>
        </is>
      </c>
      <c r="F1569" t="inlineStr">
        <is>
          <t>COLOMBIA</t>
        </is>
      </c>
      <c r="G1569" t="inlineStr">
        <is>
          <t>CO</t>
        </is>
      </c>
      <c r="H1569" t="n">
        <v>2</v>
      </c>
      <c r="I1569" t="n">
        <v>2</v>
      </c>
      <c r="J1569" t="n">
        <v>6</v>
      </c>
      <c r="K1569" t="n">
        <v>12</v>
      </c>
      <c r="L1569" t="n">
        <v>12</v>
      </c>
      <c r="M1569" t="n">
        <v>12</v>
      </c>
      <c r="N1569" t="n">
        <v>12</v>
      </c>
      <c r="O1569" t="n">
        <v>30</v>
      </c>
      <c r="P1569" t="n">
        <v>6</v>
      </c>
      <c r="R1569" s="9" t="n">
        <v>0.06</v>
      </c>
      <c r="S1569" s="10" t="inlineStr">
        <is>
          <t>Absorbido en FF8 (catálogo país se reutiliza)</t>
        </is>
      </c>
      <c r="T1569" s="11" t="n"/>
      <c r="U1569" s="11" t="inlineStr">
        <is>
          <t>DEL BANCO (se hereda)</t>
        </is>
      </c>
      <c r="V1569" s="11" t="n"/>
      <c r="W1569" s="12" t="n"/>
      <c r="X1569" s="12" t="n"/>
    </row>
    <row r="1570" ht="15" customHeight="1">
      <c r="C1570" t="inlineStr">
        <is>
          <t>Envío o recepción de transferencias internacionales</t>
        </is>
      </c>
      <c r="D1570" t="inlineStr">
        <is>
          <t>F26</t>
        </is>
      </c>
      <c r="E1570" t="inlineStr">
        <is>
          <t>TRANSACCIONAL</t>
        </is>
      </c>
      <c r="F1570" t="inlineStr">
        <is>
          <t>COSTA RICA</t>
        </is>
      </c>
      <c r="G1570" t="inlineStr">
        <is>
          <t>CR</t>
        </is>
      </c>
      <c r="H1570" t="n">
        <v>1</v>
      </c>
      <c r="I1570" t="n">
        <v>1</v>
      </c>
      <c r="J1570" t="n">
        <v>6</v>
      </c>
      <c r="K1570" t="n">
        <v>6</v>
      </c>
      <c r="L1570" t="n">
        <v>6</v>
      </c>
      <c r="M1570" t="n">
        <v>6</v>
      </c>
      <c r="N1570" t="n">
        <v>6</v>
      </c>
      <c r="O1570" t="n">
        <v>30</v>
      </c>
      <c r="P1570" t="n">
        <v>6</v>
      </c>
      <c r="R1570" s="9" t="n">
        <v>0.06</v>
      </c>
      <c r="S1570" s="10" t="inlineStr">
        <is>
          <t>Absorbido en FF8 (catálogo país se reutiliza)</t>
        </is>
      </c>
      <c r="T1570" s="11" t="n"/>
      <c r="U1570" s="11" t="inlineStr">
        <is>
          <t>DEL BANCO (se hereda)</t>
        </is>
      </c>
      <c r="V1570" s="11" t="n"/>
      <c r="W1570" s="12" t="n"/>
      <c r="X1570" s="12" t="n"/>
    </row>
    <row r="1571" ht="15" customHeight="1">
      <c r="C1571" t="inlineStr">
        <is>
          <t>Envío o recepción de transferencias internacionales</t>
        </is>
      </c>
      <c r="D1571" t="inlineStr">
        <is>
          <t>F26</t>
        </is>
      </c>
      <c r="E1571" t="inlineStr">
        <is>
          <t>TRANSACCIONAL</t>
        </is>
      </c>
      <c r="F1571" t="inlineStr">
        <is>
          <t>CUBA</t>
        </is>
      </c>
      <c r="G1571" t="inlineStr">
        <is>
          <t>CU</t>
        </is>
      </c>
      <c r="H1571" t="n">
        <v>4</v>
      </c>
      <c r="I1571" t="n">
        <v>4</v>
      </c>
      <c r="J1571" t="n">
        <v>6</v>
      </c>
      <c r="K1571" t="n">
        <v>24</v>
      </c>
      <c r="L1571" t="n">
        <v>24</v>
      </c>
      <c r="M1571" t="n">
        <v>24</v>
      </c>
      <c r="N1571" t="n">
        <v>24</v>
      </c>
      <c r="O1571" t="n">
        <v>30</v>
      </c>
      <c r="P1571" t="n">
        <v>6</v>
      </c>
      <c r="R1571" s="9" t="n">
        <v>0.06</v>
      </c>
      <c r="S1571" s="10" t="inlineStr">
        <is>
          <t>Absorbido en FF8 (catálogo país se reutiliza)</t>
        </is>
      </c>
      <c r="T1571" s="11" t="n"/>
      <c r="U1571" s="11" t="inlineStr">
        <is>
          <t>DEL BANCO (se hereda)</t>
        </is>
      </c>
      <c r="V1571" s="11" t="n"/>
      <c r="W1571" s="12" t="n"/>
      <c r="X1571" s="12" t="n"/>
    </row>
    <row r="1572" ht="15" customHeight="1">
      <c r="C1572" t="inlineStr">
        <is>
          <t>Envío o recepción de transferencias internacionales</t>
        </is>
      </c>
      <c r="D1572" t="inlineStr">
        <is>
          <t>F26</t>
        </is>
      </c>
      <c r="E1572" t="inlineStr">
        <is>
          <t>TRANSACCIONAL</t>
        </is>
      </c>
      <c r="F1572" t="inlineStr">
        <is>
          <t>CABO VERDE</t>
        </is>
      </c>
      <c r="G1572" t="inlineStr">
        <is>
          <t>CV</t>
        </is>
      </c>
      <c r="H1572" t="n">
        <v>2</v>
      </c>
      <c r="I1572" t="n">
        <v>2</v>
      </c>
      <c r="J1572" t="n">
        <v>6</v>
      </c>
      <c r="K1572" t="n">
        <v>12</v>
      </c>
      <c r="L1572" t="n">
        <v>12</v>
      </c>
      <c r="M1572" t="n">
        <v>12</v>
      </c>
      <c r="N1572" t="n">
        <v>12</v>
      </c>
      <c r="O1572" t="n">
        <v>30</v>
      </c>
      <c r="P1572" t="n">
        <v>6</v>
      </c>
      <c r="R1572" s="9" t="n">
        <v>0.06</v>
      </c>
      <c r="S1572" s="10" t="inlineStr">
        <is>
          <t>Absorbido en FF8 (catálogo país se reutiliza)</t>
        </is>
      </c>
      <c r="T1572" s="11" t="n"/>
      <c r="U1572" s="11" t="inlineStr">
        <is>
          <t>DEL BANCO (se hereda)</t>
        </is>
      </c>
      <c r="V1572" s="11" t="n"/>
      <c r="W1572" s="12" t="n"/>
      <c r="X1572" s="12" t="n"/>
    </row>
    <row r="1573" ht="15" customHeight="1">
      <c r="C1573" t="inlineStr">
        <is>
          <t>Envío o recepción de transferencias internacionales</t>
        </is>
      </c>
      <c r="D1573" t="inlineStr">
        <is>
          <t>F26</t>
        </is>
      </c>
      <c r="E1573" t="inlineStr">
        <is>
          <t>TRANSACCIONAL</t>
        </is>
      </c>
      <c r="F1573" t="inlineStr">
        <is>
          <t>CURACAO</t>
        </is>
      </c>
      <c r="G1573" t="inlineStr">
        <is>
          <t>CW</t>
        </is>
      </c>
      <c r="H1573" t="n">
        <v>3</v>
      </c>
      <c r="I1573" t="n">
        <v>3</v>
      </c>
      <c r="J1573" t="n">
        <v>6</v>
      </c>
      <c r="K1573" t="n">
        <v>18</v>
      </c>
      <c r="L1573" t="n">
        <v>18</v>
      </c>
      <c r="M1573" t="n">
        <v>18</v>
      </c>
      <c r="N1573" t="n">
        <v>18</v>
      </c>
      <c r="O1573" t="n">
        <v>30</v>
      </c>
      <c r="P1573" t="n">
        <v>6</v>
      </c>
      <c r="R1573" s="9" t="n">
        <v>0.06</v>
      </c>
      <c r="S1573" s="10" t="inlineStr">
        <is>
          <t>Absorbido en FF8 (catálogo país se reutiliza)</t>
        </is>
      </c>
      <c r="T1573" s="11" t="n"/>
      <c r="U1573" s="11" t="inlineStr">
        <is>
          <t>DEL BANCO (se hereda)</t>
        </is>
      </c>
      <c r="V1573" s="11" t="n"/>
      <c r="W1573" s="12" t="n"/>
      <c r="X1573" s="12" t="n"/>
    </row>
    <row r="1574" ht="15" customHeight="1">
      <c r="C1574" t="inlineStr">
        <is>
          <t>Envío o recepción de transferencias internacionales</t>
        </is>
      </c>
      <c r="D1574" t="inlineStr">
        <is>
          <t>F26</t>
        </is>
      </c>
      <c r="E1574" t="inlineStr">
        <is>
          <t>TRANSACCIONAL</t>
        </is>
      </c>
      <c r="F1574" t="inlineStr">
        <is>
          <t>ISLA CHRISTMAS</t>
        </is>
      </c>
      <c r="G1574" t="inlineStr">
        <is>
          <t>CX</t>
        </is>
      </c>
      <c r="H1574" t="n">
        <v>1</v>
      </c>
      <c r="I1574" t="n">
        <v>1</v>
      </c>
      <c r="J1574" t="n">
        <v>6</v>
      </c>
      <c r="K1574" t="n">
        <v>6</v>
      </c>
      <c r="L1574" t="n">
        <v>6</v>
      </c>
      <c r="M1574" t="n">
        <v>6</v>
      </c>
      <c r="N1574" t="n">
        <v>6</v>
      </c>
      <c r="O1574" t="n">
        <v>30</v>
      </c>
      <c r="P1574" t="n">
        <v>6</v>
      </c>
      <c r="R1574" s="9" t="n">
        <v>0.06</v>
      </c>
      <c r="S1574" s="10" t="inlineStr">
        <is>
          <t>Absorbido en FF8 (catálogo país se reutiliza)</t>
        </is>
      </c>
      <c r="T1574" s="11" t="n"/>
      <c r="U1574" s="11" t="inlineStr">
        <is>
          <t>DEL BANCO (se hereda)</t>
        </is>
      </c>
      <c r="V1574" s="11" t="n"/>
      <c r="W1574" s="12" t="n"/>
      <c r="X1574" s="12" t="n"/>
    </row>
    <row r="1575" ht="15" customHeight="1">
      <c r="C1575" t="inlineStr">
        <is>
          <t>Envío o recepción de transferencias internacionales</t>
        </is>
      </c>
      <c r="D1575" t="inlineStr">
        <is>
          <t>F26</t>
        </is>
      </c>
      <c r="E1575" t="inlineStr">
        <is>
          <t>TRANSACCIONAL</t>
        </is>
      </c>
      <c r="F1575" t="inlineStr">
        <is>
          <t>CHIPRE</t>
        </is>
      </c>
      <c r="G1575" t="inlineStr">
        <is>
          <t>CY</t>
        </is>
      </c>
      <c r="H1575" t="n">
        <v>1</v>
      </c>
      <c r="I1575" t="n">
        <v>1</v>
      </c>
      <c r="J1575" t="n">
        <v>6</v>
      </c>
      <c r="K1575" t="n">
        <v>6</v>
      </c>
      <c r="L1575" t="n">
        <v>6</v>
      </c>
      <c r="M1575" t="n">
        <v>6</v>
      </c>
      <c r="N1575" t="n">
        <v>6</v>
      </c>
      <c r="O1575" t="n">
        <v>30</v>
      </c>
      <c r="P1575" t="n">
        <v>6</v>
      </c>
      <c r="R1575" s="9" t="n">
        <v>0.06</v>
      </c>
      <c r="S1575" s="10" t="inlineStr">
        <is>
          <t>Absorbido en FF8 (catálogo país se reutiliza)</t>
        </is>
      </c>
      <c r="T1575" s="11" t="n"/>
      <c r="U1575" s="11" t="inlineStr">
        <is>
          <t>DEL BANCO (se hereda)</t>
        </is>
      </c>
      <c r="V1575" s="11" t="n"/>
      <c r="W1575" s="12" t="n"/>
      <c r="X1575" s="12" t="n"/>
    </row>
    <row r="1576" ht="15" customHeight="1">
      <c r="C1576" t="inlineStr">
        <is>
          <t>Envío o recepción de transferencias internacionales</t>
        </is>
      </c>
      <c r="D1576" t="inlineStr">
        <is>
          <t>F26</t>
        </is>
      </c>
      <c r="E1576" t="inlineStr">
        <is>
          <t>TRANSACCIONAL</t>
        </is>
      </c>
      <c r="F1576" t="inlineStr">
        <is>
          <t>REP CHECA, OSTRAVA</t>
        </is>
      </c>
      <c r="G1576" t="inlineStr">
        <is>
          <t>CZ</t>
        </is>
      </c>
      <c r="H1576" t="n">
        <v>1</v>
      </c>
      <c r="I1576" t="n">
        <v>1</v>
      </c>
      <c r="J1576" t="n">
        <v>6</v>
      </c>
      <c r="K1576" t="n">
        <v>6</v>
      </c>
      <c r="L1576" t="n">
        <v>6</v>
      </c>
      <c r="M1576" t="n">
        <v>6</v>
      </c>
      <c r="N1576" t="n">
        <v>6</v>
      </c>
      <c r="O1576" t="n">
        <v>30</v>
      </c>
      <c r="P1576" t="n">
        <v>6</v>
      </c>
      <c r="R1576" s="9" t="n">
        <v>0.06</v>
      </c>
      <c r="S1576" s="10" t="inlineStr">
        <is>
          <t>Absorbido en FF8 (catálogo país se reutiliza)</t>
        </is>
      </c>
      <c r="T1576" s="11" t="n"/>
      <c r="U1576" s="11" t="inlineStr">
        <is>
          <t>DEL BANCO (se hereda)</t>
        </is>
      </c>
      <c r="V1576" s="11" t="n"/>
      <c r="W1576" s="12" t="n"/>
      <c r="X1576" s="12" t="n"/>
    </row>
    <row r="1577" ht="15" customHeight="1">
      <c r="C1577" t="inlineStr">
        <is>
          <t>Envío o recepción de transferencias internacionales</t>
        </is>
      </c>
      <c r="D1577" t="inlineStr">
        <is>
          <t>F26</t>
        </is>
      </c>
      <c r="E1577" t="inlineStr">
        <is>
          <t>TRANSACCIONAL</t>
        </is>
      </c>
      <c r="F1577" t="inlineStr">
        <is>
          <t>ALEMANIA</t>
        </is>
      </c>
      <c r="G1577" t="inlineStr">
        <is>
          <t>DE</t>
        </is>
      </c>
      <c r="H1577" t="n">
        <v>1</v>
      </c>
      <c r="I1577" t="n">
        <v>1</v>
      </c>
      <c r="J1577" t="n">
        <v>6</v>
      </c>
      <c r="K1577" t="n">
        <v>6</v>
      </c>
      <c r="L1577" t="n">
        <v>6</v>
      </c>
      <c r="M1577" t="n">
        <v>6</v>
      </c>
      <c r="N1577" t="n">
        <v>6</v>
      </c>
      <c r="O1577" t="n">
        <v>30</v>
      </c>
      <c r="P1577" t="n">
        <v>6</v>
      </c>
      <c r="R1577" s="9" t="n">
        <v>0.06</v>
      </c>
      <c r="S1577" s="10" t="inlineStr">
        <is>
          <t>Absorbido en FF8 (catálogo país se reutiliza)</t>
        </is>
      </c>
      <c r="T1577" s="11" t="n"/>
      <c r="U1577" s="11" t="inlineStr">
        <is>
          <t>DEL BANCO (se hereda)</t>
        </is>
      </c>
      <c r="V1577" s="11" t="n"/>
      <c r="W1577" s="12" t="n"/>
      <c r="X1577" s="12" t="n"/>
    </row>
    <row r="1578" ht="15" customHeight="1">
      <c r="C1578" t="inlineStr">
        <is>
          <t>Envío o recepción de transferencias internacionales</t>
        </is>
      </c>
      <c r="D1578" t="inlineStr">
        <is>
          <t>F26</t>
        </is>
      </c>
      <c r="E1578" t="inlineStr">
        <is>
          <t>TRANSACCIONAL</t>
        </is>
      </c>
      <c r="F1578" t="inlineStr">
        <is>
          <t>DJIBOUTI</t>
        </is>
      </c>
      <c r="G1578" t="inlineStr">
        <is>
          <t>DJ</t>
        </is>
      </c>
      <c r="H1578" t="n">
        <v>4</v>
      </c>
      <c r="I1578" t="n">
        <v>4</v>
      </c>
      <c r="J1578" t="n">
        <v>6</v>
      </c>
      <c r="K1578" t="n">
        <v>24</v>
      </c>
      <c r="L1578" t="n">
        <v>24</v>
      </c>
      <c r="M1578" t="n">
        <v>24</v>
      </c>
      <c r="N1578" t="n">
        <v>24</v>
      </c>
      <c r="O1578" t="n">
        <v>30</v>
      </c>
      <c r="P1578" t="n">
        <v>6</v>
      </c>
      <c r="R1578" s="9" t="n">
        <v>0.06</v>
      </c>
      <c r="S1578" s="10" t="inlineStr">
        <is>
          <t>Absorbido en FF8 (catálogo país se reutiliza)</t>
        </is>
      </c>
      <c r="T1578" s="11" t="n"/>
      <c r="U1578" s="11" t="inlineStr">
        <is>
          <t>DEL BANCO (se hereda)</t>
        </is>
      </c>
      <c r="V1578" s="11" t="n"/>
      <c r="W1578" s="12" t="n"/>
      <c r="X1578" s="12" t="n"/>
    </row>
    <row r="1579" ht="15" customHeight="1">
      <c r="C1579" t="inlineStr">
        <is>
          <t>Envío o recepción de transferencias internacionales</t>
        </is>
      </c>
      <c r="D1579" t="inlineStr">
        <is>
          <t>F26</t>
        </is>
      </c>
      <c r="E1579" t="inlineStr">
        <is>
          <t>TRANSACCIONAL</t>
        </is>
      </c>
      <c r="F1579" t="inlineStr">
        <is>
          <t>DINAMARCA</t>
        </is>
      </c>
      <c r="G1579" t="inlineStr">
        <is>
          <t>DK</t>
        </is>
      </c>
      <c r="H1579" t="n">
        <v>1</v>
      </c>
      <c r="I1579" t="n">
        <v>1</v>
      </c>
      <c r="J1579" t="n">
        <v>6</v>
      </c>
      <c r="K1579" t="n">
        <v>6</v>
      </c>
      <c r="L1579" t="n">
        <v>6</v>
      </c>
      <c r="M1579" t="n">
        <v>6</v>
      </c>
      <c r="N1579" t="n">
        <v>6</v>
      </c>
      <c r="O1579" t="n">
        <v>30</v>
      </c>
      <c r="P1579" t="n">
        <v>6</v>
      </c>
      <c r="R1579" s="9" t="n">
        <v>0.06</v>
      </c>
      <c r="S1579" s="10" t="inlineStr">
        <is>
          <t>Absorbido en FF8 (catálogo país se reutiliza)</t>
        </is>
      </c>
      <c r="T1579" s="11" t="n"/>
      <c r="U1579" s="11" t="inlineStr">
        <is>
          <t>DEL BANCO (se hereda)</t>
        </is>
      </c>
      <c r="V1579" s="11" t="n"/>
      <c r="W1579" s="12" t="n"/>
      <c r="X1579" s="12" t="n"/>
    </row>
    <row r="1580" ht="15" customHeight="1">
      <c r="C1580" t="inlineStr">
        <is>
          <t>Envío o recepción de transferencias internacionales</t>
        </is>
      </c>
      <c r="D1580" t="inlineStr">
        <is>
          <t>F26</t>
        </is>
      </c>
      <c r="E1580" t="inlineStr">
        <is>
          <t>TRANSACCIONAL</t>
        </is>
      </c>
      <c r="F1580" t="inlineStr">
        <is>
          <t>DOMINICA</t>
        </is>
      </c>
      <c r="G1580" t="inlineStr">
        <is>
          <t>DM</t>
        </is>
      </c>
      <c r="H1580" t="n">
        <v>3</v>
      </c>
      <c r="I1580" t="n">
        <v>3</v>
      </c>
      <c r="J1580" t="n">
        <v>6</v>
      </c>
      <c r="K1580" t="n">
        <v>18</v>
      </c>
      <c r="L1580" t="n">
        <v>18</v>
      </c>
      <c r="M1580" t="n">
        <v>18</v>
      </c>
      <c r="N1580" t="n">
        <v>18</v>
      </c>
      <c r="O1580" t="n">
        <v>30</v>
      </c>
      <c r="P1580" t="n">
        <v>6</v>
      </c>
      <c r="R1580" s="9" t="n">
        <v>0.06</v>
      </c>
      <c r="S1580" s="10" t="inlineStr">
        <is>
          <t>Absorbido en FF8 (catálogo país se reutiliza)</t>
        </is>
      </c>
      <c r="T1580" s="11" t="n"/>
      <c r="U1580" s="11" t="inlineStr">
        <is>
          <t>DEL BANCO (se hereda)</t>
        </is>
      </c>
      <c r="V1580" s="11" t="n"/>
      <c r="W1580" s="12" t="n"/>
      <c r="X1580" s="12" t="n"/>
    </row>
    <row r="1581" ht="15" customHeight="1">
      <c r="C1581" t="inlineStr">
        <is>
          <t>Envío o recepción de transferencias internacionales</t>
        </is>
      </c>
      <c r="D1581" t="inlineStr">
        <is>
          <t>F26</t>
        </is>
      </c>
      <c r="E1581" t="inlineStr">
        <is>
          <t>TRANSACCIONAL</t>
        </is>
      </c>
      <c r="F1581" t="inlineStr">
        <is>
          <t>DOMINICANA</t>
        </is>
      </c>
      <c r="G1581" t="inlineStr">
        <is>
          <t>DO</t>
        </is>
      </c>
      <c r="H1581" t="n">
        <v>2</v>
      </c>
      <c r="I1581" t="n">
        <v>2</v>
      </c>
      <c r="J1581" t="n">
        <v>6</v>
      </c>
      <c r="K1581" t="n">
        <v>12</v>
      </c>
      <c r="L1581" t="n">
        <v>12</v>
      </c>
      <c r="M1581" t="n">
        <v>12</v>
      </c>
      <c r="N1581" t="n">
        <v>12</v>
      </c>
      <c r="O1581" t="n">
        <v>30</v>
      </c>
      <c r="P1581" t="n">
        <v>6</v>
      </c>
      <c r="R1581" s="9" t="n">
        <v>0.06</v>
      </c>
      <c r="S1581" s="10" t="inlineStr">
        <is>
          <t>Absorbido en FF8 (catálogo país se reutiliza)</t>
        </is>
      </c>
      <c r="T1581" s="11" t="n"/>
      <c r="U1581" s="11" t="inlineStr">
        <is>
          <t>DEL BANCO (se hereda)</t>
        </is>
      </c>
      <c r="V1581" s="11" t="n"/>
      <c r="W1581" s="12" t="n"/>
      <c r="X1581" s="12" t="n"/>
    </row>
    <row r="1582" ht="15" customHeight="1">
      <c r="C1582" t="inlineStr">
        <is>
          <t>Envío o recepción de transferencias internacionales</t>
        </is>
      </c>
      <c r="D1582" t="inlineStr">
        <is>
          <t>F26</t>
        </is>
      </c>
      <c r="E1582" t="inlineStr">
        <is>
          <t>TRANSACCIONAL</t>
        </is>
      </c>
      <c r="F1582" t="inlineStr">
        <is>
          <t>ARGELIA</t>
        </is>
      </c>
      <c r="G1582" t="inlineStr">
        <is>
          <t>DZ</t>
        </is>
      </c>
      <c r="H1582" t="n">
        <v>4</v>
      </c>
      <c r="I1582" t="n">
        <v>4</v>
      </c>
      <c r="J1582" t="n">
        <v>6</v>
      </c>
      <c r="K1582" t="n">
        <v>24</v>
      </c>
      <c r="L1582" t="n">
        <v>24</v>
      </c>
      <c r="M1582" t="n">
        <v>24</v>
      </c>
      <c r="N1582" t="n">
        <v>24</v>
      </c>
      <c r="O1582" t="n">
        <v>30</v>
      </c>
      <c r="P1582" t="n">
        <v>6</v>
      </c>
      <c r="Q1582" t="inlineStr">
        <is>
          <t>DETERMINANTE</t>
        </is>
      </c>
      <c r="R1582" s="9" t="n">
        <v>0.06</v>
      </c>
      <c r="S1582" s="10" t="inlineStr">
        <is>
          <t>Absorbido en FF8 (catálogo país se reutiliza)</t>
        </is>
      </c>
      <c r="T1582" s="11" t="n"/>
      <c r="U1582" s="11" t="inlineStr">
        <is>
          <t>DEL BANCO (se hereda)</t>
        </is>
      </c>
      <c r="V1582" s="11" t="n"/>
      <c r="W1582" s="12" t="n"/>
      <c r="X1582" s="12" t="n"/>
    </row>
    <row r="1583" ht="15" customHeight="1">
      <c r="C1583" t="inlineStr">
        <is>
          <t>Envío o recepción de transferencias internacionales</t>
        </is>
      </c>
      <c r="D1583" t="inlineStr">
        <is>
          <t>F26</t>
        </is>
      </c>
      <c r="E1583" t="inlineStr">
        <is>
          <t>TRANSACCIONAL</t>
        </is>
      </c>
      <c r="F1583" t="inlineStr">
        <is>
          <t>ECUADOR</t>
        </is>
      </c>
      <c r="G1583" t="inlineStr">
        <is>
          <t>EC</t>
        </is>
      </c>
      <c r="H1583" t="n">
        <v>2</v>
      </c>
      <c r="I1583" t="n">
        <v>2</v>
      </c>
      <c r="J1583" t="n">
        <v>6</v>
      </c>
      <c r="K1583" t="n">
        <v>12</v>
      </c>
      <c r="L1583" t="n">
        <v>12</v>
      </c>
      <c r="M1583" t="n">
        <v>12</v>
      </c>
      <c r="N1583" t="n">
        <v>12</v>
      </c>
      <c r="O1583" t="n">
        <v>30</v>
      </c>
      <c r="P1583" t="n">
        <v>6</v>
      </c>
      <c r="R1583" s="9" t="n">
        <v>0.06</v>
      </c>
      <c r="S1583" s="10" t="inlineStr">
        <is>
          <t>Absorbido en FF8 (catálogo país se reutiliza)</t>
        </is>
      </c>
      <c r="T1583" s="11" t="n"/>
      <c r="U1583" s="11" t="inlineStr">
        <is>
          <t>DEL BANCO (se hereda)</t>
        </is>
      </c>
      <c r="V1583" s="11" t="n"/>
      <c r="W1583" s="12" t="n"/>
      <c r="X1583" s="12" t="n"/>
    </row>
    <row r="1584" ht="15" customHeight="1">
      <c r="C1584" t="inlineStr">
        <is>
          <t>Envío o recepción de transferencias internacionales</t>
        </is>
      </c>
      <c r="D1584" t="inlineStr">
        <is>
          <t>F26</t>
        </is>
      </c>
      <c r="E1584" t="inlineStr">
        <is>
          <t>TRANSACCIONAL</t>
        </is>
      </c>
      <c r="F1584" t="inlineStr">
        <is>
          <t>ESTONIA</t>
        </is>
      </c>
      <c r="G1584" t="inlineStr">
        <is>
          <t>EE</t>
        </is>
      </c>
      <c r="H1584" t="n">
        <v>1</v>
      </c>
      <c r="I1584" t="n">
        <v>1</v>
      </c>
      <c r="J1584" t="n">
        <v>6</v>
      </c>
      <c r="K1584" t="n">
        <v>6</v>
      </c>
      <c r="L1584" t="n">
        <v>6</v>
      </c>
      <c r="M1584" t="n">
        <v>6</v>
      </c>
      <c r="N1584" t="n">
        <v>6</v>
      </c>
      <c r="O1584" t="n">
        <v>30</v>
      </c>
      <c r="P1584" t="n">
        <v>6</v>
      </c>
      <c r="R1584" s="9" t="n">
        <v>0.06</v>
      </c>
      <c r="S1584" s="10" t="inlineStr">
        <is>
          <t>Absorbido en FF8 (catálogo país se reutiliza)</t>
        </is>
      </c>
      <c r="T1584" s="11" t="n"/>
      <c r="U1584" s="11" t="inlineStr">
        <is>
          <t>DEL BANCO (se hereda)</t>
        </is>
      </c>
      <c r="V1584" s="11" t="n"/>
      <c r="W1584" s="12" t="n"/>
      <c r="X1584" s="12" t="n"/>
    </row>
    <row r="1585" ht="15" customHeight="1">
      <c r="C1585" t="inlineStr">
        <is>
          <t>Envío o recepción de transferencias internacionales</t>
        </is>
      </c>
      <c r="D1585" t="inlineStr">
        <is>
          <t>F26</t>
        </is>
      </c>
      <c r="E1585" t="inlineStr">
        <is>
          <t>TRANSACCIONAL</t>
        </is>
      </c>
      <c r="F1585" t="inlineStr">
        <is>
          <t>EGIPTO</t>
        </is>
      </c>
      <c r="G1585" t="inlineStr">
        <is>
          <t>EG</t>
        </is>
      </c>
      <c r="H1585" t="n">
        <v>2</v>
      </c>
      <c r="I1585" t="n">
        <v>2</v>
      </c>
      <c r="J1585" t="n">
        <v>6</v>
      </c>
      <c r="K1585" t="n">
        <v>12</v>
      </c>
      <c r="L1585" t="n">
        <v>12</v>
      </c>
      <c r="M1585" t="n">
        <v>12</v>
      </c>
      <c r="N1585" t="n">
        <v>12</v>
      </c>
      <c r="O1585" t="n">
        <v>30</v>
      </c>
      <c r="P1585" t="n">
        <v>6</v>
      </c>
      <c r="R1585" s="9" t="n">
        <v>0.06</v>
      </c>
      <c r="S1585" s="10" t="inlineStr">
        <is>
          <t>Absorbido en FF8 (catálogo país se reutiliza)</t>
        </is>
      </c>
      <c r="T1585" s="11" t="n"/>
      <c r="U1585" s="11" t="inlineStr">
        <is>
          <t>DEL BANCO (se hereda)</t>
        </is>
      </c>
      <c r="V1585" s="11" t="n"/>
      <c r="W1585" s="12" t="n"/>
      <c r="X1585" s="12" t="n"/>
    </row>
    <row r="1586" ht="15" customHeight="1">
      <c r="C1586" t="inlineStr">
        <is>
          <t>Envío o recepción de transferencias internacionales</t>
        </is>
      </c>
      <c r="D1586" t="inlineStr">
        <is>
          <t>F26</t>
        </is>
      </c>
      <c r="E1586" t="inlineStr">
        <is>
          <t>TRANSACCIONAL</t>
        </is>
      </c>
      <c r="F1586" t="inlineStr">
        <is>
          <t>SAHARA OCCIDENT</t>
        </is>
      </c>
      <c r="G1586" t="inlineStr">
        <is>
          <t>EH</t>
        </is>
      </c>
      <c r="H1586" t="n">
        <v>1</v>
      </c>
      <c r="I1586" t="n">
        <v>1</v>
      </c>
      <c r="J1586" t="n">
        <v>6</v>
      </c>
      <c r="K1586" t="n">
        <v>6</v>
      </c>
      <c r="L1586" t="n">
        <v>6</v>
      </c>
      <c r="M1586" t="n">
        <v>6</v>
      </c>
      <c r="N1586" t="n">
        <v>6</v>
      </c>
      <c r="O1586" t="n">
        <v>30</v>
      </c>
      <c r="P1586" t="n">
        <v>6</v>
      </c>
      <c r="R1586" s="9" t="n">
        <v>0.06</v>
      </c>
      <c r="S1586" s="10" t="inlineStr">
        <is>
          <t>Absorbido en FF8 (catálogo país se reutiliza)</t>
        </is>
      </c>
      <c r="T1586" s="11" t="n"/>
      <c r="U1586" s="11" t="inlineStr">
        <is>
          <t>DEL BANCO (se hereda)</t>
        </is>
      </c>
      <c r="V1586" s="11" t="n"/>
      <c r="W1586" s="12" t="n"/>
      <c r="X1586" s="12" t="n"/>
    </row>
    <row r="1587" ht="15" customHeight="1">
      <c r="C1587" t="inlineStr">
        <is>
          <t>Envío o recepción de transferencias internacionales</t>
        </is>
      </c>
      <c r="D1587" t="inlineStr">
        <is>
          <t>F26</t>
        </is>
      </c>
      <c r="E1587" t="inlineStr">
        <is>
          <t>TRANSACCIONAL</t>
        </is>
      </c>
      <c r="F1587" t="inlineStr">
        <is>
          <t>ERITREA</t>
        </is>
      </c>
      <c r="G1587" t="inlineStr">
        <is>
          <t>ER</t>
        </is>
      </c>
      <c r="H1587" t="n">
        <v>4</v>
      </c>
      <c r="I1587" t="n">
        <v>4</v>
      </c>
      <c r="J1587" t="n">
        <v>6</v>
      </c>
      <c r="K1587" t="n">
        <v>24</v>
      </c>
      <c r="L1587" t="n">
        <v>24</v>
      </c>
      <c r="M1587" t="n">
        <v>24</v>
      </c>
      <c r="N1587" t="n">
        <v>24</v>
      </c>
      <c r="O1587" t="n">
        <v>30</v>
      </c>
      <c r="P1587" t="n">
        <v>6</v>
      </c>
      <c r="R1587" s="9" t="n">
        <v>0.06</v>
      </c>
      <c r="S1587" s="10" t="inlineStr">
        <is>
          <t>Absorbido en FF8 (catálogo país se reutiliza)</t>
        </is>
      </c>
      <c r="T1587" s="11" t="n"/>
      <c r="U1587" s="11" t="inlineStr">
        <is>
          <t>DEL BANCO (se hereda)</t>
        </is>
      </c>
      <c r="V1587" s="11" t="n"/>
      <c r="W1587" s="12" t="n"/>
      <c r="X1587" s="12" t="n"/>
    </row>
    <row r="1588" ht="15" customHeight="1">
      <c r="C1588" t="inlineStr">
        <is>
          <t>Envío o recepción de transferencias internacionales</t>
        </is>
      </c>
      <c r="D1588" t="inlineStr">
        <is>
          <t>F26</t>
        </is>
      </c>
      <c r="E1588" t="inlineStr">
        <is>
          <t>TRANSACCIONAL</t>
        </is>
      </c>
      <c r="F1588" t="inlineStr">
        <is>
          <t>ESPANA</t>
        </is>
      </c>
      <c r="G1588" t="inlineStr">
        <is>
          <t>ES</t>
        </is>
      </c>
      <c r="H1588" t="n">
        <v>1</v>
      </c>
      <c r="I1588" t="n">
        <v>1</v>
      </c>
      <c r="J1588" t="n">
        <v>6</v>
      </c>
      <c r="K1588" t="n">
        <v>6</v>
      </c>
      <c r="L1588" t="n">
        <v>6</v>
      </c>
      <c r="M1588" t="n">
        <v>6</v>
      </c>
      <c r="N1588" t="n">
        <v>6</v>
      </c>
      <c r="O1588" t="n">
        <v>30</v>
      </c>
      <c r="P1588" t="n">
        <v>6</v>
      </c>
      <c r="R1588" s="9" t="n">
        <v>0.06</v>
      </c>
      <c r="S1588" s="10" t="inlineStr">
        <is>
          <t>Absorbido en FF8 (catálogo país se reutiliza)</t>
        </is>
      </c>
      <c r="T1588" s="11" t="n"/>
      <c r="U1588" s="11" t="inlineStr">
        <is>
          <t>DEL BANCO (se hereda)</t>
        </is>
      </c>
      <c r="V1588" s="11" t="n"/>
      <c r="W1588" s="12" t="n"/>
      <c r="X1588" s="12" t="n"/>
    </row>
    <row r="1589" ht="15" customHeight="1">
      <c r="C1589" t="inlineStr">
        <is>
          <t>Envío o recepción de transferencias internacionales</t>
        </is>
      </c>
      <c r="D1589" t="inlineStr">
        <is>
          <t>F26</t>
        </is>
      </c>
      <c r="E1589" t="inlineStr">
        <is>
          <t>TRANSACCIONAL</t>
        </is>
      </c>
      <c r="F1589" t="inlineStr">
        <is>
          <t>ETIOPIA</t>
        </is>
      </c>
      <c r="G1589" t="inlineStr">
        <is>
          <t>ET</t>
        </is>
      </c>
      <c r="H1589" t="n">
        <v>3</v>
      </c>
      <c r="I1589" t="n">
        <v>3</v>
      </c>
      <c r="J1589" t="n">
        <v>6</v>
      </c>
      <c r="K1589" t="n">
        <v>18</v>
      </c>
      <c r="L1589" t="n">
        <v>18</v>
      </c>
      <c r="M1589" t="n">
        <v>18</v>
      </c>
      <c r="N1589" t="n">
        <v>18</v>
      </c>
      <c r="O1589" t="n">
        <v>30</v>
      </c>
      <c r="P1589" t="n">
        <v>6</v>
      </c>
      <c r="R1589" s="9" t="n">
        <v>0.06</v>
      </c>
      <c r="S1589" s="10" t="inlineStr">
        <is>
          <t>Absorbido en FF8 (catálogo país se reutiliza)</t>
        </is>
      </c>
      <c r="T1589" s="11" t="n"/>
      <c r="U1589" s="11" t="inlineStr">
        <is>
          <t>DEL BANCO (se hereda)</t>
        </is>
      </c>
      <c r="V1589" s="11" t="n"/>
      <c r="W1589" s="12" t="n"/>
      <c r="X1589" s="12" t="n"/>
    </row>
    <row r="1590" ht="15" customHeight="1">
      <c r="C1590" t="inlineStr">
        <is>
          <t>Envío o recepción de transferencias internacionales</t>
        </is>
      </c>
      <c r="D1590" t="inlineStr">
        <is>
          <t>F26</t>
        </is>
      </c>
      <c r="E1590" t="inlineStr">
        <is>
          <t>TRANSACCIONAL</t>
        </is>
      </c>
      <c r="F1590" t="inlineStr">
        <is>
          <t>PAIES EUR</t>
        </is>
      </c>
      <c r="G1590" t="inlineStr">
        <is>
          <t>EU</t>
        </is>
      </c>
      <c r="H1590" t="n">
        <v>1</v>
      </c>
      <c r="I1590" t="n">
        <v>1</v>
      </c>
      <c r="J1590" t="n">
        <v>6</v>
      </c>
      <c r="K1590" t="n">
        <v>6</v>
      </c>
      <c r="L1590" t="n">
        <v>6</v>
      </c>
      <c r="M1590" t="n">
        <v>6</v>
      </c>
      <c r="N1590" t="n">
        <v>6</v>
      </c>
      <c r="O1590" t="n">
        <v>30</v>
      </c>
      <c r="P1590" t="n">
        <v>6</v>
      </c>
      <c r="R1590" s="9" t="n">
        <v>0.06</v>
      </c>
      <c r="S1590" s="10" t="inlineStr">
        <is>
          <t>Absorbido en FF8 (catálogo país se reutiliza)</t>
        </is>
      </c>
      <c r="T1590" s="11" t="n"/>
      <c r="U1590" s="11" t="inlineStr">
        <is>
          <t>DEL BANCO (se hereda)</t>
        </is>
      </c>
      <c r="V1590" s="11" t="n"/>
      <c r="W1590" s="12" t="n"/>
      <c r="X1590" s="12" t="n"/>
    </row>
    <row r="1591" ht="15" customHeight="1">
      <c r="C1591" t="inlineStr">
        <is>
          <t>Envío o recepción de transferencias internacionales</t>
        </is>
      </c>
      <c r="D1591" t="inlineStr">
        <is>
          <t>F26</t>
        </is>
      </c>
      <c r="E1591" t="inlineStr">
        <is>
          <t>TRANSACCIONAL</t>
        </is>
      </c>
      <c r="F1591" t="inlineStr">
        <is>
          <t>FINLANDIA</t>
        </is>
      </c>
      <c r="G1591" t="inlineStr">
        <is>
          <t>FI</t>
        </is>
      </c>
      <c r="H1591" t="n">
        <v>1</v>
      </c>
      <c r="I1591" t="n">
        <v>1</v>
      </c>
      <c r="J1591" t="n">
        <v>6</v>
      </c>
      <c r="K1591" t="n">
        <v>6</v>
      </c>
      <c r="L1591" t="n">
        <v>6</v>
      </c>
      <c r="M1591" t="n">
        <v>6</v>
      </c>
      <c r="N1591" t="n">
        <v>6</v>
      </c>
      <c r="O1591" t="n">
        <v>30</v>
      </c>
      <c r="P1591" t="n">
        <v>6</v>
      </c>
      <c r="R1591" s="9" t="n">
        <v>0.06</v>
      </c>
      <c r="S1591" s="10" t="inlineStr">
        <is>
          <t>Absorbido en FF8 (catálogo país se reutiliza)</t>
        </is>
      </c>
      <c r="T1591" s="11" t="n"/>
      <c r="U1591" s="11" t="inlineStr">
        <is>
          <t>DEL BANCO (se hereda)</t>
        </is>
      </c>
      <c r="V1591" s="11" t="n"/>
      <c r="W1591" s="12" t="n"/>
      <c r="X1591" s="12" t="n"/>
    </row>
    <row r="1592" ht="15" customHeight="1">
      <c r="C1592" t="inlineStr">
        <is>
          <t>Envío o recepción de transferencias internacionales</t>
        </is>
      </c>
      <c r="D1592" t="inlineStr">
        <is>
          <t>F26</t>
        </is>
      </c>
      <c r="E1592" t="inlineStr">
        <is>
          <t>TRANSACCIONAL</t>
        </is>
      </c>
      <c r="F1592" t="inlineStr">
        <is>
          <t>ISLAS FIDJI</t>
        </is>
      </c>
      <c r="G1592" t="inlineStr">
        <is>
          <t>FJ</t>
        </is>
      </c>
      <c r="H1592" t="n">
        <v>1</v>
      </c>
      <c r="I1592" t="n">
        <v>1</v>
      </c>
      <c r="J1592" t="n">
        <v>6</v>
      </c>
      <c r="K1592" t="n">
        <v>6</v>
      </c>
      <c r="L1592" t="n">
        <v>6</v>
      </c>
      <c r="M1592" t="n">
        <v>6</v>
      </c>
      <c r="N1592" t="n">
        <v>6</v>
      </c>
      <c r="O1592" t="n">
        <v>30</v>
      </c>
      <c r="P1592" t="n">
        <v>6</v>
      </c>
      <c r="R1592" s="9" t="n">
        <v>0.06</v>
      </c>
      <c r="S1592" s="10" t="inlineStr">
        <is>
          <t>Absorbido en FF8 (catálogo país se reutiliza)</t>
        </is>
      </c>
      <c r="T1592" s="11" t="n"/>
      <c r="U1592" s="11" t="inlineStr">
        <is>
          <t>DEL BANCO (se hereda)</t>
        </is>
      </c>
      <c r="V1592" s="11" t="n"/>
      <c r="W1592" s="12" t="n"/>
      <c r="X1592" s="12" t="n"/>
    </row>
    <row r="1593" ht="15" customHeight="1">
      <c r="C1593" t="inlineStr">
        <is>
          <t>Envío o recepción de transferencias internacionales</t>
        </is>
      </c>
      <c r="D1593" t="inlineStr">
        <is>
          <t>F26</t>
        </is>
      </c>
      <c r="E1593" t="inlineStr">
        <is>
          <t>TRANSACCIONAL</t>
        </is>
      </c>
      <c r="F1593" t="inlineStr">
        <is>
          <t>ISLAS MALVINAS</t>
        </is>
      </c>
      <c r="G1593" t="inlineStr">
        <is>
          <t>FK</t>
        </is>
      </c>
      <c r="H1593" t="n">
        <v>1</v>
      </c>
      <c r="I1593" t="n">
        <v>1</v>
      </c>
      <c r="J1593" t="n">
        <v>6</v>
      </c>
      <c r="K1593" t="n">
        <v>6</v>
      </c>
      <c r="L1593" t="n">
        <v>6</v>
      </c>
      <c r="M1593" t="n">
        <v>6</v>
      </c>
      <c r="N1593" t="n">
        <v>6</v>
      </c>
      <c r="O1593" t="n">
        <v>30</v>
      </c>
      <c r="P1593" t="n">
        <v>6</v>
      </c>
      <c r="R1593" s="9" t="n">
        <v>0.06</v>
      </c>
      <c r="S1593" s="10" t="inlineStr">
        <is>
          <t>Absorbido en FF8 (catálogo país se reutiliza)</t>
        </is>
      </c>
      <c r="T1593" s="11" t="n"/>
      <c r="U1593" s="11" t="inlineStr">
        <is>
          <t>DEL BANCO (se hereda)</t>
        </is>
      </c>
      <c r="V1593" s="11" t="n"/>
      <c r="W1593" s="12" t="n"/>
      <c r="X1593" s="12" t="n"/>
    </row>
    <row r="1594" ht="15" customHeight="1">
      <c r="C1594" t="inlineStr">
        <is>
          <t>Envío o recepción de transferencias internacionales</t>
        </is>
      </c>
      <c r="D1594" t="inlineStr">
        <is>
          <t>F26</t>
        </is>
      </c>
      <c r="E1594" t="inlineStr">
        <is>
          <t>TRANSACCIONAL</t>
        </is>
      </c>
      <c r="F1594" t="inlineStr">
        <is>
          <t>MICRONESIA</t>
        </is>
      </c>
      <c r="G1594" t="inlineStr">
        <is>
          <t>FM</t>
        </is>
      </c>
      <c r="H1594" t="n">
        <v>1</v>
      </c>
      <c r="I1594" t="n">
        <v>1</v>
      </c>
      <c r="J1594" t="n">
        <v>6</v>
      </c>
      <c r="K1594" t="n">
        <v>6</v>
      </c>
      <c r="L1594" t="n">
        <v>6</v>
      </c>
      <c r="M1594" t="n">
        <v>6</v>
      </c>
      <c r="N1594" t="n">
        <v>6</v>
      </c>
      <c r="O1594" t="n">
        <v>30</v>
      </c>
      <c r="P1594" t="n">
        <v>6</v>
      </c>
      <c r="R1594" s="9" t="n">
        <v>0.06</v>
      </c>
      <c r="S1594" s="10" t="inlineStr">
        <is>
          <t>Absorbido en FF8 (catálogo país se reutiliza)</t>
        </is>
      </c>
      <c r="T1594" s="11" t="n"/>
      <c r="U1594" s="11" t="inlineStr">
        <is>
          <t>DEL BANCO (se hereda)</t>
        </is>
      </c>
      <c r="V1594" s="11" t="n"/>
      <c r="W1594" s="12" t="n"/>
      <c r="X1594" s="12" t="n"/>
    </row>
    <row r="1595" ht="15" customHeight="1">
      <c r="C1595" t="inlineStr">
        <is>
          <t>Envío o recepción de transferencias internacionales</t>
        </is>
      </c>
      <c r="D1595" t="inlineStr">
        <is>
          <t>F26</t>
        </is>
      </c>
      <c r="E1595" t="inlineStr">
        <is>
          <t>TRANSACCIONAL</t>
        </is>
      </c>
      <c r="F1595" t="inlineStr">
        <is>
          <t>ISLAS PACIFICO</t>
        </is>
      </c>
      <c r="G1595" t="inlineStr">
        <is>
          <t>FO</t>
        </is>
      </c>
      <c r="H1595" t="n">
        <v>1</v>
      </c>
      <c r="I1595" t="n">
        <v>1</v>
      </c>
      <c r="J1595" t="n">
        <v>6</v>
      </c>
      <c r="K1595" t="n">
        <v>6</v>
      </c>
      <c r="L1595" t="n">
        <v>6</v>
      </c>
      <c r="M1595" t="n">
        <v>6</v>
      </c>
      <c r="N1595" t="n">
        <v>6</v>
      </c>
      <c r="O1595" t="n">
        <v>30</v>
      </c>
      <c r="P1595" t="n">
        <v>6</v>
      </c>
      <c r="R1595" s="9" t="n">
        <v>0.06</v>
      </c>
      <c r="S1595" s="10" t="inlineStr">
        <is>
          <t>Absorbido en FF8 (catálogo país se reutiliza)</t>
        </is>
      </c>
      <c r="T1595" s="11" t="n"/>
      <c r="U1595" s="11" t="inlineStr">
        <is>
          <t>DEL BANCO (se hereda)</t>
        </is>
      </c>
      <c r="V1595" s="11" t="n"/>
      <c r="W1595" s="12" t="n"/>
      <c r="X1595" s="12" t="n"/>
    </row>
    <row r="1596" ht="15" customHeight="1">
      <c r="C1596" t="inlineStr">
        <is>
          <t>Envío o recepción de transferencias internacionales</t>
        </is>
      </c>
      <c r="D1596" t="inlineStr">
        <is>
          <t>F26</t>
        </is>
      </c>
      <c r="E1596" t="inlineStr">
        <is>
          <t>TRANSACCIONAL</t>
        </is>
      </c>
      <c r="F1596" t="inlineStr">
        <is>
          <t>FRANCIA</t>
        </is>
      </c>
      <c r="G1596" t="inlineStr">
        <is>
          <t>FR</t>
        </is>
      </c>
      <c r="H1596" t="n">
        <v>1</v>
      </c>
      <c r="I1596" t="n">
        <v>1</v>
      </c>
      <c r="J1596" t="n">
        <v>6</v>
      </c>
      <c r="K1596" t="n">
        <v>6</v>
      </c>
      <c r="L1596" t="n">
        <v>6</v>
      </c>
      <c r="M1596" t="n">
        <v>6</v>
      </c>
      <c r="N1596" t="n">
        <v>6</v>
      </c>
      <c r="O1596" t="n">
        <v>30</v>
      </c>
      <c r="P1596" t="n">
        <v>6</v>
      </c>
      <c r="R1596" s="9" t="n">
        <v>0.06</v>
      </c>
      <c r="S1596" s="10" t="inlineStr">
        <is>
          <t>Absorbido en FF8 (catálogo país se reutiliza)</t>
        </is>
      </c>
      <c r="T1596" s="11" t="n"/>
      <c r="U1596" s="11" t="inlineStr">
        <is>
          <t>DEL BANCO (se hereda)</t>
        </is>
      </c>
      <c r="V1596" s="11" t="n"/>
      <c r="W1596" s="12" t="n"/>
      <c r="X1596" s="12" t="n"/>
    </row>
    <row r="1597" ht="15" customHeight="1">
      <c r="C1597" t="inlineStr">
        <is>
          <t>Envío o recepción de transferencias internacionales</t>
        </is>
      </c>
      <c r="D1597" t="inlineStr">
        <is>
          <t>F26</t>
        </is>
      </c>
      <c r="E1597" t="inlineStr">
        <is>
          <t>TRANSACCIONAL</t>
        </is>
      </c>
      <c r="F1597" t="inlineStr">
        <is>
          <t>GABON</t>
        </is>
      </c>
      <c r="G1597" t="inlineStr">
        <is>
          <t>GA</t>
        </is>
      </c>
      <c r="H1597" t="n">
        <v>4</v>
      </c>
      <c r="I1597" t="n">
        <v>4</v>
      </c>
      <c r="J1597" t="n">
        <v>6</v>
      </c>
      <c r="K1597" t="n">
        <v>24</v>
      </c>
      <c r="L1597" t="n">
        <v>24</v>
      </c>
      <c r="M1597" t="n">
        <v>24</v>
      </c>
      <c r="N1597" t="n">
        <v>24</v>
      </c>
      <c r="O1597" t="n">
        <v>30</v>
      </c>
      <c r="P1597" t="n">
        <v>6</v>
      </c>
      <c r="R1597" s="9" t="n">
        <v>0.06</v>
      </c>
      <c r="S1597" s="10" t="inlineStr">
        <is>
          <t>Absorbido en FF8 (catálogo país se reutiliza)</t>
        </is>
      </c>
      <c r="T1597" s="11" t="n"/>
      <c r="U1597" s="11" t="inlineStr">
        <is>
          <t>DEL BANCO (se hereda)</t>
        </is>
      </c>
      <c r="V1597" s="11" t="n"/>
      <c r="W1597" s="12" t="n"/>
      <c r="X1597" s="12" t="n"/>
    </row>
    <row r="1598" ht="15" customHeight="1">
      <c r="C1598" t="inlineStr">
        <is>
          <t>Envío o recepción de transferencias internacionales</t>
        </is>
      </c>
      <c r="D1598" t="inlineStr">
        <is>
          <t>F26</t>
        </is>
      </c>
      <c r="E1598" t="inlineStr">
        <is>
          <t>TRANSACCIONAL</t>
        </is>
      </c>
      <c r="F1598" t="inlineStr">
        <is>
          <t>GRAN BRETANA</t>
        </is>
      </c>
      <c r="G1598" t="inlineStr">
        <is>
          <t>GB</t>
        </is>
      </c>
      <c r="H1598" t="n">
        <v>1</v>
      </c>
      <c r="I1598" t="n">
        <v>1</v>
      </c>
      <c r="J1598" t="n">
        <v>6</v>
      </c>
      <c r="K1598" t="n">
        <v>6</v>
      </c>
      <c r="L1598" t="n">
        <v>6</v>
      </c>
      <c r="M1598" t="n">
        <v>6</v>
      </c>
      <c r="N1598" t="n">
        <v>6</v>
      </c>
      <c r="O1598" t="n">
        <v>30</v>
      </c>
      <c r="P1598" t="n">
        <v>6</v>
      </c>
      <c r="R1598" s="9" t="n">
        <v>0.06</v>
      </c>
      <c r="S1598" s="10" t="inlineStr">
        <is>
          <t>Absorbido en FF8 (catálogo país se reutiliza)</t>
        </is>
      </c>
      <c r="T1598" s="11" t="n"/>
      <c r="U1598" s="11" t="inlineStr">
        <is>
          <t>DEL BANCO (se hereda)</t>
        </is>
      </c>
      <c r="V1598" s="11" t="n"/>
      <c r="W1598" s="12" t="n"/>
      <c r="X1598" s="12" t="n"/>
    </row>
    <row r="1599" ht="15" customHeight="1">
      <c r="C1599" t="inlineStr">
        <is>
          <t>Envío o recepción de transferencias internacionales</t>
        </is>
      </c>
      <c r="D1599" t="inlineStr">
        <is>
          <t>F26</t>
        </is>
      </c>
      <c r="E1599" t="inlineStr">
        <is>
          <t>TRANSACCIONAL</t>
        </is>
      </c>
      <c r="F1599" t="inlineStr">
        <is>
          <t>GIBRALTAR</t>
        </is>
      </c>
      <c r="G1599" t="inlineStr">
        <is>
          <t>GC</t>
        </is>
      </c>
      <c r="H1599" t="n">
        <v>1</v>
      </c>
      <c r="I1599" t="n">
        <v>1</v>
      </c>
      <c r="J1599" t="n">
        <v>6</v>
      </c>
      <c r="K1599" t="n">
        <v>6</v>
      </c>
      <c r="L1599" t="n">
        <v>6</v>
      </c>
      <c r="M1599" t="n">
        <v>6</v>
      </c>
      <c r="N1599" t="n">
        <v>6</v>
      </c>
      <c r="O1599" t="n">
        <v>30</v>
      </c>
      <c r="P1599" t="n">
        <v>6</v>
      </c>
      <c r="R1599" s="9" t="n">
        <v>0.06</v>
      </c>
      <c r="S1599" s="10" t="inlineStr">
        <is>
          <t>Absorbido en FF8 (catálogo país se reutiliza)</t>
        </is>
      </c>
      <c r="T1599" s="11" t="n"/>
      <c r="U1599" s="11" t="inlineStr">
        <is>
          <t>DEL BANCO (se hereda)</t>
        </is>
      </c>
      <c r="V1599" s="11" t="n"/>
      <c r="W1599" s="12" t="n"/>
      <c r="X1599" s="12" t="n"/>
    </row>
    <row r="1600" ht="15" customHeight="1">
      <c r="C1600" t="inlineStr">
        <is>
          <t>Envío o recepción de transferencias internacionales</t>
        </is>
      </c>
      <c r="D1600" t="inlineStr">
        <is>
          <t>F26</t>
        </is>
      </c>
      <c r="E1600" t="inlineStr">
        <is>
          <t>TRANSACCIONAL</t>
        </is>
      </c>
      <c r="F1600" t="inlineStr">
        <is>
          <t>GRANADA</t>
        </is>
      </c>
      <c r="G1600" t="inlineStr">
        <is>
          <t>GD</t>
        </is>
      </c>
      <c r="H1600" t="n">
        <v>3</v>
      </c>
      <c r="I1600" t="n">
        <v>3</v>
      </c>
      <c r="J1600" t="n">
        <v>6</v>
      </c>
      <c r="K1600" t="n">
        <v>18</v>
      </c>
      <c r="L1600" t="n">
        <v>18</v>
      </c>
      <c r="M1600" t="n">
        <v>18</v>
      </c>
      <c r="N1600" t="n">
        <v>18</v>
      </c>
      <c r="O1600" t="n">
        <v>30</v>
      </c>
      <c r="P1600" t="n">
        <v>6</v>
      </c>
      <c r="R1600" s="9" t="n">
        <v>0.06</v>
      </c>
      <c r="S1600" s="10" t="inlineStr">
        <is>
          <t>Absorbido en FF8 (catálogo país se reutiliza)</t>
        </is>
      </c>
      <c r="T1600" s="11" t="n"/>
      <c r="U1600" s="11" t="inlineStr">
        <is>
          <t>DEL BANCO (se hereda)</t>
        </is>
      </c>
      <c r="V1600" s="11" t="n"/>
      <c r="W1600" s="12" t="n"/>
      <c r="X1600" s="12" t="n"/>
    </row>
    <row r="1601" ht="15" customHeight="1">
      <c r="C1601" t="inlineStr">
        <is>
          <t>Envío o recepción de transferencias internacionales</t>
        </is>
      </c>
      <c r="D1601" t="inlineStr">
        <is>
          <t>F26</t>
        </is>
      </c>
      <c r="E1601" t="inlineStr">
        <is>
          <t>TRANSACCIONAL</t>
        </is>
      </c>
      <c r="F1601" t="inlineStr">
        <is>
          <t>GEORGIA</t>
        </is>
      </c>
      <c r="G1601" t="inlineStr">
        <is>
          <t>GE</t>
        </is>
      </c>
      <c r="H1601" t="n">
        <v>1</v>
      </c>
      <c r="I1601" t="n">
        <v>1</v>
      </c>
      <c r="J1601" t="n">
        <v>6</v>
      </c>
      <c r="K1601" t="n">
        <v>6</v>
      </c>
      <c r="L1601" t="n">
        <v>6</v>
      </c>
      <c r="M1601" t="n">
        <v>6</v>
      </c>
      <c r="N1601" t="n">
        <v>6</v>
      </c>
      <c r="O1601" t="n">
        <v>30</v>
      </c>
      <c r="P1601" t="n">
        <v>6</v>
      </c>
      <c r="R1601" s="9" t="n">
        <v>0.06</v>
      </c>
      <c r="S1601" s="10" t="inlineStr">
        <is>
          <t>Absorbido en FF8 (catálogo país se reutiliza)</t>
        </is>
      </c>
      <c r="T1601" s="11" t="n"/>
      <c r="U1601" s="11" t="inlineStr">
        <is>
          <t>DEL BANCO (se hereda)</t>
        </is>
      </c>
      <c r="V1601" s="11" t="n"/>
      <c r="W1601" s="12" t="n"/>
      <c r="X1601" s="12" t="n"/>
    </row>
    <row r="1602" ht="15" customHeight="1">
      <c r="C1602" t="inlineStr">
        <is>
          <t>Envío o recepción de transferencias internacionales</t>
        </is>
      </c>
      <c r="D1602" t="inlineStr">
        <is>
          <t>F26</t>
        </is>
      </c>
      <c r="E1602" t="inlineStr">
        <is>
          <t>TRANSACCIONAL</t>
        </is>
      </c>
      <c r="F1602" t="inlineStr">
        <is>
          <t>GUYANA FRANCESA</t>
        </is>
      </c>
      <c r="G1602" t="inlineStr">
        <is>
          <t>GF</t>
        </is>
      </c>
      <c r="H1602" t="n">
        <v>1</v>
      </c>
      <c r="I1602" t="n">
        <v>1</v>
      </c>
      <c r="J1602" t="n">
        <v>6</v>
      </c>
      <c r="K1602" t="n">
        <v>6</v>
      </c>
      <c r="L1602" t="n">
        <v>6</v>
      </c>
      <c r="M1602" t="n">
        <v>6</v>
      </c>
      <c r="N1602" t="n">
        <v>6</v>
      </c>
      <c r="O1602" t="n">
        <v>30</v>
      </c>
      <c r="P1602" t="n">
        <v>6</v>
      </c>
      <c r="R1602" s="9" t="n">
        <v>0.06</v>
      </c>
      <c r="S1602" s="10" t="inlineStr">
        <is>
          <t>Absorbido en FF8 (catálogo país se reutiliza)</t>
        </is>
      </c>
      <c r="T1602" s="11" t="n"/>
      <c r="U1602" s="11" t="inlineStr">
        <is>
          <t>DEL BANCO (se hereda)</t>
        </is>
      </c>
      <c r="V1602" s="11" t="n"/>
      <c r="W1602" s="12" t="n"/>
      <c r="X1602" s="12" t="n"/>
    </row>
    <row r="1603" ht="15" customHeight="1">
      <c r="C1603" t="inlineStr">
        <is>
          <t>Envío o recepción de transferencias internacionales</t>
        </is>
      </c>
      <c r="D1603" t="inlineStr">
        <is>
          <t>F26</t>
        </is>
      </c>
      <c r="E1603" t="inlineStr">
        <is>
          <t>TRANSACCIONAL</t>
        </is>
      </c>
      <c r="F1603" t="inlineStr">
        <is>
          <t>ISLAS CHANNEL</t>
        </is>
      </c>
      <c r="G1603" t="inlineStr">
        <is>
          <t>GG</t>
        </is>
      </c>
      <c r="H1603" t="n">
        <v>1</v>
      </c>
      <c r="I1603" t="n">
        <v>1</v>
      </c>
      <c r="J1603" t="n">
        <v>6</v>
      </c>
      <c r="K1603" t="n">
        <v>6</v>
      </c>
      <c r="L1603" t="n">
        <v>6</v>
      </c>
      <c r="M1603" t="n">
        <v>6</v>
      </c>
      <c r="N1603" t="n">
        <v>6</v>
      </c>
      <c r="O1603" t="n">
        <v>30</v>
      </c>
      <c r="P1603" t="n">
        <v>6</v>
      </c>
      <c r="R1603" s="9" t="n">
        <v>0.06</v>
      </c>
      <c r="S1603" s="10" t="inlineStr">
        <is>
          <t>Absorbido en FF8 (catálogo país se reutiliza)</t>
        </is>
      </c>
      <c r="T1603" s="11" t="n"/>
      <c r="U1603" s="11" t="inlineStr">
        <is>
          <t>DEL BANCO (se hereda)</t>
        </is>
      </c>
      <c r="V1603" s="11" t="n"/>
      <c r="W1603" s="12" t="n"/>
      <c r="X1603" s="12" t="n"/>
    </row>
    <row r="1604" ht="15" customHeight="1">
      <c r="C1604" t="inlineStr">
        <is>
          <t>Envío o recepción de transferencias internacionales</t>
        </is>
      </c>
      <c r="D1604" t="inlineStr">
        <is>
          <t>F26</t>
        </is>
      </c>
      <c r="E1604" t="inlineStr">
        <is>
          <t>TRANSACCIONAL</t>
        </is>
      </c>
      <c r="F1604" t="inlineStr">
        <is>
          <t>GHANA</t>
        </is>
      </c>
      <c r="G1604" t="inlineStr">
        <is>
          <t>GH</t>
        </is>
      </c>
      <c r="H1604" t="n">
        <v>2</v>
      </c>
      <c r="I1604" t="n">
        <v>2</v>
      </c>
      <c r="J1604" t="n">
        <v>6</v>
      </c>
      <c r="K1604" t="n">
        <v>12</v>
      </c>
      <c r="L1604" t="n">
        <v>12</v>
      </c>
      <c r="M1604" t="n">
        <v>12</v>
      </c>
      <c r="N1604" t="n">
        <v>12</v>
      </c>
      <c r="O1604" t="n">
        <v>30</v>
      </c>
      <c r="P1604" t="n">
        <v>6</v>
      </c>
      <c r="R1604" s="9" t="n">
        <v>0.06</v>
      </c>
      <c r="S1604" s="10" t="inlineStr">
        <is>
          <t>Absorbido en FF8 (catálogo país se reutiliza)</t>
        </is>
      </c>
      <c r="T1604" s="11" t="n"/>
      <c r="U1604" s="11" t="inlineStr">
        <is>
          <t>DEL BANCO (se hereda)</t>
        </is>
      </c>
      <c r="V1604" s="11" t="n"/>
      <c r="W1604" s="12" t="n"/>
      <c r="X1604" s="12" t="n"/>
    </row>
    <row r="1605" ht="15" customHeight="1">
      <c r="C1605" t="inlineStr">
        <is>
          <t>Envío o recepción de transferencias internacionales</t>
        </is>
      </c>
      <c r="D1605" t="inlineStr">
        <is>
          <t>F26</t>
        </is>
      </c>
      <c r="E1605" t="inlineStr">
        <is>
          <t>TRANSACCIONAL</t>
        </is>
      </c>
      <c r="F1605" t="inlineStr">
        <is>
          <t>GUERNESEY</t>
        </is>
      </c>
      <c r="G1605" t="inlineStr">
        <is>
          <t>GI</t>
        </is>
      </c>
      <c r="H1605" t="n">
        <v>1</v>
      </c>
      <c r="I1605" t="n">
        <v>1</v>
      </c>
      <c r="J1605" t="n">
        <v>6</v>
      </c>
      <c r="K1605" t="n">
        <v>6</v>
      </c>
      <c r="L1605" t="n">
        <v>6</v>
      </c>
      <c r="M1605" t="n">
        <v>6</v>
      </c>
      <c r="N1605" t="n">
        <v>6</v>
      </c>
      <c r="O1605" t="n">
        <v>30</v>
      </c>
      <c r="P1605" t="n">
        <v>6</v>
      </c>
      <c r="R1605" s="9" t="n">
        <v>0.06</v>
      </c>
      <c r="S1605" s="10" t="inlineStr">
        <is>
          <t>Absorbido en FF8 (catálogo país se reutiliza)</t>
        </is>
      </c>
      <c r="T1605" s="11" t="n"/>
      <c r="U1605" s="11" t="inlineStr">
        <is>
          <t>DEL BANCO (se hereda)</t>
        </is>
      </c>
      <c r="V1605" s="11" t="n"/>
      <c r="W1605" s="12" t="n"/>
      <c r="X1605" s="12" t="n"/>
    </row>
    <row r="1606" ht="15" customHeight="1">
      <c r="C1606" t="inlineStr">
        <is>
          <t>Envío o recepción de transferencias internacionales</t>
        </is>
      </c>
      <c r="D1606" t="inlineStr">
        <is>
          <t>F26</t>
        </is>
      </c>
      <c r="E1606" t="inlineStr">
        <is>
          <t>TRANSACCIONAL</t>
        </is>
      </c>
      <c r="F1606" t="inlineStr">
        <is>
          <t>GROENLANDIA</t>
        </is>
      </c>
      <c r="G1606" t="inlineStr">
        <is>
          <t>GL</t>
        </is>
      </c>
      <c r="H1606" t="n">
        <v>1</v>
      </c>
      <c r="I1606" t="n">
        <v>1</v>
      </c>
      <c r="J1606" t="n">
        <v>6</v>
      </c>
      <c r="K1606" t="n">
        <v>6</v>
      </c>
      <c r="L1606" t="n">
        <v>6</v>
      </c>
      <c r="M1606" t="n">
        <v>6</v>
      </c>
      <c r="N1606" t="n">
        <v>6</v>
      </c>
      <c r="O1606" t="n">
        <v>30</v>
      </c>
      <c r="P1606" t="n">
        <v>6</v>
      </c>
      <c r="R1606" s="9" t="n">
        <v>0.06</v>
      </c>
      <c r="S1606" s="10" t="inlineStr">
        <is>
          <t>Absorbido en FF8 (catálogo país se reutiliza)</t>
        </is>
      </c>
      <c r="T1606" s="11" t="n"/>
      <c r="U1606" s="11" t="inlineStr">
        <is>
          <t>DEL BANCO (se hereda)</t>
        </is>
      </c>
      <c r="V1606" s="11" t="n"/>
      <c r="W1606" s="12" t="n"/>
      <c r="X1606" s="12" t="n"/>
    </row>
    <row r="1607" ht="15" customHeight="1">
      <c r="C1607" t="inlineStr">
        <is>
          <t>Envío o recepción de transferencias internacionales</t>
        </is>
      </c>
      <c r="D1607" t="inlineStr">
        <is>
          <t>F26</t>
        </is>
      </c>
      <c r="E1607" t="inlineStr">
        <is>
          <t>TRANSACCIONAL</t>
        </is>
      </c>
      <c r="F1607" t="inlineStr">
        <is>
          <t>GAMBIA</t>
        </is>
      </c>
      <c r="G1607" t="inlineStr">
        <is>
          <t>GM</t>
        </is>
      </c>
      <c r="H1607" t="n">
        <v>3</v>
      </c>
      <c r="I1607" t="n">
        <v>3</v>
      </c>
      <c r="J1607" t="n">
        <v>6</v>
      </c>
      <c r="K1607" t="n">
        <v>18</v>
      </c>
      <c r="L1607" t="n">
        <v>18</v>
      </c>
      <c r="M1607" t="n">
        <v>18</v>
      </c>
      <c r="N1607" t="n">
        <v>18</v>
      </c>
      <c r="O1607" t="n">
        <v>30</v>
      </c>
      <c r="P1607" t="n">
        <v>6</v>
      </c>
      <c r="R1607" s="9" t="n">
        <v>0.06</v>
      </c>
      <c r="S1607" s="10" t="inlineStr">
        <is>
          <t>Absorbido en FF8 (catálogo país se reutiliza)</t>
        </is>
      </c>
      <c r="T1607" s="11" t="n"/>
      <c r="U1607" s="11" t="inlineStr">
        <is>
          <t>DEL BANCO (se hereda)</t>
        </is>
      </c>
      <c r="V1607" s="11" t="n"/>
      <c r="W1607" s="12" t="n"/>
      <c r="X1607" s="12" t="n"/>
    </row>
    <row r="1608" ht="15" customHeight="1">
      <c r="C1608" t="inlineStr">
        <is>
          <t>Envío o recepción de transferencias internacionales</t>
        </is>
      </c>
      <c r="D1608" t="inlineStr">
        <is>
          <t>F26</t>
        </is>
      </c>
      <c r="E1608" t="inlineStr">
        <is>
          <t>TRANSACCIONAL</t>
        </is>
      </c>
      <c r="F1608" t="inlineStr">
        <is>
          <t>GUINEA</t>
        </is>
      </c>
      <c r="G1608" t="inlineStr">
        <is>
          <t>GN</t>
        </is>
      </c>
      <c r="H1608" t="n">
        <v>3</v>
      </c>
      <c r="I1608" t="n">
        <v>3</v>
      </c>
      <c r="J1608" t="n">
        <v>6</v>
      </c>
      <c r="K1608" t="n">
        <v>18</v>
      </c>
      <c r="L1608" t="n">
        <v>18</v>
      </c>
      <c r="M1608" t="n">
        <v>18</v>
      </c>
      <c r="N1608" t="n">
        <v>18</v>
      </c>
      <c r="O1608" t="n">
        <v>30</v>
      </c>
      <c r="P1608" t="n">
        <v>6</v>
      </c>
      <c r="R1608" s="9" t="n">
        <v>0.06</v>
      </c>
      <c r="S1608" s="10" t="inlineStr">
        <is>
          <t>Absorbido en FF8 (catálogo país se reutiliza)</t>
        </is>
      </c>
      <c r="T1608" s="11" t="n"/>
      <c r="U1608" s="11" t="inlineStr">
        <is>
          <t>DEL BANCO (se hereda)</t>
        </is>
      </c>
      <c r="V1608" s="11" t="n"/>
      <c r="W1608" s="12" t="n"/>
      <c r="X1608" s="12" t="n"/>
    </row>
    <row r="1609" ht="15" customHeight="1">
      <c r="C1609" t="inlineStr">
        <is>
          <t>Envío o recepción de transferencias internacionales</t>
        </is>
      </c>
      <c r="D1609" t="inlineStr">
        <is>
          <t>F26</t>
        </is>
      </c>
      <c r="E1609" t="inlineStr">
        <is>
          <t>TRANSACCIONAL</t>
        </is>
      </c>
      <c r="F1609" t="inlineStr">
        <is>
          <t>GUADALUPE</t>
        </is>
      </c>
      <c r="G1609" t="inlineStr">
        <is>
          <t>GP</t>
        </is>
      </c>
      <c r="H1609" t="n">
        <v>1</v>
      </c>
      <c r="I1609" t="n">
        <v>1</v>
      </c>
      <c r="J1609" t="n">
        <v>6</v>
      </c>
      <c r="K1609" t="n">
        <v>6</v>
      </c>
      <c r="L1609" t="n">
        <v>6</v>
      </c>
      <c r="M1609" t="n">
        <v>6</v>
      </c>
      <c r="N1609" t="n">
        <v>6</v>
      </c>
      <c r="O1609" t="n">
        <v>30</v>
      </c>
      <c r="P1609" t="n">
        <v>6</v>
      </c>
      <c r="R1609" s="9" t="n">
        <v>0.06</v>
      </c>
      <c r="S1609" s="10" t="inlineStr">
        <is>
          <t>Absorbido en FF8 (catálogo país se reutiliza)</t>
        </is>
      </c>
      <c r="T1609" s="11" t="n"/>
      <c r="U1609" s="11" t="inlineStr">
        <is>
          <t>DEL BANCO (se hereda)</t>
        </is>
      </c>
      <c r="V1609" s="11" t="n"/>
      <c r="W1609" s="12" t="n"/>
      <c r="X1609" s="12" t="n"/>
    </row>
    <row r="1610" ht="15" customHeight="1">
      <c r="C1610" t="inlineStr">
        <is>
          <t>Envío o recepción de transferencias internacionales</t>
        </is>
      </c>
      <c r="D1610" t="inlineStr">
        <is>
          <t>F26</t>
        </is>
      </c>
      <c r="E1610" t="inlineStr">
        <is>
          <t>TRANSACCIONAL</t>
        </is>
      </c>
      <c r="F1610" t="inlineStr">
        <is>
          <t>GUINEA ECU.</t>
        </is>
      </c>
      <c r="G1610" t="inlineStr">
        <is>
          <t>GQ</t>
        </is>
      </c>
      <c r="H1610" t="n">
        <v>4</v>
      </c>
      <c r="I1610" t="n">
        <v>4</v>
      </c>
      <c r="J1610" t="n">
        <v>6</v>
      </c>
      <c r="K1610" t="n">
        <v>24</v>
      </c>
      <c r="L1610" t="n">
        <v>24</v>
      </c>
      <c r="M1610" t="n">
        <v>24</v>
      </c>
      <c r="N1610" t="n">
        <v>24</v>
      </c>
      <c r="O1610" t="n">
        <v>30</v>
      </c>
      <c r="P1610" t="n">
        <v>6</v>
      </c>
      <c r="R1610" s="9" t="n">
        <v>0.06</v>
      </c>
      <c r="S1610" s="10" t="inlineStr">
        <is>
          <t>Absorbido en FF8 (catálogo país se reutiliza)</t>
        </is>
      </c>
      <c r="T1610" s="11" t="n"/>
      <c r="U1610" s="11" t="inlineStr">
        <is>
          <t>DEL BANCO (se hereda)</t>
        </is>
      </c>
      <c r="V1610" s="11" t="n"/>
      <c r="W1610" s="12" t="n"/>
      <c r="X1610" s="12" t="n"/>
    </row>
    <row r="1611" ht="15" customHeight="1">
      <c r="C1611" t="inlineStr">
        <is>
          <t>Envío o recepción de transferencias internacionales</t>
        </is>
      </c>
      <c r="D1611" t="inlineStr">
        <is>
          <t>F26</t>
        </is>
      </c>
      <c r="E1611" t="inlineStr">
        <is>
          <t>TRANSACCIONAL</t>
        </is>
      </c>
      <c r="F1611" t="inlineStr">
        <is>
          <t>GRECIA</t>
        </is>
      </c>
      <c r="G1611" t="inlineStr">
        <is>
          <t>GR</t>
        </is>
      </c>
      <c r="H1611" t="n">
        <v>1</v>
      </c>
      <c r="I1611" t="n">
        <v>1</v>
      </c>
      <c r="J1611" t="n">
        <v>6</v>
      </c>
      <c r="K1611" t="n">
        <v>6</v>
      </c>
      <c r="L1611" t="n">
        <v>6</v>
      </c>
      <c r="M1611" t="n">
        <v>6</v>
      </c>
      <c r="N1611" t="n">
        <v>6</v>
      </c>
      <c r="O1611" t="n">
        <v>30</v>
      </c>
      <c r="P1611" t="n">
        <v>6</v>
      </c>
      <c r="R1611" s="9" t="n">
        <v>0.06</v>
      </c>
      <c r="S1611" s="10" t="inlineStr">
        <is>
          <t>Absorbido en FF8 (catálogo país se reutiliza)</t>
        </is>
      </c>
      <c r="T1611" s="11" t="n"/>
      <c r="U1611" s="11" t="inlineStr">
        <is>
          <t>DEL BANCO (se hereda)</t>
        </is>
      </c>
      <c r="V1611" s="11" t="n"/>
      <c r="W1611" s="12" t="n"/>
      <c r="X1611" s="12" t="n"/>
    </row>
    <row r="1612" ht="15" customHeight="1">
      <c r="C1612" t="inlineStr">
        <is>
          <t>Envío o recepción de transferencias internacionales</t>
        </is>
      </c>
      <c r="D1612" t="inlineStr">
        <is>
          <t>F26</t>
        </is>
      </c>
      <c r="E1612" t="inlineStr">
        <is>
          <t>TRANSACCIONAL</t>
        </is>
      </c>
      <c r="F1612" t="inlineStr">
        <is>
          <t>ISLAS GEORGIA</t>
        </is>
      </c>
      <c r="G1612" t="inlineStr">
        <is>
          <t>GS</t>
        </is>
      </c>
      <c r="H1612" t="n">
        <v>1</v>
      </c>
      <c r="I1612" t="n">
        <v>1</v>
      </c>
      <c r="J1612" t="n">
        <v>6</v>
      </c>
      <c r="K1612" t="n">
        <v>6</v>
      </c>
      <c r="L1612" t="n">
        <v>6</v>
      </c>
      <c r="M1612" t="n">
        <v>6</v>
      </c>
      <c r="N1612" t="n">
        <v>6</v>
      </c>
      <c r="O1612" t="n">
        <v>30</v>
      </c>
      <c r="P1612" t="n">
        <v>6</v>
      </c>
      <c r="R1612" s="9" t="n">
        <v>0.06</v>
      </c>
      <c r="S1612" s="10" t="inlineStr">
        <is>
          <t>Absorbido en FF8 (catálogo país se reutiliza)</t>
        </is>
      </c>
      <c r="T1612" s="11" t="n"/>
      <c r="U1612" s="11" t="inlineStr">
        <is>
          <t>DEL BANCO (se hereda)</t>
        </is>
      </c>
      <c r="V1612" s="11" t="n"/>
      <c r="W1612" s="12" t="n"/>
      <c r="X1612" s="12" t="n"/>
    </row>
    <row r="1613" ht="15" customHeight="1">
      <c r="C1613" t="inlineStr">
        <is>
          <t>Envío o recepción de transferencias internacionales</t>
        </is>
      </c>
      <c r="D1613" t="inlineStr">
        <is>
          <t>F26</t>
        </is>
      </c>
      <c r="E1613" t="inlineStr">
        <is>
          <t>TRANSACCIONAL</t>
        </is>
      </c>
      <c r="F1613" t="inlineStr">
        <is>
          <t>GUATEMALA</t>
        </is>
      </c>
      <c r="G1613" t="inlineStr">
        <is>
          <t>GT</t>
        </is>
      </c>
      <c r="H1613" t="n">
        <v>3</v>
      </c>
      <c r="I1613" t="n">
        <v>3</v>
      </c>
      <c r="J1613" t="n">
        <v>6</v>
      </c>
      <c r="K1613" t="n">
        <v>18</v>
      </c>
      <c r="L1613" t="n">
        <v>18</v>
      </c>
      <c r="M1613" t="n">
        <v>18</v>
      </c>
      <c r="N1613" t="n">
        <v>18</v>
      </c>
      <c r="O1613" t="n">
        <v>30</v>
      </c>
      <c r="P1613" t="n">
        <v>6</v>
      </c>
      <c r="R1613" s="9" t="n">
        <v>0.06</v>
      </c>
      <c r="S1613" s="10" t="inlineStr">
        <is>
          <t>Absorbido en FF8 (catálogo país se reutiliza)</t>
        </is>
      </c>
      <c r="T1613" s="11" t="n"/>
      <c r="U1613" s="11" t="inlineStr">
        <is>
          <t>DEL BANCO (se hereda)</t>
        </is>
      </c>
      <c r="V1613" s="11" t="n"/>
      <c r="W1613" s="12" t="n"/>
      <c r="X1613" s="12" t="n"/>
    </row>
    <row r="1614" ht="15" customHeight="1">
      <c r="C1614" t="inlineStr">
        <is>
          <t>Envío o recepción de transferencias internacionales</t>
        </is>
      </c>
      <c r="D1614" t="inlineStr">
        <is>
          <t>F26</t>
        </is>
      </c>
      <c r="E1614" t="inlineStr">
        <is>
          <t>TRANSACCIONAL</t>
        </is>
      </c>
      <c r="F1614" t="inlineStr">
        <is>
          <t>GUAM</t>
        </is>
      </c>
      <c r="G1614" t="inlineStr">
        <is>
          <t>GU</t>
        </is>
      </c>
      <c r="H1614" t="n">
        <v>1</v>
      </c>
      <c r="I1614" t="n">
        <v>1</v>
      </c>
      <c r="J1614" t="n">
        <v>6</v>
      </c>
      <c r="K1614" t="n">
        <v>6</v>
      </c>
      <c r="L1614" t="n">
        <v>6</v>
      </c>
      <c r="M1614" t="n">
        <v>6</v>
      </c>
      <c r="N1614" t="n">
        <v>6</v>
      </c>
      <c r="O1614" t="n">
        <v>30</v>
      </c>
      <c r="P1614" t="n">
        <v>6</v>
      </c>
      <c r="R1614" s="9" t="n">
        <v>0.06</v>
      </c>
      <c r="S1614" s="10" t="inlineStr">
        <is>
          <t>Absorbido en FF8 (catálogo país se reutiliza)</t>
        </is>
      </c>
      <c r="T1614" s="11" t="n"/>
      <c r="U1614" s="11" t="inlineStr">
        <is>
          <t>DEL BANCO (se hereda)</t>
        </is>
      </c>
      <c r="V1614" s="11" t="n"/>
      <c r="W1614" s="12" t="n"/>
      <c r="X1614" s="12" t="n"/>
    </row>
    <row r="1615" ht="15" customHeight="1">
      <c r="C1615" t="inlineStr">
        <is>
          <t>Envío o recepción de transferencias internacionales</t>
        </is>
      </c>
      <c r="D1615" t="inlineStr">
        <is>
          <t>F26</t>
        </is>
      </c>
      <c r="E1615" t="inlineStr">
        <is>
          <t>TRANSACCIONAL</t>
        </is>
      </c>
      <c r="F1615" t="inlineStr">
        <is>
          <t>GUINEA-BISSAU</t>
        </is>
      </c>
      <c r="G1615" t="inlineStr">
        <is>
          <t>GW</t>
        </is>
      </c>
      <c r="H1615" t="n">
        <v>4</v>
      </c>
      <c r="I1615" t="n">
        <v>4</v>
      </c>
      <c r="J1615" t="n">
        <v>6</v>
      </c>
      <c r="K1615" t="n">
        <v>24</v>
      </c>
      <c r="L1615" t="n">
        <v>24</v>
      </c>
      <c r="M1615" t="n">
        <v>24</v>
      </c>
      <c r="N1615" t="n">
        <v>24</v>
      </c>
      <c r="O1615" t="n">
        <v>30</v>
      </c>
      <c r="P1615" t="n">
        <v>6</v>
      </c>
      <c r="R1615" s="9" t="n">
        <v>0.06</v>
      </c>
      <c r="S1615" s="10" t="inlineStr">
        <is>
          <t>Absorbido en FF8 (catálogo país se reutiliza)</t>
        </is>
      </c>
      <c r="T1615" s="11" t="n"/>
      <c r="U1615" s="11" t="inlineStr">
        <is>
          <t>DEL BANCO (se hereda)</t>
        </is>
      </c>
      <c r="V1615" s="11" t="n"/>
      <c r="W1615" s="12" t="n"/>
      <c r="X1615" s="12" t="n"/>
    </row>
    <row r="1616" ht="15" customHeight="1">
      <c r="C1616" t="inlineStr">
        <is>
          <t>Envío o recepción de transferencias internacionales</t>
        </is>
      </c>
      <c r="D1616" t="inlineStr">
        <is>
          <t>F26</t>
        </is>
      </c>
      <c r="E1616" t="inlineStr">
        <is>
          <t>TRANSACCIONAL</t>
        </is>
      </c>
      <c r="F1616" t="inlineStr">
        <is>
          <t>GUYANA</t>
        </is>
      </c>
      <c r="G1616" t="inlineStr">
        <is>
          <t>GY</t>
        </is>
      </c>
      <c r="H1616" t="n">
        <v>2</v>
      </c>
      <c r="I1616" t="n">
        <v>2</v>
      </c>
      <c r="J1616" t="n">
        <v>6</v>
      </c>
      <c r="K1616" t="n">
        <v>12</v>
      </c>
      <c r="L1616" t="n">
        <v>12</v>
      </c>
      <c r="M1616" t="n">
        <v>12</v>
      </c>
      <c r="N1616" t="n">
        <v>12</v>
      </c>
      <c r="O1616" t="n">
        <v>30</v>
      </c>
      <c r="P1616" t="n">
        <v>6</v>
      </c>
      <c r="R1616" s="9" t="n">
        <v>0.06</v>
      </c>
      <c r="S1616" s="10" t="inlineStr">
        <is>
          <t>Absorbido en FF8 (catálogo país se reutiliza)</t>
        </is>
      </c>
      <c r="T1616" s="11" t="n"/>
      <c r="U1616" s="11" t="inlineStr">
        <is>
          <t>DEL BANCO (se hereda)</t>
        </is>
      </c>
      <c r="V1616" s="11" t="n"/>
      <c r="W1616" s="12" t="n"/>
      <c r="X1616" s="12" t="n"/>
    </row>
    <row r="1617" ht="15" customHeight="1">
      <c r="C1617" t="inlineStr">
        <is>
          <t>Envío o recepción de transferencias internacionales</t>
        </is>
      </c>
      <c r="D1617" t="inlineStr">
        <is>
          <t>F26</t>
        </is>
      </c>
      <c r="E1617" t="inlineStr">
        <is>
          <t>TRANSACCIONAL</t>
        </is>
      </c>
      <c r="F1617" t="inlineStr">
        <is>
          <t>HONG KONG</t>
        </is>
      </c>
      <c r="G1617" t="inlineStr">
        <is>
          <t>HK</t>
        </is>
      </c>
      <c r="H1617" t="n">
        <v>3</v>
      </c>
      <c r="I1617" t="n">
        <v>3</v>
      </c>
      <c r="J1617" t="n">
        <v>6</v>
      </c>
      <c r="K1617" t="n">
        <v>18</v>
      </c>
      <c r="L1617" t="n">
        <v>18</v>
      </c>
      <c r="M1617" t="n">
        <v>18</v>
      </c>
      <c r="N1617" t="n">
        <v>18</v>
      </c>
      <c r="O1617" t="n">
        <v>30</v>
      </c>
      <c r="P1617" t="n">
        <v>6</v>
      </c>
      <c r="R1617" s="9" t="n">
        <v>0.06</v>
      </c>
      <c r="S1617" s="10" t="inlineStr">
        <is>
          <t>Absorbido en FF8 (catálogo país se reutiliza)</t>
        </is>
      </c>
      <c r="T1617" s="11" t="n"/>
      <c r="U1617" s="11" t="inlineStr">
        <is>
          <t>DEL BANCO (se hereda)</t>
        </is>
      </c>
      <c r="V1617" s="11" t="n"/>
      <c r="W1617" s="12" t="n"/>
      <c r="X1617" s="12" t="n"/>
    </row>
    <row r="1618" ht="15" customHeight="1">
      <c r="C1618" t="inlineStr">
        <is>
          <t>Envío o recepción de transferencias internacionales</t>
        </is>
      </c>
      <c r="D1618" t="inlineStr">
        <is>
          <t>F26</t>
        </is>
      </c>
      <c r="E1618" t="inlineStr">
        <is>
          <t>TRANSACCIONAL</t>
        </is>
      </c>
      <c r="F1618" t="inlineStr">
        <is>
          <t>HEARD .MCDONALD</t>
        </is>
      </c>
      <c r="G1618" t="inlineStr">
        <is>
          <t>HM</t>
        </is>
      </c>
      <c r="H1618" t="n">
        <v>1</v>
      </c>
      <c r="I1618" t="n">
        <v>1</v>
      </c>
      <c r="J1618" t="n">
        <v>6</v>
      </c>
      <c r="K1618" t="n">
        <v>6</v>
      </c>
      <c r="L1618" t="n">
        <v>6</v>
      </c>
      <c r="M1618" t="n">
        <v>6</v>
      </c>
      <c r="N1618" t="n">
        <v>6</v>
      </c>
      <c r="O1618" t="n">
        <v>30</v>
      </c>
      <c r="P1618" t="n">
        <v>6</v>
      </c>
      <c r="R1618" s="9" t="n">
        <v>0.06</v>
      </c>
      <c r="S1618" s="10" t="inlineStr">
        <is>
          <t>Absorbido en FF8 (catálogo país se reutiliza)</t>
        </is>
      </c>
      <c r="T1618" s="11" t="n"/>
      <c r="U1618" s="11" t="inlineStr">
        <is>
          <t>DEL BANCO (se hereda)</t>
        </is>
      </c>
      <c r="V1618" s="11" t="n"/>
      <c r="W1618" s="12" t="n"/>
      <c r="X1618" s="12" t="n"/>
    </row>
    <row r="1619" ht="15" customHeight="1">
      <c r="C1619" t="inlineStr">
        <is>
          <t>Envío o recepción de transferencias internacionales</t>
        </is>
      </c>
      <c r="D1619" t="inlineStr">
        <is>
          <t>F26</t>
        </is>
      </c>
      <c r="E1619" t="inlineStr">
        <is>
          <t>TRANSACCIONAL</t>
        </is>
      </c>
      <c r="F1619" t="inlineStr">
        <is>
          <t>HONDURAS</t>
        </is>
      </c>
      <c r="G1619" t="inlineStr">
        <is>
          <t>HN</t>
        </is>
      </c>
      <c r="H1619" t="n">
        <v>3</v>
      </c>
      <c r="I1619" t="n">
        <v>3</v>
      </c>
      <c r="J1619" t="n">
        <v>6</v>
      </c>
      <c r="K1619" t="n">
        <v>18</v>
      </c>
      <c r="L1619" t="n">
        <v>18</v>
      </c>
      <c r="M1619" t="n">
        <v>18</v>
      </c>
      <c r="N1619" t="n">
        <v>18</v>
      </c>
      <c r="O1619" t="n">
        <v>30</v>
      </c>
      <c r="P1619" t="n">
        <v>6</v>
      </c>
      <c r="R1619" s="9" t="n">
        <v>0.06</v>
      </c>
      <c r="S1619" s="10" t="inlineStr">
        <is>
          <t>Absorbido en FF8 (catálogo país se reutiliza)</t>
        </is>
      </c>
      <c r="T1619" s="11" t="n"/>
      <c r="U1619" s="11" t="inlineStr">
        <is>
          <t>DEL BANCO (se hereda)</t>
        </is>
      </c>
      <c r="V1619" s="11" t="n"/>
      <c r="W1619" s="12" t="n"/>
      <c r="X1619" s="12" t="n"/>
    </row>
    <row r="1620" ht="15" customHeight="1">
      <c r="C1620" t="inlineStr">
        <is>
          <t>Envío o recepción de transferencias internacionales</t>
        </is>
      </c>
      <c r="D1620" t="inlineStr">
        <is>
          <t>F26</t>
        </is>
      </c>
      <c r="E1620" t="inlineStr">
        <is>
          <t>TRANSACCIONAL</t>
        </is>
      </c>
      <c r="F1620" t="inlineStr">
        <is>
          <t>CROACIA</t>
        </is>
      </c>
      <c r="G1620" t="inlineStr">
        <is>
          <t>HR</t>
        </is>
      </c>
      <c r="H1620" t="n">
        <v>1</v>
      </c>
      <c r="I1620" t="n">
        <v>1</v>
      </c>
      <c r="J1620" t="n">
        <v>6</v>
      </c>
      <c r="K1620" t="n">
        <v>6</v>
      </c>
      <c r="L1620" t="n">
        <v>6</v>
      </c>
      <c r="M1620" t="n">
        <v>6</v>
      </c>
      <c r="N1620" t="n">
        <v>6</v>
      </c>
      <c r="O1620" t="n">
        <v>30</v>
      </c>
      <c r="P1620" t="n">
        <v>6</v>
      </c>
      <c r="R1620" s="9" t="n">
        <v>0.06</v>
      </c>
      <c r="S1620" s="10" t="inlineStr">
        <is>
          <t>Absorbido en FF8 (catálogo país se reutiliza)</t>
        </is>
      </c>
      <c r="T1620" s="11" t="n"/>
      <c r="U1620" s="11" t="inlineStr">
        <is>
          <t>DEL BANCO (se hereda)</t>
        </is>
      </c>
      <c r="V1620" s="11" t="n"/>
      <c r="W1620" s="12" t="n"/>
      <c r="X1620" s="12" t="n"/>
    </row>
    <row r="1621" ht="15" customHeight="1">
      <c r="C1621" t="inlineStr">
        <is>
          <t>Envío o recepción de transferencias internacionales</t>
        </is>
      </c>
      <c r="D1621" t="inlineStr">
        <is>
          <t>F26</t>
        </is>
      </c>
      <c r="E1621" t="inlineStr">
        <is>
          <t>TRANSACCIONAL</t>
        </is>
      </c>
      <c r="F1621" t="inlineStr">
        <is>
          <t>HAITI</t>
        </is>
      </c>
      <c r="G1621" t="inlineStr">
        <is>
          <t>HT</t>
        </is>
      </c>
      <c r="H1621" t="n">
        <v>4</v>
      </c>
      <c r="I1621" t="n">
        <v>4</v>
      </c>
      <c r="J1621" t="n">
        <v>6</v>
      </c>
      <c r="K1621" t="n">
        <v>24</v>
      </c>
      <c r="L1621" t="n">
        <v>24</v>
      </c>
      <c r="M1621" t="n">
        <v>24</v>
      </c>
      <c r="N1621" t="n">
        <v>24</v>
      </c>
      <c r="O1621" t="n">
        <v>30</v>
      </c>
      <c r="P1621" t="n">
        <v>6</v>
      </c>
      <c r="Q1621" t="inlineStr">
        <is>
          <t>DETERMINANTE</t>
        </is>
      </c>
      <c r="R1621" s="9" t="n">
        <v>0.06</v>
      </c>
      <c r="S1621" s="10" t="inlineStr">
        <is>
          <t>Absorbido en FF8 (catálogo país se reutiliza)</t>
        </is>
      </c>
      <c r="T1621" s="11" t="n"/>
      <c r="U1621" s="11" t="inlineStr">
        <is>
          <t>DEL BANCO (se hereda)</t>
        </is>
      </c>
      <c r="V1621" s="11" t="n"/>
      <c r="W1621" s="12" t="n"/>
      <c r="X1621" s="12" t="n"/>
    </row>
    <row r="1622" ht="15" customHeight="1">
      <c r="C1622" t="inlineStr">
        <is>
          <t>Envío o recepción de transferencias internacionales</t>
        </is>
      </c>
      <c r="D1622" t="inlineStr">
        <is>
          <t>F26</t>
        </is>
      </c>
      <c r="E1622" t="inlineStr">
        <is>
          <t>TRANSACCIONAL</t>
        </is>
      </c>
      <c r="F1622" t="inlineStr">
        <is>
          <t>HUNGRIA</t>
        </is>
      </c>
      <c r="G1622" t="inlineStr">
        <is>
          <t>HU</t>
        </is>
      </c>
      <c r="H1622" t="n">
        <v>2</v>
      </c>
      <c r="I1622" t="n">
        <v>2</v>
      </c>
      <c r="J1622" t="n">
        <v>6</v>
      </c>
      <c r="K1622" t="n">
        <v>12</v>
      </c>
      <c r="L1622" t="n">
        <v>12</v>
      </c>
      <c r="M1622" t="n">
        <v>12</v>
      </c>
      <c r="N1622" t="n">
        <v>12</v>
      </c>
      <c r="O1622" t="n">
        <v>30</v>
      </c>
      <c r="P1622" t="n">
        <v>6</v>
      </c>
      <c r="R1622" s="9" t="n">
        <v>0.06</v>
      </c>
      <c r="S1622" s="10" t="inlineStr">
        <is>
          <t>Absorbido en FF8 (catálogo país se reutiliza)</t>
        </is>
      </c>
      <c r="T1622" s="11" t="n"/>
      <c r="U1622" s="11" t="inlineStr">
        <is>
          <t>DEL BANCO (se hereda)</t>
        </is>
      </c>
      <c r="V1622" s="11" t="n"/>
      <c r="W1622" s="12" t="n"/>
      <c r="X1622" s="12" t="n"/>
    </row>
    <row r="1623" ht="15" customHeight="1">
      <c r="C1623" t="inlineStr">
        <is>
          <t>Envío o recepción de transferencias internacionales</t>
        </is>
      </c>
      <c r="D1623" t="inlineStr">
        <is>
          <t>F26</t>
        </is>
      </c>
      <c r="E1623" t="inlineStr">
        <is>
          <t>TRANSACCIONAL</t>
        </is>
      </c>
      <c r="F1623" t="inlineStr">
        <is>
          <t>ISLAS DEL CANAL</t>
        </is>
      </c>
      <c r="G1623" t="inlineStr">
        <is>
          <t>IC</t>
        </is>
      </c>
      <c r="H1623" t="n">
        <v>1</v>
      </c>
      <c r="I1623" t="n">
        <v>1</v>
      </c>
      <c r="J1623" t="n">
        <v>6</v>
      </c>
      <c r="K1623" t="n">
        <v>6</v>
      </c>
      <c r="L1623" t="n">
        <v>6</v>
      </c>
      <c r="M1623" t="n">
        <v>6</v>
      </c>
      <c r="N1623" t="n">
        <v>6</v>
      </c>
      <c r="O1623" t="n">
        <v>30</v>
      </c>
      <c r="P1623" t="n">
        <v>6</v>
      </c>
      <c r="R1623" s="9" t="n">
        <v>0.06</v>
      </c>
      <c r="S1623" s="10" t="inlineStr">
        <is>
          <t>Absorbido en FF8 (catálogo país se reutiliza)</t>
        </is>
      </c>
      <c r="T1623" s="11" t="n"/>
      <c r="U1623" s="11" t="inlineStr">
        <is>
          <t>DEL BANCO (se hereda)</t>
        </is>
      </c>
      <c r="V1623" s="11" t="n"/>
      <c r="W1623" s="12" t="n"/>
      <c r="X1623" s="12" t="n"/>
    </row>
    <row r="1624" ht="15" customHeight="1">
      <c r="C1624" t="inlineStr">
        <is>
          <t>Envío o recepción de transferencias internacionales</t>
        </is>
      </c>
      <c r="D1624" t="inlineStr">
        <is>
          <t>F26</t>
        </is>
      </c>
      <c r="E1624" t="inlineStr">
        <is>
          <t>TRANSACCIONAL</t>
        </is>
      </c>
      <c r="F1624" t="inlineStr">
        <is>
          <t>INDONESIA</t>
        </is>
      </c>
      <c r="G1624" t="inlineStr">
        <is>
          <t>ID</t>
        </is>
      </c>
      <c r="H1624" t="n">
        <v>3</v>
      </c>
      <c r="I1624" t="n">
        <v>3</v>
      </c>
      <c r="J1624" t="n">
        <v>6</v>
      </c>
      <c r="K1624" t="n">
        <v>18</v>
      </c>
      <c r="L1624" t="n">
        <v>18</v>
      </c>
      <c r="M1624" t="n">
        <v>18</v>
      </c>
      <c r="N1624" t="n">
        <v>18</v>
      </c>
      <c r="O1624" t="n">
        <v>30</v>
      </c>
      <c r="P1624" t="n">
        <v>6</v>
      </c>
      <c r="R1624" s="9" t="n">
        <v>0.06</v>
      </c>
      <c r="S1624" s="10" t="inlineStr">
        <is>
          <t>Absorbido en FF8 (catálogo país se reutiliza)</t>
        </is>
      </c>
      <c r="T1624" s="11" t="n"/>
      <c r="U1624" s="11" t="inlineStr">
        <is>
          <t>DEL BANCO (se hereda)</t>
        </is>
      </c>
      <c r="V1624" s="11" t="n"/>
      <c r="W1624" s="12" t="n"/>
      <c r="X1624" s="12" t="n"/>
    </row>
    <row r="1625" ht="15" customHeight="1">
      <c r="C1625" t="inlineStr">
        <is>
          <t>Envío o recepción de transferencias internacionales</t>
        </is>
      </c>
      <c r="D1625" t="inlineStr">
        <is>
          <t>F26</t>
        </is>
      </c>
      <c r="E1625" t="inlineStr">
        <is>
          <t>TRANSACCIONAL</t>
        </is>
      </c>
      <c r="F1625" t="inlineStr">
        <is>
          <t>IRLANDA</t>
        </is>
      </c>
      <c r="G1625" t="inlineStr">
        <is>
          <t>IE</t>
        </is>
      </c>
      <c r="H1625" t="n">
        <v>1</v>
      </c>
      <c r="I1625" t="n">
        <v>1</v>
      </c>
      <c r="J1625" t="n">
        <v>6</v>
      </c>
      <c r="K1625" t="n">
        <v>6</v>
      </c>
      <c r="L1625" t="n">
        <v>6</v>
      </c>
      <c r="M1625" t="n">
        <v>6</v>
      </c>
      <c r="N1625" t="n">
        <v>6</v>
      </c>
      <c r="O1625" t="n">
        <v>30</v>
      </c>
      <c r="P1625" t="n">
        <v>6</v>
      </c>
      <c r="R1625" s="9" t="n">
        <v>0.06</v>
      </c>
      <c r="S1625" s="10" t="inlineStr">
        <is>
          <t>Absorbido en FF8 (catálogo país se reutiliza)</t>
        </is>
      </c>
      <c r="T1625" s="11" t="n"/>
      <c r="U1625" s="11" t="inlineStr">
        <is>
          <t>DEL BANCO (se hereda)</t>
        </is>
      </c>
      <c r="V1625" s="11" t="n"/>
      <c r="W1625" s="12" t="n"/>
      <c r="X1625" s="12" t="n"/>
    </row>
    <row r="1626" ht="15" customHeight="1">
      <c r="C1626" t="inlineStr">
        <is>
          <t>Envío o recepción de transferencias internacionales</t>
        </is>
      </c>
      <c r="D1626" t="inlineStr">
        <is>
          <t>F26</t>
        </is>
      </c>
      <c r="E1626" t="inlineStr">
        <is>
          <t>TRANSACCIONAL</t>
        </is>
      </c>
      <c r="F1626" t="inlineStr">
        <is>
          <t>ISRAEL</t>
        </is>
      </c>
      <c r="G1626" t="inlineStr">
        <is>
          <t>IL</t>
        </is>
      </c>
      <c r="H1626" t="n">
        <v>1</v>
      </c>
      <c r="I1626" t="n">
        <v>1</v>
      </c>
      <c r="J1626" t="n">
        <v>6</v>
      </c>
      <c r="K1626" t="n">
        <v>6</v>
      </c>
      <c r="L1626" t="n">
        <v>6</v>
      </c>
      <c r="M1626" t="n">
        <v>6</v>
      </c>
      <c r="N1626" t="n">
        <v>6</v>
      </c>
      <c r="O1626" t="n">
        <v>30</v>
      </c>
      <c r="P1626" t="n">
        <v>6</v>
      </c>
      <c r="R1626" s="9" t="n">
        <v>0.06</v>
      </c>
      <c r="S1626" s="10" t="inlineStr">
        <is>
          <t>Absorbido en FF8 (catálogo país se reutiliza)</t>
        </is>
      </c>
      <c r="T1626" s="11" t="n"/>
      <c r="U1626" s="11" t="inlineStr">
        <is>
          <t>DEL BANCO (se hereda)</t>
        </is>
      </c>
      <c r="V1626" s="11" t="n"/>
      <c r="W1626" s="12" t="n"/>
      <c r="X1626" s="12" t="n"/>
    </row>
    <row r="1627" ht="15" customHeight="1">
      <c r="C1627" t="inlineStr">
        <is>
          <t>Envío o recepción de transferencias internacionales</t>
        </is>
      </c>
      <c r="D1627" t="inlineStr">
        <is>
          <t>F26</t>
        </is>
      </c>
      <c r="E1627" t="inlineStr">
        <is>
          <t>TRANSACCIONAL</t>
        </is>
      </c>
      <c r="F1627" t="inlineStr">
        <is>
          <t>ISLA DE MAN</t>
        </is>
      </c>
      <c r="G1627" t="inlineStr">
        <is>
          <t>IM</t>
        </is>
      </c>
      <c r="H1627" t="n">
        <v>1</v>
      </c>
      <c r="I1627" t="n">
        <v>1</v>
      </c>
      <c r="J1627" t="n">
        <v>6</v>
      </c>
      <c r="K1627" t="n">
        <v>6</v>
      </c>
      <c r="L1627" t="n">
        <v>6</v>
      </c>
      <c r="M1627" t="n">
        <v>6</v>
      </c>
      <c r="N1627" t="n">
        <v>6</v>
      </c>
      <c r="O1627" t="n">
        <v>30</v>
      </c>
      <c r="P1627" t="n">
        <v>6</v>
      </c>
      <c r="R1627" s="9" t="n">
        <v>0.06</v>
      </c>
      <c r="S1627" s="10" t="inlineStr">
        <is>
          <t>Absorbido en FF8 (catálogo país se reutiliza)</t>
        </is>
      </c>
      <c r="T1627" s="11" t="n"/>
      <c r="U1627" s="11" t="inlineStr">
        <is>
          <t>DEL BANCO (se hereda)</t>
        </is>
      </c>
      <c r="V1627" s="11" t="n"/>
      <c r="W1627" s="12" t="n"/>
      <c r="X1627" s="12" t="n"/>
    </row>
    <row r="1628" ht="15" customHeight="1">
      <c r="C1628" t="inlineStr">
        <is>
          <t>Envío o recepción de transferencias internacionales</t>
        </is>
      </c>
      <c r="D1628" t="inlineStr">
        <is>
          <t>F26</t>
        </is>
      </c>
      <c r="E1628" t="inlineStr">
        <is>
          <t>TRANSACCIONAL</t>
        </is>
      </c>
      <c r="F1628" t="inlineStr">
        <is>
          <t>INDIA</t>
        </is>
      </c>
      <c r="G1628" t="inlineStr">
        <is>
          <t>IN</t>
        </is>
      </c>
      <c r="H1628" t="n">
        <v>3</v>
      </c>
      <c r="I1628" t="n">
        <v>3</v>
      </c>
      <c r="J1628" t="n">
        <v>6</v>
      </c>
      <c r="K1628" t="n">
        <v>18</v>
      </c>
      <c r="L1628" t="n">
        <v>18</v>
      </c>
      <c r="M1628" t="n">
        <v>18</v>
      </c>
      <c r="N1628" t="n">
        <v>18</v>
      </c>
      <c r="O1628" t="n">
        <v>30</v>
      </c>
      <c r="P1628" t="n">
        <v>6</v>
      </c>
      <c r="R1628" s="9" t="n">
        <v>0.06</v>
      </c>
      <c r="S1628" s="10" t="inlineStr">
        <is>
          <t>Absorbido en FF8 (catálogo país se reutiliza)</t>
        </is>
      </c>
      <c r="T1628" s="11" t="n"/>
      <c r="U1628" s="11" t="inlineStr">
        <is>
          <t>DEL BANCO (se hereda)</t>
        </is>
      </c>
      <c r="V1628" s="11" t="n"/>
      <c r="W1628" s="12" t="n"/>
      <c r="X1628" s="12" t="n"/>
    </row>
    <row r="1629" ht="15" customHeight="1">
      <c r="C1629" t="inlineStr">
        <is>
          <t>Envío o recepción de transferencias internacionales</t>
        </is>
      </c>
      <c r="D1629" t="inlineStr">
        <is>
          <t>F26</t>
        </is>
      </c>
      <c r="E1629" t="inlineStr">
        <is>
          <t>TRANSACCIONAL</t>
        </is>
      </c>
      <c r="F1629" t="inlineStr">
        <is>
          <t>TERRITORIO BRIT</t>
        </is>
      </c>
      <c r="G1629" t="inlineStr">
        <is>
          <t>IO</t>
        </is>
      </c>
      <c r="H1629" t="n">
        <v>1</v>
      </c>
      <c r="I1629" t="n">
        <v>1</v>
      </c>
      <c r="J1629" t="n">
        <v>6</v>
      </c>
      <c r="K1629" t="n">
        <v>6</v>
      </c>
      <c r="L1629" t="n">
        <v>6</v>
      </c>
      <c r="M1629" t="n">
        <v>6</v>
      </c>
      <c r="N1629" t="n">
        <v>6</v>
      </c>
      <c r="O1629" t="n">
        <v>30</v>
      </c>
      <c r="P1629" t="n">
        <v>6</v>
      </c>
      <c r="R1629" s="9" t="n">
        <v>0.06</v>
      </c>
      <c r="S1629" s="10" t="inlineStr">
        <is>
          <t>Absorbido en FF8 (catálogo país se reutiliza)</t>
        </is>
      </c>
      <c r="T1629" s="11" t="n"/>
      <c r="U1629" s="11" t="inlineStr">
        <is>
          <t>DEL BANCO (se hereda)</t>
        </is>
      </c>
      <c r="V1629" s="11" t="n"/>
      <c r="W1629" s="12" t="n"/>
      <c r="X1629" s="12" t="n"/>
    </row>
    <row r="1630" ht="15" customHeight="1">
      <c r="C1630" t="inlineStr">
        <is>
          <t>Envío o recepción de transferencias internacionales</t>
        </is>
      </c>
      <c r="D1630" t="inlineStr">
        <is>
          <t>F26</t>
        </is>
      </c>
      <c r="E1630" t="inlineStr">
        <is>
          <t>TRANSACCIONAL</t>
        </is>
      </c>
      <c r="F1630" t="inlineStr">
        <is>
          <t>IRAK (GFG)</t>
        </is>
      </c>
      <c r="G1630" t="inlineStr">
        <is>
          <t>IQ</t>
        </is>
      </c>
      <c r="H1630" t="n">
        <v>3</v>
      </c>
      <c r="I1630" t="n">
        <v>3</v>
      </c>
      <c r="J1630" t="n">
        <v>6</v>
      </c>
      <c r="K1630" t="n">
        <v>18</v>
      </c>
      <c r="L1630" t="n">
        <v>18</v>
      </c>
      <c r="M1630" t="n">
        <v>18</v>
      </c>
      <c r="N1630" t="n">
        <v>18</v>
      </c>
      <c r="O1630" t="n">
        <v>30</v>
      </c>
      <c r="P1630" t="n">
        <v>6</v>
      </c>
      <c r="R1630" s="9" t="n">
        <v>0.06</v>
      </c>
      <c r="S1630" s="10" t="inlineStr">
        <is>
          <t>Absorbido en FF8 (catálogo país se reutiliza)</t>
        </is>
      </c>
      <c r="T1630" s="11" t="n"/>
      <c r="U1630" s="11" t="inlineStr">
        <is>
          <t>DEL BANCO (se hereda)</t>
        </is>
      </c>
      <c r="V1630" s="11" t="n"/>
      <c r="W1630" s="12" t="n"/>
      <c r="X1630" s="12" t="n"/>
    </row>
    <row r="1631" ht="15" customHeight="1">
      <c r="C1631" t="inlineStr">
        <is>
          <t>Envío o recepción de transferencias internacionales</t>
        </is>
      </c>
      <c r="D1631" t="inlineStr">
        <is>
          <t>F26</t>
        </is>
      </c>
      <c r="E1631" t="inlineStr">
        <is>
          <t>TRANSACCIONAL</t>
        </is>
      </c>
      <c r="F1631" t="inlineStr">
        <is>
          <t>IRAN</t>
        </is>
      </c>
      <c r="G1631" t="inlineStr">
        <is>
          <t>IR</t>
        </is>
      </c>
      <c r="H1631" t="n">
        <v>5</v>
      </c>
      <c r="I1631" t="n">
        <v>5</v>
      </c>
      <c r="J1631" t="n">
        <v>6</v>
      </c>
      <c r="K1631" t="n">
        <v>30</v>
      </c>
      <c r="L1631" t="n">
        <v>30</v>
      </c>
      <c r="M1631" t="n">
        <v>30</v>
      </c>
      <c r="N1631" t="n">
        <v>30</v>
      </c>
      <c r="O1631" t="n">
        <v>30</v>
      </c>
      <c r="P1631" t="n">
        <v>6</v>
      </c>
      <c r="Q1631" t="inlineStr">
        <is>
          <t>PROHIBITIVO</t>
        </is>
      </c>
      <c r="R1631" s="9" t="n">
        <v>0.06</v>
      </c>
      <c r="S1631" s="10" t="inlineStr">
        <is>
          <t>Absorbido en FF8 (catálogo país se reutiliza)</t>
        </is>
      </c>
      <c r="T1631" s="11" t="n"/>
      <c r="U1631" s="11" t="inlineStr">
        <is>
          <t>DEL BANCO (se hereda)</t>
        </is>
      </c>
      <c r="V1631" s="11" t="n"/>
      <c r="W1631" s="12" t="n"/>
      <c r="X1631" s="12" t="n"/>
    </row>
    <row r="1632" ht="15" customHeight="1">
      <c r="C1632" t="inlineStr">
        <is>
          <t>Envío o recepción de transferencias internacionales</t>
        </is>
      </c>
      <c r="D1632" t="inlineStr">
        <is>
          <t>F26</t>
        </is>
      </c>
      <c r="E1632" t="inlineStr">
        <is>
          <t>TRANSACCIONAL</t>
        </is>
      </c>
      <c r="F1632" t="inlineStr">
        <is>
          <t>ISLANDIA</t>
        </is>
      </c>
      <c r="G1632" t="inlineStr">
        <is>
          <t>IS</t>
        </is>
      </c>
      <c r="H1632" t="n">
        <v>1</v>
      </c>
      <c r="I1632" t="n">
        <v>1</v>
      </c>
      <c r="J1632" t="n">
        <v>6</v>
      </c>
      <c r="K1632" t="n">
        <v>6</v>
      </c>
      <c r="L1632" t="n">
        <v>6</v>
      </c>
      <c r="M1632" t="n">
        <v>6</v>
      </c>
      <c r="N1632" t="n">
        <v>6</v>
      </c>
      <c r="O1632" t="n">
        <v>30</v>
      </c>
      <c r="P1632" t="n">
        <v>6</v>
      </c>
      <c r="R1632" s="9" t="n">
        <v>0.06</v>
      </c>
      <c r="S1632" s="10" t="inlineStr">
        <is>
          <t>Absorbido en FF8 (catálogo país se reutiliza)</t>
        </is>
      </c>
      <c r="T1632" s="11" t="n"/>
      <c r="U1632" s="11" t="inlineStr">
        <is>
          <t>DEL BANCO (se hereda)</t>
        </is>
      </c>
      <c r="V1632" s="11" t="n"/>
      <c r="W1632" s="12" t="n"/>
      <c r="X1632" s="12" t="n"/>
    </row>
    <row r="1633" ht="15" customHeight="1">
      <c r="C1633" t="inlineStr">
        <is>
          <t>Envío o recepción de transferencias internacionales</t>
        </is>
      </c>
      <c r="D1633" t="inlineStr">
        <is>
          <t>F26</t>
        </is>
      </c>
      <c r="E1633" t="inlineStr">
        <is>
          <t>TRANSACCIONAL</t>
        </is>
      </c>
      <c r="F1633" t="inlineStr">
        <is>
          <t>ITALIA</t>
        </is>
      </c>
      <c r="G1633" t="inlineStr">
        <is>
          <t>IT</t>
        </is>
      </c>
      <c r="H1633" t="n">
        <v>1</v>
      </c>
      <c r="I1633" t="n">
        <v>1</v>
      </c>
      <c r="J1633" t="n">
        <v>6</v>
      </c>
      <c r="K1633" t="n">
        <v>6</v>
      </c>
      <c r="L1633" t="n">
        <v>6</v>
      </c>
      <c r="M1633" t="n">
        <v>6</v>
      </c>
      <c r="N1633" t="n">
        <v>6</v>
      </c>
      <c r="O1633" t="n">
        <v>30</v>
      </c>
      <c r="P1633" t="n">
        <v>6</v>
      </c>
      <c r="R1633" s="9" t="n">
        <v>0.06</v>
      </c>
      <c r="S1633" s="10" t="inlineStr">
        <is>
          <t>Absorbido en FF8 (catálogo país se reutiliza)</t>
        </is>
      </c>
      <c r="T1633" s="11" t="n"/>
      <c r="U1633" s="11" t="inlineStr">
        <is>
          <t>DEL BANCO (se hereda)</t>
        </is>
      </c>
      <c r="V1633" s="11" t="n"/>
      <c r="W1633" s="12" t="n"/>
      <c r="X1633" s="12" t="n"/>
    </row>
    <row r="1634" ht="15" customHeight="1">
      <c r="C1634" t="inlineStr">
        <is>
          <t>Envío o recepción de transferencias internacionales</t>
        </is>
      </c>
      <c r="D1634" t="inlineStr">
        <is>
          <t>F26</t>
        </is>
      </c>
      <c r="E1634" t="inlineStr">
        <is>
          <t>TRANSACCIONAL</t>
        </is>
      </c>
      <c r="F1634" t="inlineStr">
        <is>
          <t>ISLAS VIRGENES BRITA</t>
        </is>
      </c>
      <c r="G1634" t="inlineStr">
        <is>
          <t>IV</t>
        </is>
      </c>
      <c r="H1634" t="n">
        <v>4</v>
      </c>
      <c r="I1634" t="n">
        <v>4</v>
      </c>
      <c r="J1634" t="n">
        <v>6</v>
      </c>
      <c r="K1634" t="n">
        <v>24</v>
      </c>
      <c r="L1634" t="n">
        <v>24</v>
      </c>
      <c r="M1634" t="n">
        <v>24</v>
      </c>
      <c r="N1634" t="n">
        <v>24</v>
      </c>
      <c r="O1634" t="n">
        <v>30</v>
      </c>
      <c r="P1634" t="n">
        <v>6</v>
      </c>
      <c r="Q1634" t="inlineStr">
        <is>
          <t>DETERMINANTE</t>
        </is>
      </c>
      <c r="R1634" s="9" t="n">
        <v>0.06</v>
      </c>
      <c r="S1634" s="10" t="inlineStr">
        <is>
          <t>Absorbido en FF8 (catálogo país se reutiliza)</t>
        </is>
      </c>
      <c r="T1634" s="11" t="n"/>
      <c r="U1634" s="11" t="inlineStr">
        <is>
          <t>DEL BANCO (se hereda)</t>
        </is>
      </c>
      <c r="V1634" s="11" t="n"/>
      <c r="W1634" s="12" t="n"/>
      <c r="X1634" s="12" t="n"/>
    </row>
    <row r="1635" ht="15" customHeight="1">
      <c r="C1635" t="inlineStr">
        <is>
          <t>Envío o recepción de transferencias internacionales</t>
        </is>
      </c>
      <c r="D1635" t="inlineStr">
        <is>
          <t>F26</t>
        </is>
      </c>
      <c r="E1635" t="inlineStr">
        <is>
          <t>TRANSACCIONAL</t>
        </is>
      </c>
      <c r="F1635" t="inlineStr">
        <is>
          <t>ISLA DE JERSEY</t>
        </is>
      </c>
      <c r="G1635" t="inlineStr">
        <is>
          <t>JE</t>
        </is>
      </c>
      <c r="H1635" t="n">
        <v>1</v>
      </c>
      <c r="I1635" t="n">
        <v>1</v>
      </c>
      <c r="J1635" t="n">
        <v>6</v>
      </c>
      <c r="K1635" t="n">
        <v>6</v>
      </c>
      <c r="L1635" t="n">
        <v>6</v>
      </c>
      <c r="M1635" t="n">
        <v>6</v>
      </c>
      <c r="N1635" t="n">
        <v>6</v>
      </c>
      <c r="O1635" t="n">
        <v>30</v>
      </c>
      <c r="P1635" t="n">
        <v>6</v>
      </c>
      <c r="R1635" s="9" t="n">
        <v>0.06</v>
      </c>
      <c r="S1635" s="10" t="inlineStr">
        <is>
          <t>Absorbido en FF8 (catálogo país se reutiliza)</t>
        </is>
      </c>
      <c r="T1635" s="11" t="n"/>
      <c r="U1635" s="11" t="inlineStr">
        <is>
          <t>DEL BANCO (se hereda)</t>
        </is>
      </c>
      <c r="V1635" s="11" t="n"/>
      <c r="W1635" s="12" t="n"/>
      <c r="X1635" s="12" t="n"/>
    </row>
    <row r="1636" ht="15" customHeight="1">
      <c r="C1636" t="inlineStr">
        <is>
          <t>Envío o recepción de transferencias internacionales</t>
        </is>
      </c>
      <c r="D1636" t="inlineStr">
        <is>
          <t>F26</t>
        </is>
      </c>
      <c r="E1636" t="inlineStr">
        <is>
          <t>TRANSACCIONAL</t>
        </is>
      </c>
      <c r="F1636" t="inlineStr">
        <is>
          <t>JAMAICA</t>
        </is>
      </c>
      <c r="G1636" t="inlineStr">
        <is>
          <t>JM</t>
        </is>
      </c>
      <c r="H1636" t="n">
        <v>3</v>
      </c>
      <c r="I1636" t="n">
        <v>3</v>
      </c>
      <c r="J1636" t="n">
        <v>6</v>
      </c>
      <c r="K1636" t="n">
        <v>18</v>
      </c>
      <c r="L1636" t="n">
        <v>18</v>
      </c>
      <c r="M1636" t="n">
        <v>18</v>
      </c>
      <c r="N1636" t="n">
        <v>18</v>
      </c>
      <c r="O1636" t="n">
        <v>30</v>
      </c>
      <c r="P1636" t="n">
        <v>6</v>
      </c>
      <c r="R1636" s="9" t="n">
        <v>0.06</v>
      </c>
      <c r="S1636" s="10" t="inlineStr">
        <is>
          <t>Absorbido en FF8 (catálogo país se reutiliza)</t>
        </is>
      </c>
      <c r="T1636" s="11" t="n"/>
      <c r="U1636" s="11" t="inlineStr">
        <is>
          <t>DEL BANCO (se hereda)</t>
        </is>
      </c>
      <c r="V1636" s="11" t="n"/>
      <c r="W1636" s="12" t="n"/>
      <c r="X1636" s="12" t="n"/>
    </row>
    <row r="1637" ht="15" customHeight="1">
      <c r="C1637" t="inlineStr">
        <is>
          <t>Envío o recepción de transferencias internacionales</t>
        </is>
      </c>
      <c r="D1637" t="inlineStr">
        <is>
          <t>F26</t>
        </is>
      </c>
      <c r="E1637" t="inlineStr">
        <is>
          <t>TRANSACCIONAL</t>
        </is>
      </c>
      <c r="F1637" t="inlineStr">
        <is>
          <t>JORDANIA</t>
        </is>
      </c>
      <c r="G1637" t="inlineStr">
        <is>
          <t>JO</t>
        </is>
      </c>
      <c r="H1637" t="n">
        <v>2</v>
      </c>
      <c r="I1637" t="n">
        <v>2</v>
      </c>
      <c r="J1637" t="n">
        <v>6</v>
      </c>
      <c r="K1637" t="n">
        <v>12</v>
      </c>
      <c r="L1637" t="n">
        <v>12</v>
      </c>
      <c r="M1637" t="n">
        <v>12</v>
      </c>
      <c r="N1637" t="n">
        <v>12</v>
      </c>
      <c r="O1637" t="n">
        <v>30</v>
      </c>
      <c r="P1637" t="n">
        <v>6</v>
      </c>
      <c r="R1637" s="9" t="n">
        <v>0.06</v>
      </c>
      <c r="S1637" s="10" t="inlineStr">
        <is>
          <t>Absorbido en FF8 (catálogo país se reutiliza)</t>
        </is>
      </c>
      <c r="T1637" s="11" t="n"/>
      <c r="U1637" s="11" t="inlineStr">
        <is>
          <t>DEL BANCO (se hereda)</t>
        </is>
      </c>
      <c r="V1637" s="11" t="n"/>
      <c r="W1637" s="12" t="n"/>
      <c r="X1637" s="12" t="n"/>
    </row>
    <row r="1638" ht="15" customHeight="1">
      <c r="C1638" t="inlineStr">
        <is>
          <t>Envío o recepción de transferencias internacionales</t>
        </is>
      </c>
      <c r="D1638" t="inlineStr">
        <is>
          <t>F26</t>
        </is>
      </c>
      <c r="E1638" t="inlineStr">
        <is>
          <t>TRANSACCIONAL</t>
        </is>
      </c>
      <c r="F1638" t="inlineStr">
        <is>
          <t>JAPON</t>
        </is>
      </c>
      <c r="G1638" t="inlineStr">
        <is>
          <t>JP</t>
        </is>
      </c>
      <c r="H1638" t="n">
        <v>1</v>
      </c>
      <c r="I1638" t="n">
        <v>1</v>
      </c>
      <c r="J1638" t="n">
        <v>6</v>
      </c>
      <c r="K1638" t="n">
        <v>6</v>
      </c>
      <c r="L1638" t="n">
        <v>6</v>
      </c>
      <c r="M1638" t="n">
        <v>6</v>
      </c>
      <c r="N1638" t="n">
        <v>6</v>
      </c>
      <c r="O1638" t="n">
        <v>30</v>
      </c>
      <c r="P1638" t="n">
        <v>6</v>
      </c>
      <c r="R1638" s="9" t="n">
        <v>0.06</v>
      </c>
      <c r="S1638" s="10" t="inlineStr">
        <is>
          <t>Absorbido en FF8 (catálogo país se reutiliza)</t>
        </is>
      </c>
      <c r="T1638" s="11" t="n"/>
      <c r="U1638" s="11" t="inlineStr">
        <is>
          <t>DEL BANCO (se hereda)</t>
        </is>
      </c>
      <c r="V1638" s="11" t="n"/>
      <c r="W1638" s="12" t="n"/>
      <c r="X1638" s="12" t="n"/>
    </row>
    <row r="1639" ht="15" customHeight="1">
      <c r="C1639" t="inlineStr">
        <is>
          <t>Envío o recepción de transferencias internacionales</t>
        </is>
      </c>
      <c r="D1639" t="inlineStr">
        <is>
          <t>F26</t>
        </is>
      </c>
      <c r="E1639" t="inlineStr">
        <is>
          <t>TRANSACCIONAL</t>
        </is>
      </c>
      <c r="F1639" t="inlineStr">
        <is>
          <t>KENYA</t>
        </is>
      </c>
      <c r="G1639" t="inlineStr">
        <is>
          <t>KE</t>
        </is>
      </c>
      <c r="H1639" t="n">
        <v>4</v>
      </c>
      <c r="I1639" t="n">
        <v>4</v>
      </c>
      <c r="J1639" t="n">
        <v>6</v>
      </c>
      <c r="K1639" t="n">
        <v>24</v>
      </c>
      <c r="L1639" t="n">
        <v>24</v>
      </c>
      <c r="M1639" t="n">
        <v>24</v>
      </c>
      <c r="N1639" t="n">
        <v>24</v>
      </c>
      <c r="O1639" t="n">
        <v>30</v>
      </c>
      <c r="P1639" t="n">
        <v>6</v>
      </c>
      <c r="Q1639" t="inlineStr">
        <is>
          <t>DETERMINANTE</t>
        </is>
      </c>
      <c r="R1639" s="9" t="n">
        <v>0.06</v>
      </c>
      <c r="S1639" s="10" t="inlineStr">
        <is>
          <t>Absorbido en FF8 (catálogo país se reutiliza)</t>
        </is>
      </c>
      <c r="T1639" s="11" t="n"/>
      <c r="U1639" s="11" t="inlineStr">
        <is>
          <t>DEL BANCO (se hereda)</t>
        </is>
      </c>
      <c r="V1639" s="11" t="n"/>
      <c r="W1639" s="12" t="n"/>
      <c r="X1639" s="12" t="n"/>
    </row>
    <row r="1640" ht="15" customHeight="1">
      <c r="C1640" t="inlineStr">
        <is>
          <t>Envío o recepción de transferencias internacionales</t>
        </is>
      </c>
      <c r="D1640" t="inlineStr">
        <is>
          <t>F26</t>
        </is>
      </c>
      <c r="E1640" t="inlineStr">
        <is>
          <t>TRANSACCIONAL</t>
        </is>
      </c>
      <c r="F1640" t="inlineStr">
        <is>
          <t>KYRGYZSTAN</t>
        </is>
      </c>
      <c r="G1640" t="inlineStr">
        <is>
          <t>KG</t>
        </is>
      </c>
      <c r="H1640" t="n">
        <v>3</v>
      </c>
      <c r="I1640" t="n">
        <v>3</v>
      </c>
      <c r="J1640" t="n">
        <v>6</v>
      </c>
      <c r="K1640" t="n">
        <v>18</v>
      </c>
      <c r="L1640" t="n">
        <v>18</v>
      </c>
      <c r="M1640" t="n">
        <v>18</v>
      </c>
      <c r="N1640" t="n">
        <v>18</v>
      </c>
      <c r="O1640" t="n">
        <v>30</v>
      </c>
      <c r="P1640" t="n">
        <v>6</v>
      </c>
      <c r="R1640" s="9" t="n">
        <v>0.06</v>
      </c>
      <c r="S1640" s="10" t="inlineStr">
        <is>
          <t>Absorbido en FF8 (catálogo país se reutiliza)</t>
        </is>
      </c>
      <c r="T1640" s="11" t="n"/>
      <c r="U1640" s="11" t="inlineStr">
        <is>
          <t>DEL BANCO (se hereda)</t>
        </is>
      </c>
      <c r="V1640" s="11" t="n"/>
      <c r="W1640" s="12" t="n"/>
      <c r="X1640" s="12" t="n"/>
    </row>
    <row r="1641" ht="15" customHeight="1">
      <c r="C1641" t="inlineStr">
        <is>
          <t>Envío o recepción de transferencias internacionales</t>
        </is>
      </c>
      <c r="D1641" t="inlineStr">
        <is>
          <t>F26</t>
        </is>
      </c>
      <c r="E1641" t="inlineStr">
        <is>
          <t>TRANSACCIONAL</t>
        </is>
      </c>
      <c r="F1641" t="inlineStr">
        <is>
          <t>CAMBOYA</t>
        </is>
      </c>
      <c r="G1641" t="inlineStr">
        <is>
          <t>KH</t>
        </is>
      </c>
      <c r="H1641" t="n">
        <v>4</v>
      </c>
      <c r="I1641" t="n">
        <v>4</v>
      </c>
      <c r="J1641" t="n">
        <v>6</v>
      </c>
      <c r="K1641" t="n">
        <v>24</v>
      </c>
      <c r="L1641" t="n">
        <v>24</v>
      </c>
      <c r="M1641" t="n">
        <v>24</v>
      </c>
      <c r="N1641" t="n">
        <v>24</v>
      </c>
      <c r="O1641" t="n">
        <v>30</v>
      </c>
      <c r="P1641" t="n">
        <v>6</v>
      </c>
      <c r="R1641" s="9" t="n">
        <v>0.06</v>
      </c>
      <c r="S1641" s="10" t="inlineStr">
        <is>
          <t>Absorbido en FF8 (catálogo país se reutiliza)</t>
        </is>
      </c>
      <c r="T1641" s="11" t="n"/>
      <c r="U1641" s="11" t="inlineStr">
        <is>
          <t>DEL BANCO (se hereda)</t>
        </is>
      </c>
      <c r="V1641" s="11" t="n"/>
      <c r="W1641" s="12" t="n"/>
      <c r="X1641" s="12" t="n"/>
    </row>
    <row r="1642" ht="15" customHeight="1">
      <c r="C1642" t="inlineStr">
        <is>
          <t>Envío o recepción de transferencias internacionales</t>
        </is>
      </c>
      <c r="D1642" t="inlineStr">
        <is>
          <t>F26</t>
        </is>
      </c>
      <c r="E1642" t="inlineStr">
        <is>
          <t>TRANSACCIONAL</t>
        </is>
      </c>
      <c r="F1642" t="inlineStr">
        <is>
          <t>KIRIBATI</t>
        </is>
      </c>
      <c r="G1642" t="inlineStr">
        <is>
          <t>KI</t>
        </is>
      </c>
      <c r="H1642" t="n">
        <v>1</v>
      </c>
      <c r="I1642" t="n">
        <v>1</v>
      </c>
      <c r="J1642" t="n">
        <v>6</v>
      </c>
      <c r="K1642" t="n">
        <v>6</v>
      </c>
      <c r="L1642" t="n">
        <v>6</v>
      </c>
      <c r="M1642" t="n">
        <v>6</v>
      </c>
      <c r="N1642" t="n">
        <v>6</v>
      </c>
      <c r="O1642" t="n">
        <v>30</v>
      </c>
      <c r="P1642" t="n">
        <v>6</v>
      </c>
      <c r="R1642" s="9" t="n">
        <v>0.06</v>
      </c>
      <c r="S1642" s="10" t="inlineStr">
        <is>
          <t>Absorbido en FF8 (catálogo país se reutiliza)</t>
        </is>
      </c>
      <c r="T1642" s="11" t="n"/>
      <c r="U1642" s="11" t="inlineStr">
        <is>
          <t>DEL BANCO (se hereda)</t>
        </is>
      </c>
      <c r="V1642" s="11" t="n"/>
      <c r="W1642" s="12" t="n"/>
      <c r="X1642" s="12" t="n"/>
    </row>
    <row r="1643" ht="15" customHeight="1">
      <c r="C1643" t="inlineStr">
        <is>
          <t>Envío o recepción de transferencias internacionales</t>
        </is>
      </c>
      <c r="D1643" t="inlineStr">
        <is>
          <t>F26</t>
        </is>
      </c>
      <c r="E1643" t="inlineStr">
        <is>
          <t>TRANSACCIONAL</t>
        </is>
      </c>
      <c r="F1643" t="inlineStr">
        <is>
          <t>COMORES</t>
        </is>
      </c>
      <c r="G1643" t="inlineStr">
        <is>
          <t>KM</t>
        </is>
      </c>
      <c r="H1643" t="n">
        <v>4</v>
      </c>
      <c r="I1643" t="n">
        <v>4</v>
      </c>
      <c r="J1643" t="n">
        <v>6</v>
      </c>
      <c r="K1643" t="n">
        <v>24</v>
      </c>
      <c r="L1643" t="n">
        <v>24</v>
      </c>
      <c r="M1643" t="n">
        <v>24</v>
      </c>
      <c r="N1643" t="n">
        <v>24</v>
      </c>
      <c r="O1643" t="n">
        <v>30</v>
      </c>
      <c r="P1643" t="n">
        <v>6</v>
      </c>
      <c r="R1643" s="9" t="n">
        <v>0.06</v>
      </c>
      <c r="S1643" s="10" t="inlineStr">
        <is>
          <t>Absorbido en FF8 (catálogo país se reutiliza)</t>
        </is>
      </c>
      <c r="T1643" s="11" t="n"/>
      <c r="U1643" s="11" t="inlineStr">
        <is>
          <t>DEL BANCO (se hereda)</t>
        </is>
      </c>
      <c r="V1643" s="11" t="n"/>
      <c r="W1643" s="12" t="n"/>
      <c r="X1643" s="12" t="n"/>
    </row>
    <row r="1644" ht="15" customHeight="1">
      <c r="C1644" t="inlineStr">
        <is>
          <t>Envío o recepción de transferencias internacionales</t>
        </is>
      </c>
      <c r="D1644" t="inlineStr">
        <is>
          <t>F26</t>
        </is>
      </c>
      <c r="E1644" t="inlineStr">
        <is>
          <t>TRANSACCIONAL</t>
        </is>
      </c>
      <c r="F1644" t="inlineStr">
        <is>
          <t>SAINT KITTS AND NEVI</t>
        </is>
      </c>
      <c r="G1644" t="inlineStr">
        <is>
          <t>KN</t>
        </is>
      </c>
      <c r="H1644" t="n">
        <v>3</v>
      </c>
      <c r="I1644" t="n">
        <v>3</v>
      </c>
      <c r="J1644" t="n">
        <v>6</v>
      </c>
      <c r="K1644" t="n">
        <v>18</v>
      </c>
      <c r="L1644" t="n">
        <v>18</v>
      </c>
      <c r="M1644" t="n">
        <v>18</v>
      </c>
      <c r="N1644" t="n">
        <v>18</v>
      </c>
      <c r="O1644" t="n">
        <v>30</v>
      </c>
      <c r="P1644" t="n">
        <v>6</v>
      </c>
      <c r="R1644" s="9" t="n">
        <v>0.06</v>
      </c>
      <c r="S1644" s="10" t="inlineStr">
        <is>
          <t>Absorbido en FF8 (catálogo país se reutiliza)</t>
        </is>
      </c>
      <c r="T1644" s="11" t="n"/>
      <c r="U1644" s="11" t="inlineStr">
        <is>
          <t>DEL BANCO (se hereda)</t>
        </is>
      </c>
      <c r="V1644" s="11" t="n"/>
      <c r="W1644" s="12" t="n"/>
      <c r="X1644" s="12" t="n"/>
    </row>
    <row r="1645" ht="15" customHeight="1">
      <c r="C1645" t="inlineStr">
        <is>
          <t>Envío o recepción de transferencias internacionales</t>
        </is>
      </c>
      <c r="D1645" t="inlineStr">
        <is>
          <t>F26</t>
        </is>
      </c>
      <c r="E1645" t="inlineStr">
        <is>
          <t>TRANSACCIONAL</t>
        </is>
      </c>
      <c r="F1645" t="inlineStr">
        <is>
          <t>COREA DEL NORTE</t>
        </is>
      </c>
      <c r="G1645" t="inlineStr">
        <is>
          <t>KP</t>
        </is>
      </c>
      <c r="H1645" t="n">
        <v>5</v>
      </c>
      <c r="I1645" t="n">
        <v>5</v>
      </c>
      <c r="J1645" t="n">
        <v>6</v>
      </c>
      <c r="K1645" t="n">
        <v>30</v>
      </c>
      <c r="L1645" t="n">
        <v>30</v>
      </c>
      <c r="M1645" t="n">
        <v>30</v>
      </c>
      <c r="N1645" t="n">
        <v>30</v>
      </c>
      <c r="O1645" t="n">
        <v>30</v>
      </c>
      <c r="P1645" t="n">
        <v>6</v>
      </c>
      <c r="Q1645" t="inlineStr">
        <is>
          <t>PROHIBITIVO</t>
        </is>
      </c>
      <c r="R1645" s="9" t="n">
        <v>0.06</v>
      </c>
      <c r="S1645" s="10" t="inlineStr">
        <is>
          <t>Absorbido en FF8 (catálogo país se reutiliza)</t>
        </is>
      </c>
      <c r="T1645" s="11" t="n"/>
      <c r="U1645" s="11" t="inlineStr">
        <is>
          <t>DEL BANCO (se hereda)</t>
        </is>
      </c>
      <c r="V1645" s="11" t="n"/>
      <c r="W1645" s="12" t="n"/>
      <c r="X1645" s="12" t="n"/>
    </row>
    <row r="1646" ht="15" customHeight="1">
      <c r="C1646" t="inlineStr">
        <is>
          <t>Envío o recepción de transferencias internacionales</t>
        </is>
      </c>
      <c r="D1646" t="inlineStr">
        <is>
          <t>F26</t>
        </is>
      </c>
      <c r="E1646" t="inlineStr">
        <is>
          <t>TRANSACCIONAL</t>
        </is>
      </c>
      <c r="F1646" t="inlineStr">
        <is>
          <t>COREA DEL SUR</t>
        </is>
      </c>
      <c r="G1646" t="inlineStr">
        <is>
          <t>KR</t>
        </is>
      </c>
      <c r="H1646" t="n">
        <v>1</v>
      </c>
      <c r="I1646" t="n">
        <v>1</v>
      </c>
      <c r="J1646" t="n">
        <v>6</v>
      </c>
      <c r="K1646" t="n">
        <v>6</v>
      </c>
      <c r="L1646" t="n">
        <v>6</v>
      </c>
      <c r="M1646" t="n">
        <v>6</v>
      </c>
      <c r="N1646" t="n">
        <v>6</v>
      </c>
      <c r="O1646" t="n">
        <v>30</v>
      </c>
      <c r="P1646" t="n">
        <v>6</v>
      </c>
      <c r="R1646" s="9" t="n">
        <v>0.06</v>
      </c>
      <c r="S1646" s="10" t="inlineStr">
        <is>
          <t>Absorbido en FF8 (catálogo país se reutiliza)</t>
        </is>
      </c>
      <c r="T1646" s="11" t="n"/>
      <c r="U1646" s="11" t="inlineStr">
        <is>
          <t>DEL BANCO (se hereda)</t>
        </is>
      </c>
      <c r="V1646" s="11" t="n"/>
      <c r="W1646" s="12" t="n"/>
      <c r="X1646" s="12" t="n"/>
    </row>
    <row r="1647" ht="15" customHeight="1">
      <c r="C1647" t="inlineStr">
        <is>
          <t>Envío o recepción de transferencias internacionales</t>
        </is>
      </c>
      <c r="D1647" t="inlineStr">
        <is>
          <t>F26</t>
        </is>
      </c>
      <c r="E1647" t="inlineStr">
        <is>
          <t>TRANSACCIONAL</t>
        </is>
      </c>
      <c r="F1647" t="inlineStr">
        <is>
          <t>KUWAIT</t>
        </is>
      </c>
      <c r="G1647" t="inlineStr">
        <is>
          <t>KW</t>
        </is>
      </c>
      <c r="H1647" t="n">
        <v>4</v>
      </c>
      <c r="I1647" t="n">
        <v>4</v>
      </c>
      <c r="J1647" t="n">
        <v>6</v>
      </c>
      <c r="K1647" t="n">
        <v>24</v>
      </c>
      <c r="L1647" t="n">
        <v>24</v>
      </c>
      <c r="M1647" t="n">
        <v>24</v>
      </c>
      <c r="N1647" t="n">
        <v>24</v>
      </c>
      <c r="O1647" t="n">
        <v>30</v>
      </c>
      <c r="P1647" t="n">
        <v>6</v>
      </c>
      <c r="Q1647" t="inlineStr">
        <is>
          <t>DETERMINANTE</t>
        </is>
      </c>
      <c r="R1647" s="9" t="n">
        <v>0.06</v>
      </c>
      <c r="S1647" s="10" t="inlineStr">
        <is>
          <t>Absorbido en FF8 (catálogo país se reutiliza)</t>
        </is>
      </c>
      <c r="T1647" s="11" t="n"/>
      <c r="U1647" s="11" t="inlineStr">
        <is>
          <t>DEL BANCO (se hereda)</t>
        </is>
      </c>
      <c r="V1647" s="11" t="n"/>
      <c r="W1647" s="12" t="n"/>
      <c r="X1647" s="12" t="n"/>
    </row>
    <row r="1648" ht="15" customHeight="1">
      <c r="C1648" t="inlineStr">
        <is>
          <t>Envío o recepción de transferencias internacionales</t>
        </is>
      </c>
      <c r="D1648" t="inlineStr">
        <is>
          <t>F26</t>
        </is>
      </c>
      <c r="E1648" t="inlineStr">
        <is>
          <t>TRANSACCIONAL</t>
        </is>
      </c>
      <c r="F1648" t="inlineStr">
        <is>
          <t>ISLAS CAIMAN</t>
        </is>
      </c>
      <c r="G1648" t="inlineStr">
        <is>
          <t>KY</t>
        </is>
      </c>
      <c r="H1648" t="n">
        <v>3</v>
      </c>
      <c r="I1648" t="n">
        <v>3</v>
      </c>
      <c r="J1648" t="n">
        <v>6</v>
      </c>
      <c r="K1648" t="n">
        <v>18</v>
      </c>
      <c r="L1648" t="n">
        <v>18</v>
      </c>
      <c r="M1648" t="n">
        <v>18</v>
      </c>
      <c r="N1648" t="n">
        <v>18</v>
      </c>
      <c r="O1648" t="n">
        <v>30</v>
      </c>
      <c r="P1648" t="n">
        <v>6</v>
      </c>
      <c r="R1648" s="9" t="n">
        <v>0.06</v>
      </c>
      <c r="S1648" s="10" t="inlineStr">
        <is>
          <t>Absorbido en FF8 (catálogo país se reutiliza)</t>
        </is>
      </c>
      <c r="T1648" s="11" t="n"/>
      <c r="U1648" s="11" t="inlineStr">
        <is>
          <t>DEL BANCO (se hereda)</t>
        </is>
      </c>
      <c r="V1648" s="11" t="n"/>
      <c r="W1648" s="12" t="n"/>
      <c r="X1648" s="12" t="n"/>
    </row>
    <row r="1649" ht="15" customHeight="1">
      <c r="C1649" t="inlineStr">
        <is>
          <t>Envío o recepción de transferencias internacionales</t>
        </is>
      </c>
      <c r="D1649" t="inlineStr">
        <is>
          <t>F26</t>
        </is>
      </c>
      <c r="E1649" t="inlineStr">
        <is>
          <t>TRANSACCIONAL</t>
        </is>
      </c>
      <c r="F1649" t="inlineStr">
        <is>
          <t>KAZAKSTAN</t>
        </is>
      </c>
      <c r="G1649" t="inlineStr">
        <is>
          <t>KZ</t>
        </is>
      </c>
      <c r="H1649" t="n">
        <v>2</v>
      </c>
      <c r="I1649" t="n">
        <v>2</v>
      </c>
      <c r="J1649" t="n">
        <v>6</v>
      </c>
      <c r="K1649" t="n">
        <v>12</v>
      </c>
      <c r="L1649" t="n">
        <v>12</v>
      </c>
      <c r="M1649" t="n">
        <v>12</v>
      </c>
      <c r="N1649" t="n">
        <v>12</v>
      </c>
      <c r="O1649" t="n">
        <v>30</v>
      </c>
      <c r="P1649" t="n">
        <v>6</v>
      </c>
      <c r="R1649" s="9" t="n">
        <v>0.06</v>
      </c>
      <c r="S1649" s="10" t="inlineStr">
        <is>
          <t>Absorbido en FF8 (catálogo país se reutiliza)</t>
        </is>
      </c>
      <c r="T1649" s="11" t="n"/>
      <c r="U1649" s="11" t="inlineStr">
        <is>
          <t>DEL BANCO (se hereda)</t>
        </is>
      </c>
      <c r="V1649" s="11" t="n"/>
      <c r="W1649" s="12" t="n"/>
      <c r="X1649" s="12" t="n"/>
    </row>
    <row r="1650" ht="15" customHeight="1">
      <c r="C1650" t="inlineStr">
        <is>
          <t>Envío o recepción de transferencias internacionales</t>
        </is>
      </c>
      <c r="D1650" t="inlineStr">
        <is>
          <t>F26</t>
        </is>
      </c>
      <c r="E1650" t="inlineStr">
        <is>
          <t>TRANSACCIONAL</t>
        </is>
      </c>
      <c r="F1650" t="inlineStr">
        <is>
          <t>LAOS</t>
        </is>
      </c>
      <c r="G1650" t="inlineStr">
        <is>
          <t>LA</t>
        </is>
      </c>
      <c r="H1650" t="n">
        <v>4</v>
      </c>
      <c r="I1650" t="n">
        <v>4</v>
      </c>
      <c r="J1650" t="n">
        <v>6</v>
      </c>
      <c r="K1650" t="n">
        <v>24</v>
      </c>
      <c r="L1650" t="n">
        <v>24</v>
      </c>
      <c r="M1650" t="n">
        <v>24</v>
      </c>
      <c r="N1650" t="n">
        <v>24</v>
      </c>
      <c r="O1650" t="n">
        <v>30</v>
      </c>
      <c r="P1650" t="n">
        <v>6</v>
      </c>
      <c r="Q1650" t="inlineStr">
        <is>
          <t>DETERMINANTE</t>
        </is>
      </c>
      <c r="R1650" s="9" t="n">
        <v>0.06</v>
      </c>
      <c r="S1650" s="10" t="inlineStr">
        <is>
          <t>Absorbido en FF8 (catálogo país se reutiliza)</t>
        </is>
      </c>
      <c r="T1650" s="11" t="n"/>
      <c r="U1650" s="11" t="inlineStr">
        <is>
          <t>DEL BANCO (se hereda)</t>
        </is>
      </c>
      <c r="V1650" s="11" t="n"/>
      <c r="W1650" s="12" t="n"/>
      <c r="X1650" s="12" t="n"/>
    </row>
    <row r="1651" ht="15" customHeight="1">
      <c r="C1651" t="inlineStr">
        <is>
          <t>Envío o recepción de transferencias internacionales</t>
        </is>
      </c>
      <c r="D1651" t="inlineStr">
        <is>
          <t>F26</t>
        </is>
      </c>
      <c r="E1651" t="inlineStr">
        <is>
          <t>TRANSACCIONAL</t>
        </is>
      </c>
      <c r="F1651" t="inlineStr">
        <is>
          <t>LIBANO</t>
        </is>
      </c>
      <c r="G1651" t="inlineStr">
        <is>
          <t>LB</t>
        </is>
      </c>
      <c r="H1651" t="n">
        <v>4</v>
      </c>
      <c r="I1651" t="n">
        <v>4</v>
      </c>
      <c r="J1651" t="n">
        <v>6</v>
      </c>
      <c r="K1651" t="n">
        <v>24</v>
      </c>
      <c r="L1651" t="n">
        <v>24</v>
      </c>
      <c r="M1651" t="n">
        <v>24</v>
      </c>
      <c r="N1651" t="n">
        <v>24</v>
      </c>
      <c r="O1651" t="n">
        <v>30</v>
      </c>
      <c r="P1651" t="n">
        <v>6</v>
      </c>
      <c r="Q1651" t="inlineStr">
        <is>
          <t>DETERMINANTE</t>
        </is>
      </c>
      <c r="R1651" s="9" t="n">
        <v>0.06</v>
      </c>
      <c r="S1651" s="10" t="inlineStr">
        <is>
          <t>Absorbido en FF8 (catálogo país se reutiliza)</t>
        </is>
      </c>
      <c r="T1651" s="11" t="n"/>
      <c r="U1651" s="11" t="inlineStr">
        <is>
          <t>DEL BANCO (se hereda)</t>
        </is>
      </c>
      <c r="V1651" s="11" t="n"/>
      <c r="W1651" s="12" t="n"/>
      <c r="X1651" s="12" t="n"/>
    </row>
    <row r="1652" ht="15" customHeight="1">
      <c r="C1652" t="inlineStr">
        <is>
          <t>Envío o recepción de transferencias internacionales</t>
        </is>
      </c>
      <c r="D1652" t="inlineStr">
        <is>
          <t>F26</t>
        </is>
      </c>
      <c r="E1652" t="inlineStr">
        <is>
          <t>TRANSACCIONAL</t>
        </is>
      </c>
      <c r="F1652" t="inlineStr">
        <is>
          <t>SANTA LUCIA</t>
        </is>
      </c>
      <c r="G1652" t="inlineStr">
        <is>
          <t>LC</t>
        </is>
      </c>
      <c r="H1652" t="n">
        <v>3</v>
      </c>
      <c r="I1652" t="n">
        <v>3</v>
      </c>
      <c r="J1652" t="n">
        <v>6</v>
      </c>
      <c r="K1652" t="n">
        <v>18</v>
      </c>
      <c r="L1652" t="n">
        <v>18</v>
      </c>
      <c r="M1652" t="n">
        <v>18</v>
      </c>
      <c r="N1652" t="n">
        <v>18</v>
      </c>
      <c r="O1652" t="n">
        <v>30</v>
      </c>
      <c r="P1652" t="n">
        <v>6</v>
      </c>
      <c r="R1652" s="9" t="n">
        <v>0.06</v>
      </c>
      <c r="S1652" s="10" t="inlineStr">
        <is>
          <t>Absorbido en FF8 (catálogo país se reutiliza)</t>
        </is>
      </c>
      <c r="T1652" s="11" t="n"/>
      <c r="U1652" s="11" t="inlineStr">
        <is>
          <t>DEL BANCO (se hereda)</t>
        </is>
      </c>
      <c r="V1652" s="11" t="n"/>
      <c r="W1652" s="12" t="n"/>
      <c r="X1652" s="12" t="n"/>
    </row>
    <row r="1653" ht="15" customHeight="1">
      <c r="C1653" t="inlineStr">
        <is>
          <t>Envío o recepción de transferencias internacionales</t>
        </is>
      </c>
      <c r="D1653" t="inlineStr">
        <is>
          <t>F26</t>
        </is>
      </c>
      <c r="E1653" t="inlineStr">
        <is>
          <t>TRANSACCIONAL</t>
        </is>
      </c>
      <c r="F1653" t="inlineStr">
        <is>
          <t>LIECHTENSTEIN</t>
        </is>
      </c>
      <c r="G1653" t="inlineStr">
        <is>
          <t>LI</t>
        </is>
      </c>
      <c r="H1653" t="n">
        <v>3</v>
      </c>
      <c r="I1653" t="n">
        <v>3</v>
      </c>
      <c r="J1653" t="n">
        <v>6</v>
      </c>
      <c r="K1653" t="n">
        <v>18</v>
      </c>
      <c r="L1653" t="n">
        <v>18</v>
      </c>
      <c r="M1653" t="n">
        <v>18</v>
      </c>
      <c r="N1653" t="n">
        <v>18</v>
      </c>
      <c r="O1653" t="n">
        <v>30</v>
      </c>
      <c r="P1653" t="n">
        <v>6</v>
      </c>
      <c r="R1653" s="9" t="n">
        <v>0.06</v>
      </c>
      <c r="S1653" s="10" t="inlineStr">
        <is>
          <t>Absorbido en FF8 (catálogo país se reutiliza)</t>
        </is>
      </c>
      <c r="T1653" s="11" t="n"/>
      <c r="U1653" s="11" t="inlineStr">
        <is>
          <t>DEL BANCO (se hereda)</t>
        </is>
      </c>
      <c r="V1653" s="11" t="n"/>
      <c r="W1653" s="12" t="n"/>
      <c r="X1653" s="12" t="n"/>
    </row>
    <row r="1654" ht="15" customHeight="1">
      <c r="C1654" t="inlineStr">
        <is>
          <t>Envío o recepción de transferencias internacionales</t>
        </is>
      </c>
      <c r="D1654" t="inlineStr">
        <is>
          <t>F26</t>
        </is>
      </c>
      <c r="E1654" t="inlineStr">
        <is>
          <t>TRANSACCIONAL</t>
        </is>
      </c>
      <c r="F1654" t="inlineStr">
        <is>
          <t>SRI LANKA</t>
        </is>
      </c>
      <c r="G1654" t="inlineStr">
        <is>
          <t>LK</t>
        </is>
      </c>
      <c r="H1654" t="n">
        <v>2</v>
      </c>
      <c r="I1654" t="n">
        <v>2</v>
      </c>
      <c r="J1654" t="n">
        <v>6</v>
      </c>
      <c r="K1654" t="n">
        <v>12</v>
      </c>
      <c r="L1654" t="n">
        <v>12</v>
      </c>
      <c r="M1654" t="n">
        <v>12</v>
      </c>
      <c r="N1654" t="n">
        <v>12</v>
      </c>
      <c r="O1654" t="n">
        <v>30</v>
      </c>
      <c r="P1654" t="n">
        <v>6</v>
      </c>
      <c r="R1654" s="9" t="n">
        <v>0.06</v>
      </c>
      <c r="S1654" s="10" t="inlineStr">
        <is>
          <t>Absorbido en FF8 (catálogo país se reutiliza)</t>
        </is>
      </c>
      <c r="T1654" s="11" t="n"/>
      <c r="U1654" s="11" t="inlineStr">
        <is>
          <t>DEL BANCO (se hereda)</t>
        </is>
      </c>
      <c r="V1654" s="11" t="n"/>
      <c r="W1654" s="12" t="n"/>
      <c r="X1654" s="12" t="n"/>
    </row>
    <row r="1655" ht="15" customHeight="1">
      <c r="C1655" t="inlineStr">
        <is>
          <t>Envío o recepción de transferencias internacionales</t>
        </is>
      </c>
      <c r="D1655" t="inlineStr">
        <is>
          <t>F26</t>
        </is>
      </c>
      <c r="E1655" t="inlineStr">
        <is>
          <t>TRANSACCIONAL</t>
        </is>
      </c>
      <c r="F1655" t="inlineStr">
        <is>
          <t>LIBERIA</t>
        </is>
      </c>
      <c r="G1655" t="inlineStr">
        <is>
          <t>LR</t>
        </is>
      </c>
      <c r="H1655" t="n">
        <v>3</v>
      </c>
      <c r="I1655" t="n">
        <v>3</v>
      </c>
      <c r="J1655" t="n">
        <v>6</v>
      </c>
      <c r="K1655" t="n">
        <v>18</v>
      </c>
      <c r="L1655" t="n">
        <v>18</v>
      </c>
      <c r="M1655" t="n">
        <v>18</v>
      </c>
      <c r="N1655" t="n">
        <v>18</v>
      </c>
      <c r="O1655" t="n">
        <v>30</v>
      </c>
      <c r="P1655" t="n">
        <v>6</v>
      </c>
      <c r="R1655" s="9" t="n">
        <v>0.06</v>
      </c>
      <c r="S1655" s="10" t="inlineStr">
        <is>
          <t>Absorbido en FF8 (catálogo país se reutiliza)</t>
        </is>
      </c>
      <c r="T1655" s="11" t="n"/>
      <c r="U1655" s="11" t="inlineStr">
        <is>
          <t>DEL BANCO (se hereda)</t>
        </is>
      </c>
      <c r="V1655" s="11" t="n"/>
      <c r="W1655" s="12" t="n"/>
      <c r="X1655" s="12" t="n"/>
    </row>
    <row r="1656" ht="15" customHeight="1">
      <c r="C1656" t="inlineStr">
        <is>
          <t>Envío o recepción de transferencias internacionales</t>
        </is>
      </c>
      <c r="D1656" t="inlineStr">
        <is>
          <t>F26</t>
        </is>
      </c>
      <c r="E1656" t="inlineStr">
        <is>
          <t>TRANSACCIONAL</t>
        </is>
      </c>
      <c r="F1656" t="inlineStr">
        <is>
          <t>LESOTHO</t>
        </is>
      </c>
      <c r="G1656" t="inlineStr">
        <is>
          <t>LS</t>
        </is>
      </c>
      <c r="H1656" t="n">
        <v>3</v>
      </c>
      <c r="I1656" t="n">
        <v>3</v>
      </c>
      <c r="J1656" t="n">
        <v>6</v>
      </c>
      <c r="K1656" t="n">
        <v>18</v>
      </c>
      <c r="L1656" t="n">
        <v>18</v>
      </c>
      <c r="M1656" t="n">
        <v>18</v>
      </c>
      <c r="N1656" t="n">
        <v>18</v>
      </c>
      <c r="O1656" t="n">
        <v>30</v>
      </c>
      <c r="P1656" t="n">
        <v>6</v>
      </c>
      <c r="R1656" s="9" t="n">
        <v>0.06</v>
      </c>
      <c r="S1656" s="10" t="inlineStr">
        <is>
          <t>Absorbido en FF8 (catálogo país se reutiliza)</t>
        </is>
      </c>
      <c r="T1656" s="11" t="n"/>
      <c r="U1656" s="11" t="inlineStr">
        <is>
          <t>DEL BANCO (se hereda)</t>
        </is>
      </c>
      <c r="V1656" s="11" t="n"/>
      <c r="W1656" s="12" t="n"/>
      <c r="X1656" s="12" t="n"/>
    </row>
    <row r="1657" ht="15" customHeight="1">
      <c r="C1657" t="inlineStr">
        <is>
          <t>Envío o recepción de transferencias internacionales</t>
        </is>
      </c>
      <c r="D1657" t="inlineStr">
        <is>
          <t>F26</t>
        </is>
      </c>
      <c r="E1657" t="inlineStr">
        <is>
          <t>TRANSACCIONAL</t>
        </is>
      </c>
      <c r="F1657" t="inlineStr">
        <is>
          <t>LITUANIA</t>
        </is>
      </c>
      <c r="G1657" t="inlineStr">
        <is>
          <t>LT</t>
        </is>
      </c>
      <c r="H1657" t="n">
        <v>1</v>
      </c>
      <c r="I1657" t="n">
        <v>1</v>
      </c>
      <c r="J1657" t="n">
        <v>6</v>
      </c>
      <c r="K1657" t="n">
        <v>6</v>
      </c>
      <c r="L1657" t="n">
        <v>6</v>
      </c>
      <c r="M1657" t="n">
        <v>6</v>
      </c>
      <c r="N1657" t="n">
        <v>6</v>
      </c>
      <c r="O1657" t="n">
        <v>30</v>
      </c>
      <c r="P1657" t="n">
        <v>6</v>
      </c>
      <c r="R1657" s="9" t="n">
        <v>0.06</v>
      </c>
      <c r="S1657" s="10" t="inlineStr">
        <is>
          <t>Absorbido en FF8 (catálogo país se reutiliza)</t>
        </is>
      </c>
      <c r="T1657" s="11" t="n"/>
      <c r="U1657" s="11" t="inlineStr">
        <is>
          <t>DEL BANCO (se hereda)</t>
        </is>
      </c>
      <c r="V1657" s="11" t="n"/>
      <c r="W1657" s="12" t="n"/>
      <c r="X1657" s="12" t="n"/>
    </row>
    <row r="1658" ht="15" customHeight="1">
      <c r="C1658" t="inlineStr">
        <is>
          <t>Envío o recepción de transferencias internacionales</t>
        </is>
      </c>
      <c r="D1658" t="inlineStr">
        <is>
          <t>F26</t>
        </is>
      </c>
      <c r="E1658" t="inlineStr">
        <is>
          <t>TRANSACCIONAL</t>
        </is>
      </c>
      <c r="F1658" t="inlineStr">
        <is>
          <t>LUXEMBURGO</t>
        </is>
      </c>
      <c r="G1658" t="inlineStr">
        <is>
          <t>LU</t>
        </is>
      </c>
      <c r="H1658" t="n">
        <v>3</v>
      </c>
      <c r="I1658" t="n">
        <v>3</v>
      </c>
      <c r="J1658" t="n">
        <v>6</v>
      </c>
      <c r="K1658" t="n">
        <v>18</v>
      </c>
      <c r="L1658" t="n">
        <v>18</v>
      </c>
      <c r="M1658" t="n">
        <v>18</v>
      </c>
      <c r="N1658" t="n">
        <v>18</v>
      </c>
      <c r="O1658" t="n">
        <v>30</v>
      </c>
      <c r="P1658" t="n">
        <v>6</v>
      </c>
      <c r="R1658" s="9" t="n">
        <v>0.06</v>
      </c>
      <c r="S1658" s="10" t="inlineStr">
        <is>
          <t>Absorbido en FF8 (catálogo país se reutiliza)</t>
        </is>
      </c>
      <c r="T1658" s="11" t="n"/>
      <c r="U1658" s="11" t="inlineStr">
        <is>
          <t>DEL BANCO (se hereda)</t>
        </is>
      </c>
      <c r="V1658" s="11" t="n"/>
      <c r="W1658" s="12" t="n"/>
      <c r="X1658" s="12" t="n"/>
    </row>
    <row r="1659" ht="15" customHeight="1">
      <c r="C1659" t="inlineStr">
        <is>
          <t>Envío o recepción de transferencias internacionales</t>
        </is>
      </c>
      <c r="D1659" t="inlineStr">
        <is>
          <t>F26</t>
        </is>
      </c>
      <c r="E1659" t="inlineStr">
        <is>
          <t>TRANSACCIONAL</t>
        </is>
      </c>
      <c r="F1659" t="inlineStr">
        <is>
          <t>LATVIA</t>
        </is>
      </c>
      <c r="G1659" t="inlineStr">
        <is>
          <t>LV</t>
        </is>
      </c>
      <c r="H1659" t="n">
        <v>1</v>
      </c>
      <c r="I1659" t="n">
        <v>1</v>
      </c>
      <c r="J1659" t="n">
        <v>6</v>
      </c>
      <c r="K1659" t="n">
        <v>6</v>
      </c>
      <c r="L1659" t="n">
        <v>6</v>
      </c>
      <c r="M1659" t="n">
        <v>6</v>
      </c>
      <c r="N1659" t="n">
        <v>6</v>
      </c>
      <c r="O1659" t="n">
        <v>30</v>
      </c>
      <c r="P1659" t="n">
        <v>6</v>
      </c>
      <c r="R1659" s="9" t="n">
        <v>0.06</v>
      </c>
      <c r="S1659" s="10" t="inlineStr">
        <is>
          <t>Absorbido en FF8 (catálogo país se reutiliza)</t>
        </is>
      </c>
      <c r="T1659" s="11" t="n"/>
      <c r="U1659" s="11" t="inlineStr">
        <is>
          <t>DEL BANCO (se hereda)</t>
        </is>
      </c>
      <c r="V1659" s="11" t="n"/>
      <c r="W1659" s="12" t="n"/>
      <c r="X1659" s="12" t="n"/>
    </row>
    <row r="1660" ht="15" customHeight="1">
      <c r="C1660" t="inlineStr">
        <is>
          <t>Envío o recepción de transferencias internacionales</t>
        </is>
      </c>
      <c r="D1660" t="inlineStr">
        <is>
          <t>F26</t>
        </is>
      </c>
      <c r="E1660" t="inlineStr">
        <is>
          <t>TRANSACCIONAL</t>
        </is>
      </c>
      <c r="F1660" t="inlineStr">
        <is>
          <t>LIBIA</t>
        </is>
      </c>
      <c r="G1660" t="inlineStr">
        <is>
          <t>LY</t>
        </is>
      </c>
      <c r="H1660" t="n">
        <v>4</v>
      </c>
      <c r="I1660" t="n">
        <v>4</v>
      </c>
      <c r="J1660" t="n">
        <v>6</v>
      </c>
      <c r="K1660" t="n">
        <v>24</v>
      </c>
      <c r="L1660" t="n">
        <v>24</v>
      </c>
      <c r="M1660" t="n">
        <v>24</v>
      </c>
      <c r="N1660" t="n">
        <v>24</v>
      </c>
      <c r="O1660" t="n">
        <v>30</v>
      </c>
      <c r="P1660" t="n">
        <v>6</v>
      </c>
      <c r="R1660" s="9" t="n">
        <v>0.06</v>
      </c>
      <c r="S1660" s="10" t="inlineStr">
        <is>
          <t>Absorbido en FF8 (catálogo país se reutiliza)</t>
        </is>
      </c>
      <c r="T1660" s="11" t="n"/>
      <c r="U1660" s="11" t="inlineStr">
        <is>
          <t>DEL BANCO (se hereda)</t>
        </is>
      </c>
      <c r="V1660" s="11" t="n"/>
      <c r="W1660" s="12" t="n"/>
      <c r="X1660" s="12" t="n"/>
    </row>
    <row r="1661" ht="15" customHeight="1">
      <c r="C1661" t="inlineStr">
        <is>
          <t>Envío o recepción de transferencias internacionales</t>
        </is>
      </c>
      <c r="D1661" t="inlineStr">
        <is>
          <t>F26</t>
        </is>
      </c>
      <c r="E1661" t="inlineStr">
        <is>
          <t>TRANSACCIONAL</t>
        </is>
      </c>
      <c r="F1661" t="inlineStr">
        <is>
          <t>MARRUECOS</t>
        </is>
      </c>
      <c r="G1661" t="inlineStr">
        <is>
          <t>MA</t>
        </is>
      </c>
      <c r="H1661" t="n">
        <v>2</v>
      </c>
      <c r="I1661" t="n">
        <v>2</v>
      </c>
      <c r="J1661" t="n">
        <v>6</v>
      </c>
      <c r="K1661" t="n">
        <v>12</v>
      </c>
      <c r="L1661" t="n">
        <v>12</v>
      </c>
      <c r="M1661" t="n">
        <v>12</v>
      </c>
      <c r="N1661" t="n">
        <v>12</v>
      </c>
      <c r="O1661" t="n">
        <v>30</v>
      </c>
      <c r="P1661" t="n">
        <v>6</v>
      </c>
      <c r="R1661" s="9" t="n">
        <v>0.06</v>
      </c>
      <c r="S1661" s="10" t="inlineStr">
        <is>
          <t>Absorbido en FF8 (catálogo país se reutiliza)</t>
        </is>
      </c>
      <c r="T1661" s="11" t="n"/>
      <c r="U1661" s="11" t="inlineStr">
        <is>
          <t>DEL BANCO (se hereda)</t>
        </is>
      </c>
      <c r="V1661" s="11" t="n"/>
      <c r="W1661" s="12" t="n"/>
      <c r="X1661" s="12" t="n"/>
    </row>
    <row r="1662" ht="15" customHeight="1">
      <c r="C1662" t="inlineStr">
        <is>
          <t>Envío o recepción de transferencias internacionales</t>
        </is>
      </c>
      <c r="D1662" t="inlineStr">
        <is>
          <t>F26</t>
        </is>
      </c>
      <c r="E1662" t="inlineStr">
        <is>
          <t>TRANSACCIONAL</t>
        </is>
      </c>
      <c r="F1662" t="inlineStr">
        <is>
          <t>MONACO</t>
        </is>
      </c>
      <c r="G1662" t="inlineStr">
        <is>
          <t>MC</t>
        </is>
      </c>
      <c r="H1662" t="n">
        <v>4</v>
      </c>
      <c r="I1662" t="n">
        <v>4</v>
      </c>
      <c r="J1662" t="n">
        <v>6</v>
      </c>
      <c r="K1662" t="n">
        <v>24</v>
      </c>
      <c r="L1662" t="n">
        <v>24</v>
      </c>
      <c r="M1662" t="n">
        <v>24</v>
      </c>
      <c r="N1662" t="n">
        <v>24</v>
      </c>
      <c r="O1662" t="n">
        <v>30</v>
      </c>
      <c r="P1662" t="n">
        <v>6</v>
      </c>
      <c r="Q1662" t="inlineStr">
        <is>
          <t>DETERMINANTE</t>
        </is>
      </c>
      <c r="R1662" s="9" t="n">
        <v>0.06</v>
      </c>
      <c r="S1662" s="10" t="inlineStr">
        <is>
          <t>Absorbido en FF8 (catálogo país se reutiliza)</t>
        </is>
      </c>
      <c r="T1662" s="11" t="n"/>
      <c r="U1662" s="11" t="inlineStr">
        <is>
          <t>DEL BANCO (se hereda)</t>
        </is>
      </c>
      <c r="V1662" s="11" t="n"/>
      <c r="W1662" s="12" t="n"/>
      <c r="X1662" s="12" t="n"/>
    </row>
    <row r="1663" ht="15" customHeight="1">
      <c r="C1663" t="inlineStr">
        <is>
          <t>Envío o recepción de transferencias internacionales</t>
        </is>
      </c>
      <c r="D1663" t="inlineStr">
        <is>
          <t>F26</t>
        </is>
      </c>
      <c r="E1663" t="inlineStr">
        <is>
          <t>TRANSACCIONAL</t>
        </is>
      </c>
      <c r="F1663" t="inlineStr">
        <is>
          <t>MOLDAVIA, REP.</t>
        </is>
      </c>
      <c r="G1663" t="inlineStr">
        <is>
          <t>MD</t>
        </is>
      </c>
      <c r="H1663" t="n">
        <v>2</v>
      </c>
      <c r="I1663" t="n">
        <v>2</v>
      </c>
      <c r="J1663" t="n">
        <v>6</v>
      </c>
      <c r="K1663" t="n">
        <v>12</v>
      </c>
      <c r="L1663" t="n">
        <v>12</v>
      </c>
      <c r="M1663" t="n">
        <v>12</v>
      </c>
      <c r="N1663" t="n">
        <v>12</v>
      </c>
      <c r="O1663" t="n">
        <v>30</v>
      </c>
      <c r="P1663" t="n">
        <v>6</v>
      </c>
      <c r="R1663" s="9" t="n">
        <v>0.06</v>
      </c>
      <c r="S1663" s="10" t="inlineStr">
        <is>
          <t>Absorbido en FF8 (catálogo país se reutiliza)</t>
        </is>
      </c>
      <c r="T1663" s="11" t="n"/>
      <c r="U1663" s="11" t="inlineStr">
        <is>
          <t>DEL BANCO (se hereda)</t>
        </is>
      </c>
      <c r="V1663" s="11" t="n"/>
      <c r="W1663" s="12" t="n"/>
      <c r="X1663" s="12" t="n"/>
    </row>
    <row r="1664" ht="15" customHeight="1">
      <c r="C1664" t="inlineStr">
        <is>
          <t>Envío o recepción de transferencias internacionales</t>
        </is>
      </c>
      <c r="D1664" t="inlineStr">
        <is>
          <t>F26</t>
        </is>
      </c>
      <c r="E1664" t="inlineStr">
        <is>
          <t>TRANSACCIONAL</t>
        </is>
      </c>
      <c r="F1664" t="inlineStr">
        <is>
          <t>MONTENEGRO</t>
        </is>
      </c>
      <c r="G1664" t="inlineStr">
        <is>
          <t>ME</t>
        </is>
      </c>
      <c r="H1664" t="n">
        <v>2</v>
      </c>
      <c r="I1664" t="n">
        <v>2</v>
      </c>
      <c r="J1664" t="n">
        <v>6</v>
      </c>
      <c r="K1664" t="n">
        <v>12</v>
      </c>
      <c r="L1664" t="n">
        <v>12</v>
      </c>
      <c r="M1664" t="n">
        <v>12</v>
      </c>
      <c r="N1664" t="n">
        <v>12</v>
      </c>
      <c r="O1664" t="n">
        <v>30</v>
      </c>
      <c r="P1664" t="n">
        <v>6</v>
      </c>
      <c r="R1664" s="9" t="n">
        <v>0.06</v>
      </c>
      <c r="S1664" s="10" t="inlineStr">
        <is>
          <t>Absorbido en FF8 (catálogo país se reutiliza)</t>
        </is>
      </c>
      <c r="T1664" s="11" t="n"/>
      <c r="U1664" s="11" t="inlineStr">
        <is>
          <t>DEL BANCO (se hereda)</t>
        </is>
      </c>
      <c r="V1664" s="11" t="n"/>
      <c r="W1664" s="12" t="n"/>
      <c r="X1664" s="12" t="n"/>
    </row>
    <row r="1665" ht="15" customHeight="1">
      <c r="C1665" t="inlineStr">
        <is>
          <t>Envío o recepción de transferencias internacionales</t>
        </is>
      </c>
      <c r="D1665" t="inlineStr">
        <is>
          <t>F26</t>
        </is>
      </c>
      <c r="E1665" t="inlineStr">
        <is>
          <t>TRANSACCIONAL</t>
        </is>
      </c>
      <c r="F1665" t="inlineStr">
        <is>
          <t>SAN MARTIN</t>
        </is>
      </c>
      <c r="G1665" t="inlineStr">
        <is>
          <t>MF</t>
        </is>
      </c>
      <c r="H1665" t="n">
        <v>1</v>
      </c>
      <c r="I1665" t="n">
        <v>1</v>
      </c>
      <c r="J1665" t="n">
        <v>6</v>
      </c>
      <c r="K1665" t="n">
        <v>6</v>
      </c>
      <c r="L1665" t="n">
        <v>6</v>
      </c>
      <c r="M1665" t="n">
        <v>6</v>
      </c>
      <c r="N1665" t="n">
        <v>6</v>
      </c>
      <c r="O1665" t="n">
        <v>30</v>
      </c>
      <c r="P1665" t="n">
        <v>6</v>
      </c>
      <c r="R1665" s="9" t="n">
        <v>0.06</v>
      </c>
      <c r="S1665" s="10" t="inlineStr">
        <is>
          <t>Absorbido en FF8 (catálogo país se reutiliza)</t>
        </is>
      </c>
      <c r="T1665" s="11" t="n"/>
      <c r="U1665" s="11" t="inlineStr">
        <is>
          <t>DEL BANCO (se hereda)</t>
        </is>
      </c>
      <c r="V1665" s="11" t="n"/>
      <c r="W1665" s="12" t="n"/>
      <c r="X1665" s="12" t="n"/>
    </row>
    <row r="1666" ht="15" customHeight="1">
      <c r="C1666" t="inlineStr">
        <is>
          <t>Envío o recepción de transferencias internacionales</t>
        </is>
      </c>
      <c r="D1666" t="inlineStr">
        <is>
          <t>F26</t>
        </is>
      </c>
      <c r="E1666" t="inlineStr">
        <is>
          <t>TRANSACCIONAL</t>
        </is>
      </c>
      <c r="F1666" t="inlineStr">
        <is>
          <t>MADAGASCAR</t>
        </is>
      </c>
      <c r="G1666" t="inlineStr">
        <is>
          <t>MG</t>
        </is>
      </c>
      <c r="H1666" t="n">
        <v>4</v>
      </c>
      <c r="I1666" t="n">
        <v>4</v>
      </c>
      <c r="J1666" t="n">
        <v>6</v>
      </c>
      <c r="K1666" t="n">
        <v>24</v>
      </c>
      <c r="L1666" t="n">
        <v>24</v>
      </c>
      <c r="M1666" t="n">
        <v>24</v>
      </c>
      <c r="N1666" t="n">
        <v>24</v>
      </c>
      <c r="O1666" t="n">
        <v>30</v>
      </c>
      <c r="P1666" t="n">
        <v>6</v>
      </c>
      <c r="R1666" s="9" t="n">
        <v>0.06</v>
      </c>
      <c r="S1666" s="10" t="inlineStr">
        <is>
          <t>Absorbido en FF8 (catálogo país se reutiliza)</t>
        </is>
      </c>
      <c r="T1666" s="11" t="n"/>
      <c r="U1666" s="11" t="inlineStr">
        <is>
          <t>DEL BANCO (se hereda)</t>
        </is>
      </c>
      <c r="V1666" s="11" t="n"/>
      <c r="W1666" s="12" t="n"/>
      <c r="X1666" s="12" t="n"/>
    </row>
    <row r="1667" ht="15" customHeight="1">
      <c r="C1667" t="inlineStr">
        <is>
          <t>Envío o recepción de transferencias internacionales</t>
        </is>
      </c>
      <c r="D1667" t="inlineStr">
        <is>
          <t>F26</t>
        </is>
      </c>
      <c r="E1667" t="inlineStr">
        <is>
          <t>TRANSACCIONAL</t>
        </is>
      </c>
      <c r="F1667" t="inlineStr">
        <is>
          <t>ISLAS MARSHALL</t>
        </is>
      </c>
      <c r="G1667" t="inlineStr">
        <is>
          <t>MH</t>
        </is>
      </c>
      <c r="H1667" t="n">
        <v>3</v>
      </c>
      <c r="I1667" t="n">
        <v>3</v>
      </c>
      <c r="J1667" t="n">
        <v>6</v>
      </c>
      <c r="K1667" t="n">
        <v>18</v>
      </c>
      <c r="L1667" t="n">
        <v>18</v>
      </c>
      <c r="M1667" t="n">
        <v>18</v>
      </c>
      <c r="N1667" t="n">
        <v>18</v>
      </c>
      <c r="O1667" t="n">
        <v>30</v>
      </c>
      <c r="P1667" t="n">
        <v>6</v>
      </c>
      <c r="R1667" s="9" t="n">
        <v>0.06</v>
      </c>
      <c r="S1667" s="10" t="inlineStr">
        <is>
          <t>Absorbido en FF8 (catálogo país se reutiliza)</t>
        </is>
      </c>
      <c r="T1667" s="11" t="n"/>
      <c r="U1667" s="11" t="inlineStr">
        <is>
          <t>DEL BANCO (se hereda)</t>
        </is>
      </c>
      <c r="V1667" s="11" t="n"/>
      <c r="W1667" s="12" t="n"/>
      <c r="X1667" s="12" t="n"/>
    </row>
    <row r="1668" ht="15" customHeight="1">
      <c r="C1668" t="inlineStr">
        <is>
          <t>Envío o recepción de transferencias internacionales</t>
        </is>
      </c>
      <c r="D1668" t="inlineStr">
        <is>
          <t>F26</t>
        </is>
      </c>
      <c r="E1668" t="inlineStr">
        <is>
          <t>TRANSACCIONAL</t>
        </is>
      </c>
      <c r="F1668" t="inlineStr">
        <is>
          <t>MACEDONIA</t>
        </is>
      </c>
      <c r="G1668" t="inlineStr">
        <is>
          <t>MK</t>
        </is>
      </c>
      <c r="H1668" t="n">
        <v>2</v>
      </c>
      <c r="I1668" t="n">
        <v>2</v>
      </c>
      <c r="J1668" t="n">
        <v>6</v>
      </c>
      <c r="K1668" t="n">
        <v>12</v>
      </c>
      <c r="L1668" t="n">
        <v>12</v>
      </c>
      <c r="M1668" t="n">
        <v>12</v>
      </c>
      <c r="N1668" t="n">
        <v>12</v>
      </c>
      <c r="O1668" t="n">
        <v>30</v>
      </c>
      <c r="P1668" t="n">
        <v>6</v>
      </c>
      <c r="R1668" s="9" t="n">
        <v>0.06</v>
      </c>
      <c r="S1668" s="10" t="inlineStr">
        <is>
          <t>Absorbido en FF8 (catálogo país se reutiliza)</t>
        </is>
      </c>
      <c r="T1668" s="11" t="n"/>
      <c r="U1668" s="11" t="inlineStr">
        <is>
          <t>DEL BANCO (se hereda)</t>
        </is>
      </c>
      <c r="V1668" s="11" t="n"/>
      <c r="W1668" s="12" t="n"/>
      <c r="X1668" s="12" t="n"/>
    </row>
    <row r="1669" ht="15" customHeight="1">
      <c r="C1669" t="inlineStr">
        <is>
          <t>Envío o recepción de transferencias internacionales</t>
        </is>
      </c>
      <c r="D1669" t="inlineStr">
        <is>
          <t>F26</t>
        </is>
      </c>
      <c r="E1669" t="inlineStr">
        <is>
          <t>TRANSACCIONAL</t>
        </is>
      </c>
      <c r="F1669" t="inlineStr">
        <is>
          <t>MALI</t>
        </is>
      </c>
      <c r="G1669" t="inlineStr">
        <is>
          <t>ML</t>
        </is>
      </c>
      <c r="H1669" t="n">
        <v>3</v>
      </c>
      <c r="I1669" t="n">
        <v>3</v>
      </c>
      <c r="J1669" t="n">
        <v>6</v>
      </c>
      <c r="K1669" t="n">
        <v>18</v>
      </c>
      <c r="L1669" t="n">
        <v>18</v>
      </c>
      <c r="M1669" t="n">
        <v>18</v>
      </c>
      <c r="N1669" t="n">
        <v>18</v>
      </c>
      <c r="O1669" t="n">
        <v>30</v>
      </c>
      <c r="P1669" t="n">
        <v>6</v>
      </c>
      <c r="R1669" s="9" t="n">
        <v>0.06</v>
      </c>
      <c r="S1669" s="10" t="inlineStr">
        <is>
          <t>Absorbido en FF8 (catálogo país se reutiliza)</t>
        </is>
      </c>
      <c r="T1669" s="11" t="n"/>
      <c r="U1669" s="11" t="inlineStr">
        <is>
          <t>DEL BANCO (se hereda)</t>
        </is>
      </c>
      <c r="V1669" s="11" t="n"/>
      <c r="W1669" s="12" t="n"/>
      <c r="X1669" s="12" t="n"/>
    </row>
    <row r="1670" ht="15" customHeight="1">
      <c r="C1670" t="inlineStr">
        <is>
          <t>Envío o recepción de transferencias internacionales</t>
        </is>
      </c>
      <c r="D1670" t="inlineStr">
        <is>
          <t>F26</t>
        </is>
      </c>
      <c r="E1670" t="inlineStr">
        <is>
          <t>TRANSACCIONAL</t>
        </is>
      </c>
      <c r="F1670" t="inlineStr">
        <is>
          <t>MYANMAR</t>
        </is>
      </c>
      <c r="G1670" t="inlineStr">
        <is>
          <t>MM</t>
        </is>
      </c>
      <c r="H1670" t="n">
        <v>5</v>
      </c>
      <c r="I1670" t="n">
        <v>5</v>
      </c>
      <c r="J1670" t="n">
        <v>6</v>
      </c>
      <c r="K1670" t="n">
        <v>30</v>
      </c>
      <c r="L1670" t="n">
        <v>30</v>
      </c>
      <c r="M1670" t="n">
        <v>30</v>
      </c>
      <c r="N1670" t="n">
        <v>30</v>
      </c>
      <c r="O1670" t="n">
        <v>30</v>
      </c>
      <c r="P1670" t="n">
        <v>6</v>
      </c>
      <c r="Q1670" t="inlineStr">
        <is>
          <t>PROHIBITIVO</t>
        </is>
      </c>
      <c r="R1670" s="9" t="n">
        <v>0.06</v>
      </c>
      <c r="S1670" s="10" t="inlineStr">
        <is>
          <t>Absorbido en FF8 (catálogo país se reutiliza)</t>
        </is>
      </c>
      <c r="T1670" s="11" t="n"/>
      <c r="U1670" s="11" t="inlineStr">
        <is>
          <t>DEL BANCO (se hereda)</t>
        </is>
      </c>
      <c r="V1670" s="11" t="n"/>
      <c r="W1670" s="12" t="n"/>
      <c r="X1670" s="12" t="n"/>
    </row>
    <row r="1671" ht="15" customHeight="1">
      <c r="C1671" t="inlineStr">
        <is>
          <t>Envío o recepción de transferencias internacionales</t>
        </is>
      </c>
      <c r="D1671" t="inlineStr">
        <is>
          <t>F26</t>
        </is>
      </c>
      <c r="E1671" t="inlineStr">
        <is>
          <t>TRANSACCIONAL</t>
        </is>
      </c>
      <c r="F1671" t="inlineStr">
        <is>
          <t>MONGOLIA</t>
        </is>
      </c>
      <c r="G1671" t="inlineStr">
        <is>
          <t>MN</t>
        </is>
      </c>
      <c r="H1671" t="n">
        <v>2</v>
      </c>
      <c r="I1671" t="n">
        <v>2</v>
      </c>
      <c r="J1671" t="n">
        <v>6</v>
      </c>
      <c r="K1671" t="n">
        <v>12</v>
      </c>
      <c r="L1671" t="n">
        <v>12</v>
      </c>
      <c r="M1671" t="n">
        <v>12</v>
      </c>
      <c r="N1671" t="n">
        <v>12</v>
      </c>
      <c r="O1671" t="n">
        <v>30</v>
      </c>
      <c r="P1671" t="n">
        <v>6</v>
      </c>
      <c r="R1671" s="9" t="n">
        <v>0.06</v>
      </c>
      <c r="S1671" s="10" t="inlineStr">
        <is>
          <t>Absorbido en FF8 (catálogo país se reutiliza)</t>
        </is>
      </c>
      <c r="T1671" s="11" t="n"/>
      <c r="U1671" s="11" t="inlineStr">
        <is>
          <t>DEL BANCO (se hereda)</t>
        </is>
      </c>
      <c r="V1671" s="11" t="n"/>
      <c r="W1671" s="12" t="n"/>
      <c r="X1671" s="12" t="n"/>
    </row>
    <row r="1672" ht="15" customHeight="1">
      <c r="C1672" t="inlineStr">
        <is>
          <t>Envío o recepción de transferencias internacionales</t>
        </is>
      </c>
      <c r="D1672" t="inlineStr">
        <is>
          <t>F26</t>
        </is>
      </c>
      <c r="E1672" t="inlineStr">
        <is>
          <t>TRANSACCIONAL</t>
        </is>
      </c>
      <c r="F1672" t="inlineStr">
        <is>
          <t>MACAO</t>
        </is>
      </c>
      <c r="G1672" t="inlineStr">
        <is>
          <t>MO</t>
        </is>
      </c>
      <c r="H1672" t="n">
        <v>3</v>
      </c>
      <c r="I1672" t="n">
        <v>3</v>
      </c>
      <c r="J1672" t="n">
        <v>6</v>
      </c>
      <c r="K1672" t="n">
        <v>18</v>
      </c>
      <c r="L1672" t="n">
        <v>18</v>
      </c>
      <c r="M1672" t="n">
        <v>18</v>
      </c>
      <c r="N1672" t="n">
        <v>18</v>
      </c>
      <c r="O1672" t="n">
        <v>30</v>
      </c>
      <c r="P1672" t="n">
        <v>6</v>
      </c>
      <c r="R1672" s="9" t="n">
        <v>0.06</v>
      </c>
      <c r="S1672" s="10" t="inlineStr">
        <is>
          <t>Absorbido en FF8 (catálogo país se reutiliza)</t>
        </is>
      </c>
      <c r="T1672" s="11" t="n"/>
      <c r="U1672" s="11" t="inlineStr">
        <is>
          <t>DEL BANCO (se hereda)</t>
        </is>
      </c>
      <c r="V1672" s="11" t="n"/>
      <c r="W1672" s="12" t="n"/>
      <c r="X1672" s="12" t="n"/>
    </row>
    <row r="1673" ht="15" customHeight="1">
      <c r="C1673" t="inlineStr">
        <is>
          <t>Envío o recepción de transferencias internacionales</t>
        </is>
      </c>
      <c r="D1673" t="inlineStr">
        <is>
          <t>F26</t>
        </is>
      </c>
      <c r="E1673" t="inlineStr">
        <is>
          <t>TRANSACCIONAL</t>
        </is>
      </c>
      <c r="F1673" t="inlineStr">
        <is>
          <t>ISLAS MARIANAS</t>
        </is>
      </c>
      <c r="G1673" t="inlineStr">
        <is>
          <t>MP</t>
        </is>
      </c>
      <c r="H1673" t="n">
        <v>1</v>
      </c>
      <c r="I1673" t="n">
        <v>1</v>
      </c>
      <c r="J1673" t="n">
        <v>6</v>
      </c>
      <c r="K1673" t="n">
        <v>6</v>
      </c>
      <c r="L1673" t="n">
        <v>6</v>
      </c>
      <c r="M1673" t="n">
        <v>6</v>
      </c>
      <c r="N1673" t="n">
        <v>6</v>
      </c>
      <c r="O1673" t="n">
        <v>30</v>
      </c>
      <c r="P1673" t="n">
        <v>6</v>
      </c>
      <c r="R1673" s="9" t="n">
        <v>0.06</v>
      </c>
      <c r="S1673" s="10" t="inlineStr">
        <is>
          <t>Absorbido en FF8 (catálogo país se reutiliza)</t>
        </is>
      </c>
      <c r="T1673" s="11" t="n"/>
      <c r="U1673" s="11" t="inlineStr">
        <is>
          <t>DEL BANCO (se hereda)</t>
        </is>
      </c>
      <c r="V1673" s="11" t="n"/>
      <c r="W1673" s="12" t="n"/>
      <c r="X1673" s="12" t="n"/>
    </row>
    <row r="1674" ht="15" customHeight="1">
      <c r="C1674" t="inlineStr">
        <is>
          <t>Envío o recepción de transferencias internacionales</t>
        </is>
      </c>
      <c r="D1674" t="inlineStr">
        <is>
          <t>F26</t>
        </is>
      </c>
      <c r="E1674" t="inlineStr">
        <is>
          <t>TRANSACCIONAL</t>
        </is>
      </c>
      <c r="F1674" t="inlineStr">
        <is>
          <t>MARTINICA</t>
        </is>
      </c>
      <c r="G1674" t="inlineStr">
        <is>
          <t>MQ</t>
        </is>
      </c>
      <c r="H1674" t="n">
        <v>1</v>
      </c>
      <c r="I1674" t="n">
        <v>1</v>
      </c>
      <c r="J1674" t="n">
        <v>6</v>
      </c>
      <c r="K1674" t="n">
        <v>6</v>
      </c>
      <c r="L1674" t="n">
        <v>6</v>
      </c>
      <c r="M1674" t="n">
        <v>6</v>
      </c>
      <c r="N1674" t="n">
        <v>6</v>
      </c>
      <c r="O1674" t="n">
        <v>30</v>
      </c>
      <c r="P1674" t="n">
        <v>6</v>
      </c>
      <c r="R1674" s="9" t="n">
        <v>0.06</v>
      </c>
      <c r="S1674" s="10" t="inlineStr">
        <is>
          <t>Absorbido en FF8 (catálogo país se reutiliza)</t>
        </is>
      </c>
      <c r="T1674" s="11" t="n"/>
      <c r="U1674" s="11" t="inlineStr">
        <is>
          <t>DEL BANCO (se hereda)</t>
        </is>
      </c>
      <c r="V1674" s="11" t="n"/>
      <c r="W1674" s="12" t="n"/>
      <c r="X1674" s="12" t="n"/>
    </row>
    <row r="1675" ht="15" customHeight="1">
      <c r="C1675" t="inlineStr">
        <is>
          <t>Envío o recepción de transferencias internacionales</t>
        </is>
      </c>
      <c r="D1675" t="inlineStr">
        <is>
          <t>F26</t>
        </is>
      </c>
      <c r="E1675" t="inlineStr">
        <is>
          <t>TRANSACCIONAL</t>
        </is>
      </c>
      <c r="F1675" t="inlineStr">
        <is>
          <t>MAURITANIA</t>
        </is>
      </c>
      <c r="G1675" t="inlineStr">
        <is>
          <t>MR</t>
        </is>
      </c>
      <c r="H1675" t="n">
        <v>3</v>
      </c>
      <c r="I1675" t="n">
        <v>3</v>
      </c>
      <c r="J1675" t="n">
        <v>6</v>
      </c>
      <c r="K1675" t="n">
        <v>18</v>
      </c>
      <c r="L1675" t="n">
        <v>18</v>
      </c>
      <c r="M1675" t="n">
        <v>18</v>
      </c>
      <c r="N1675" t="n">
        <v>18</v>
      </c>
      <c r="O1675" t="n">
        <v>30</v>
      </c>
      <c r="P1675" t="n">
        <v>6</v>
      </c>
      <c r="R1675" s="9" t="n">
        <v>0.06</v>
      </c>
      <c r="S1675" s="10" t="inlineStr">
        <is>
          <t>Absorbido en FF8 (catálogo país se reutiliza)</t>
        </is>
      </c>
      <c r="T1675" s="11" t="n"/>
      <c r="U1675" s="11" t="inlineStr">
        <is>
          <t>DEL BANCO (se hereda)</t>
        </is>
      </c>
      <c r="V1675" s="11" t="n"/>
      <c r="W1675" s="12" t="n"/>
      <c r="X1675" s="12" t="n"/>
    </row>
    <row r="1676" ht="15" customHeight="1">
      <c r="C1676" t="inlineStr">
        <is>
          <t>Envío o recepción de transferencias internacionales</t>
        </is>
      </c>
      <c r="D1676" t="inlineStr">
        <is>
          <t>F26</t>
        </is>
      </c>
      <c r="E1676" t="inlineStr">
        <is>
          <t>TRANSACCIONAL</t>
        </is>
      </c>
      <c r="F1676" t="inlineStr">
        <is>
          <t>MONTSERRAT</t>
        </is>
      </c>
      <c r="G1676" t="inlineStr">
        <is>
          <t>MS</t>
        </is>
      </c>
      <c r="H1676" t="n">
        <v>1</v>
      </c>
      <c r="I1676" t="n">
        <v>1</v>
      </c>
      <c r="J1676" t="n">
        <v>6</v>
      </c>
      <c r="K1676" t="n">
        <v>6</v>
      </c>
      <c r="L1676" t="n">
        <v>6</v>
      </c>
      <c r="M1676" t="n">
        <v>6</v>
      </c>
      <c r="N1676" t="n">
        <v>6</v>
      </c>
      <c r="O1676" t="n">
        <v>30</v>
      </c>
      <c r="P1676" t="n">
        <v>6</v>
      </c>
      <c r="R1676" s="9" t="n">
        <v>0.06</v>
      </c>
      <c r="S1676" s="10" t="inlineStr">
        <is>
          <t>Absorbido en FF8 (catálogo país se reutiliza)</t>
        </is>
      </c>
      <c r="T1676" s="11" t="n"/>
      <c r="U1676" s="11" t="inlineStr">
        <is>
          <t>DEL BANCO (se hereda)</t>
        </is>
      </c>
      <c r="V1676" s="11" t="n"/>
      <c r="W1676" s="12" t="n"/>
      <c r="X1676" s="12" t="n"/>
    </row>
    <row r="1677" ht="15" customHeight="1">
      <c r="C1677" t="inlineStr">
        <is>
          <t>Envío o recepción de transferencias internacionales</t>
        </is>
      </c>
      <c r="D1677" t="inlineStr">
        <is>
          <t>F26</t>
        </is>
      </c>
      <c r="E1677" t="inlineStr">
        <is>
          <t>TRANSACCIONAL</t>
        </is>
      </c>
      <c r="F1677" t="inlineStr">
        <is>
          <t>MALTA</t>
        </is>
      </c>
      <c r="G1677" t="inlineStr">
        <is>
          <t>MT</t>
        </is>
      </c>
      <c r="H1677" t="n">
        <v>2</v>
      </c>
      <c r="I1677" t="n">
        <v>2</v>
      </c>
      <c r="J1677" t="n">
        <v>6</v>
      </c>
      <c r="K1677" t="n">
        <v>12</v>
      </c>
      <c r="L1677" t="n">
        <v>12</v>
      </c>
      <c r="M1677" t="n">
        <v>12</v>
      </c>
      <c r="N1677" t="n">
        <v>12</v>
      </c>
      <c r="O1677" t="n">
        <v>30</v>
      </c>
      <c r="P1677" t="n">
        <v>6</v>
      </c>
      <c r="R1677" s="9" t="n">
        <v>0.06</v>
      </c>
      <c r="S1677" s="10" t="inlineStr">
        <is>
          <t>Absorbido en FF8 (catálogo país se reutiliza)</t>
        </is>
      </c>
      <c r="T1677" s="11" t="n"/>
      <c r="U1677" s="11" t="inlineStr">
        <is>
          <t>DEL BANCO (se hereda)</t>
        </is>
      </c>
      <c r="V1677" s="11" t="n"/>
      <c r="W1677" s="12" t="n"/>
      <c r="X1677" s="12" t="n"/>
    </row>
    <row r="1678" ht="15" customHeight="1">
      <c r="C1678" t="inlineStr">
        <is>
          <t>Envío o recepción de transferencias internacionales</t>
        </is>
      </c>
      <c r="D1678" t="inlineStr">
        <is>
          <t>F26</t>
        </is>
      </c>
      <c r="E1678" t="inlineStr">
        <is>
          <t>TRANSACCIONAL</t>
        </is>
      </c>
      <c r="F1678" t="inlineStr">
        <is>
          <t>MAURICIO</t>
        </is>
      </c>
      <c r="G1678" t="inlineStr">
        <is>
          <t>MU</t>
        </is>
      </c>
      <c r="H1678" t="n">
        <v>3</v>
      </c>
      <c r="I1678" t="n">
        <v>3</v>
      </c>
      <c r="J1678" t="n">
        <v>6</v>
      </c>
      <c r="K1678" t="n">
        <v>18</v>
      </c>
      <c r="L1678" t="n">
        <v>18</v>
      </c>
      <c r="M1678" t="n">
        <v>18</v>
      </c>
      <c r="N1678" t="n">
        <v>18</v>
      </c>
      <c r="O1678" t="n">
        <v>30</v>
      </c>
      <c r="P1678" t="n">
        <v>6</v>
      </c>
      <c r="R1678" s="9" t="n">
        <v>0.06</v>
      </c>
      <c r="S1678" s="10" t="inlineStr">
        <is>
          <t>Absorbido en FF8 (catálogo país se reutiliza)</t>
        </is>
      </c>
      <c r="T1678" s="11" t="n"/>
      <c r="U1678" s="11" t="inlineStr">
        <is>
          <t>DEL BANCO (se hereda)</t>
        </is>
      </c>
      <c r="V1678" s="11" t="n"/>
      <c r="W1678" s="12" t="n"/>
      <c r="X1678" s="12" t="n"/>
    </row>
    <row r="1679" ht="15" customHeight="1">
      <c r="C1679" t="inlineStr">
        <is>
          <t>Envío o recepción de transferencias internacionales</t>
        </is>
      </c>
      <c r="D1679" t="inlineStr">
        <is>
          <t>F26</t>
        </is>
      </c>
      <c r="E1679" t="inlineStr">
        <is>
          <t>TRANSACCIONAL</t>
        </is>
      </c>
      <c r="F1679" t="inlineStr">
        <is>
          <t>MALDIVAS</t>
        </is>
      </c>
      <c r="G1679" t="inlineStr">
        <is>
          <t>MV</t>
        </is>
      </c>
      <c r="H1679" t="n">
        <v>2</v>
      </c>
      <c r="I1679" t="n">
        <v>2</v>
      </c>
      <c r="J1679" t="n">
        <v>6</v>
      </c>
      <c r="K1679" t="n">
        <v>12</v>
      </c>
      <c r="L1679" t="n">
        <v>12</v>
      </c>
      <c r="M1679" t="n">
        <v>12</v>
      </c>
      <c r="N1679" t="n">
        <v>12</v>
      </c>
      <c r="O1679" t="n">
        <v>30</v>
      </c>
      <c r="P1679" t="n">
        <v>6</v>
      </c>
      <c r="R1679" s="9" t="n">
        <v>0.06</v>
      </c>
      <c r="S1679" s="10" t="inlineStr">
        <is>
          <t>Absorbido en FF8 (catálogo país se reutiliza)</t>
        </is>
      </c>
      <c r="T1679" s="11" t="n"/>
      <c r="U1679" s="11" t="inlineStr">
        <is>
          <t>DEL BANCO (se hereda)</t>
        </is>
      </c>
      <c r="V1679" s="11" t="n"/>
      <c r="W1679" s="12" t="n"/>
      <c r="X1679" s="12" t="n"/>
    </row>
    <row r="1680" ht="15" customHeight="1">
      <c r="C1680" t="inlineStr">
        <is>
          <t>Envío o recepción de transferencias internacionales</t>
        </is>
      </c>
      <c r="D1680" t="inlineStr">
        <is>
          <t>F26</t>
        </is>
      </c>
      <c r="E1680" t="inlineStr">
        <is>
          <t>TRANSACCIONAL</t>
        </is>
      </c>
      <c r="F1680" t="inlineStr">
        <is>
          <t>MALAWI</t>
        </is>
      </c>
      <c r="G1680" t="inlineStr">
        <is>
          <t>MW</t>
        </is>
      </c>
      <c r="H1680" t="n">
        <v>3</v>
      </c>
      <c r="I1680" t="n">
        <v>3</v>
      </c>
      <c r="J1680" t="n">
        <v>6</v>
      </c>
      <c r="K1680" t="n">
        <v>18</v>
      </c>
      <c r="L1680" t="n">
        <v>18</v>
      </c>
      <c r="M1680" t="n">
        <v>18</v>
      </c>
      <c r="N1680" t="n">
        <v>18</v>
      </c>
      <c r="O1680" t="n">
        <v>30</v>
      </c>
      <c r="P1680" t="n">
        <v>6</v>
      </c>
      <c r="R1680" s="9" t="n">
        <v>0.06</v>
      </c>
      <c r="S1680" s="10" t="inlineStr">
        <is>
          <t>Absorbido en FF8 (catálogo país se reutiliza)</t>
        </is>
      </c>
      <c r="T1680" s="11" t="n"/>
      <c r="U1680" s="11" t="inlineStr">
        <is>
          <t>DEL BANCO (se hereda)</t>
        </is>
      </c>
      <c r="V1680" s="11" t="n"/>
      <c r="W1680" s="12" t="n"/>
      <c r="X1680" s="12" t="n"/>
    </row>
    <row r="1681" ht="15" customHeight="1">
      <c r="C1681" t="inlineStr">
        <is>
          <t>Envío o recepción de transferencias internacionales</t>
        </is>
      </c>
      <c r="D1681" t="inlineStr">
        <is>
          <t>F26</t>
        </is>
      </c>
      <c r="E1681" t="inlineStr">
        <is>
          <t>TRANSACCIONAL</t>
        </is>
      </c>
      <c r="F1681" t="inlineStr">
        <is>
          <t>MEXICO</t>
        </is>
      </c>
      <c r="G1681" t="inlineStr">
        <is>
          <t>MX</t>
        </is>
      </c>
      <c r="H1681" t="n">
        <v>3</v>
      </c>
      <c r="I1681" t="n">
        <v>3</v>
      </c>
      <c r="J1681" t="n">
        <v>6</v>
      </c>
      <c r="K1681" t="n">
        <v>18</v>
      </c>
      <c r="L1681" t="n">
        <v>18</v>
      </c>
      <c r="M1681" t="n">
        <v>18</v>
      </c>
      <c r="N1681" t="n">
        <v>18</v>
      </c>
      <c r="O1681" t="n">
        <v>30</v>
      </c>
      <c r="P1681" t="n">
        <v>6</v>
      </c>
      <c r="R1681" s="9" t="n">
        <v>0.06</v>
      </c>
      <c r="S1681" s="10" t="inlineStr">
        <is>
          <t>Absorbido en FF8 (catálogo país se reutiliza)</t>
        </is>
      </c>
      <c r="T1681" s="11" t="n"/>
      <c r="U1681" s="11" t="inlineStr">
        <is>
          <t>DEL BANCO (se hereda)</t>
        </is>
      </c>
      <c r="V1681" s="11" t="n"/>
      <c r="W1681" s="12" t="n"/>
      <c r="X1681" s="12" t="n"/>
    </row>
    <row r="1682" ht="15" customHeight="1">
      <c r="C1682" t="inlineStr">
        <is>
          <t>Envío o recepción de transferencias internacionales</t>
        </is>
      </c>
      <c r="D1682" t="inlineStr">
        <is>
          <t>F26</t>
        </is>
      </c>
      <c r="E1682" t="inlineStr">
        <is>
          <t>TRANSACCIONAL</t>
        </is>
      </c>
      <c r="F1682" t="inlineStr">
        <is>
          <t>MALAYSIA, LABUAN</t>
        </is>
      </c>
      <c r="G1682" t="inlineStr">
        <is>
          <t>MY</t>
        </is>
      </c>
      <c r="H1682" t="n">
        <v>3</v>
      </c>
      <c r="I1682" t="n">
        <v>3</v>
      </c>
      <c r="J1682" t="n">
        <v>6</v>
      </c>
      <c r="K1682" t="n">
        <v>18</v>
      </c>
      <c r="L1682" t="n">
        <v>18</v>
      </c>
      <c r="M1682" t="n">
        <v>18</v>
      </c>
      <c r="N1682" t="n">
        <v>18</v>
      </c>
      <c r="O1682" t="n">
        <v>30</v>
      </c>
      <c r="P1682" t="n">
        <v>6</v>
      </c>
      <c r="R1682" s="9" t="n">
        <v>0.06</v>
      </c>
      <c r="S1682" s="10" t="inlineStr">
        <is>
          <t>Absorbido en FF8 (catálogo país se reutiliza)</t>
        </is>
      </c>
      <c r="T1682" s="11" t="n"/>
      <c r="U1682" s="11" t="inlineStr">
        <is>
          <t>DEL BANCO (se hereda)</t>
        </is>
      </c>
      <c r="V1682" s="11" t="n"/>
      <c r="W1682" s="12" t="n"/>
      <c r="X1682" s="12" t="n"/>
    </row>
    <row r="1683" ht="15" customHeight="1">
      <c r="C1683" t="inlineStr">
        <is>
          <t>Envío o recepción de transferencias internacionales</t>
        </is>
      </c>
      <c r="D1683" t="inlineStr">
        <is>
          <t>F26</t>
        </is>
      </c>
      <c r="E1683" t="inlineStr">
        <is>
          <t>TRANSACCIONAL</t>
        </is>
      </c>
      <c r="F1683" t="inlineStr">
        <is>
          <t>MOZAMBIQUE</t>
        </is>
      </c>
      <c r="G1683" t="inlineStr">
        <is>
          <t>MZ</t>
        </is>
      </c>
      <c r="H1683" t="n">
        <v>3</v>
      </c>
      <c r="I1683" t="n">
        <v>3</v>
      </c>
      <c r="J1683" t="n">
        <v>6</v>
      </c>
      <c r="K1683" t="n">
        <v>18</v>
      </c>
      <c r="L1683" t="n">
        <v>18</v>
      </c>
      <c r="M1683" t="n">
        <v>18</v>
      </c>
      <c r="N1683" t="n">
        <v>18</v>
      </c>
      <c r="O1683" t="n">
        <v>30</v>
      </c>
      <c r="P1683" t="n">
        <v>6</v>
      </c>
      <c r="R1683" s="9" t="n">
        <v>0.06</v>
      </c>
      <c r="S1683" s="10" t="inlineStr">
        <is>
          <t>Absorbido en FF8 (catálogo país se reutiliza)</t>
        </is>
      </c>
      <c r="T1683" s="11" t="n"/>
      <c r="U1683" s="11" t="inlineStr">
        <is>
          <t>DEL BANCO (se hereda)</t>
        </is>
      </c>
      <c r="V1683" s="11" t="n"/>
      <c r="W1683" s="12" t="n"/>
      <c r="X1683" s="12" t="n"/>
    </row>
    <row r="1684" ht="15" customHeight="1">
      <c r="C1684" t="inlineStr">
        <is>
          <t>Envío o recepción de transferencias internacionales</t>
        </is>
      </c>
      <c r="D1684" t="inlineStr">
        <is>
          <t>F26</t>
        </is>
      </c>
      <c r="E1684" t="inlineStr">
        <is>
          <t>TRANSACCIONAL</t>
        </is>
      </c>
      <c r="F1684" t="inlineStr">
        <is>
          <t>NAMIBIA</t>
        </is>
      </c>
      <c r="G1684" t="inlineStr">
        <is>
          <t>NA</t>
        </is>
      </c>
      <c r="H1684" t="n">
        <v>4</v>
      </c>
      <c r="I1684" t="n">
        <v>4</v>
      </c>
      <c r="J1684" t="n">
        <v>6</v>
      </c>
      <c r="K1684" t="n">
        <v>24</v>
      </c>
      <c r="L1684" t="n">
        <v>24</v>
      </c>
      <c r="M1684" t="n">
        <v>24</v>
      </c>
      <c r="N1684" t="n">
        <v>24</v>
      </c>
      <c r="O1684" t="n">
        <v>30</v>
      </c>
      <c r="P1684" t="n">
        <v>6</v>
      </c>
      <c r="Q1684" t="inlineStr">
        <is>
          <t>DETERMINANTE</t>
        </is>
      </c>
      <c r="R1684" s="9" t="n">
        <v>0.06</v>
      </c>
      <c r="S1684" s="10" t="inlineStr">
        <is>
          <t>Absorbido en FF8 (catálogo país se reutiliza)</t>
        </is>
      </c>
      <c r="T1684" s="11" t="n"/>
      <c r="U1684" s="11" t="inlineStr">
        <is>
          <t>DEL BANCO (se hereda)</t>
        </is>
      </c>
      <c r="V1684" s="11" t="n"/>
      <c r="W1684" s="12" t="n"/>
      <c r="X1684" s="12" t="n"/>
    </row>
    <row r="1685" ht="15" customHeight="1">
      <c r="C1685" t="inlineStr">
        <is>
          <t>Envío o recepción de transferencias internacionales</t>
        </is>
      </c>
      <c r="D1685" t="inlineStr">
        <is>
          <t>F26</t>
        </is>
      </c>
      <c r="E1685" t="inlineStr">
        <is>
          <t>TRANSACCIONAL</t>
        </is>
      </c>
      <c r="F1685" t="inlineStr">
        <is>
          <t>NUEVA CALEDONIA</t>
        </is>
      </c>
      <c r="G1685" t="inlineStr">
        <is>
          <t>NC</t>
        </is>
      </c>
      <c r="H1685" t="n">
        <v>1</v>
      </c>
      <c r="I1685" t="n">
        <v>1</v>
      </c>
      <c r="J1685" t="n">
        <v>6</v>
      </c>
      <c r="K1685" t="n">
        <v>6</v>
      </c>
      <c r="L1685" t="n">
        <v>6</v>
      </c>
      <c r="M1685" t="n">
        <v>6</v>
      </c>
      <c r="N1685" t="n">
        <v>6</v>
      </c>
      <c r="O1685" t="n">
        <v>30</v>
      </c>
      <c r="P1685" t="n">
        <v>6</v>
      </c>
      <c r="R1685" s="9" t="n">
        <v>0.06</v>
      </c>
      <c r="S1685" s="10" t="inlineStr">
        <is>
          <t>Absorbido en FF8 (catálogo país se reutiliza)</t>
        </is>
      </c>
      <c r="T1685" s="11" t="n"/>
      <c r="U1685" s="11" t="inlineStr">
        <is>
          <t>DEL BANCO (se hereda)</t>
        </is>
      </c>
      <c r="V1685" s="11" t="n"/>
      <c r="W1685" s="12" t="n"/>
      <c r="X1685" s="12" t="n"/>
    </row>
    <row r="1686" ht="15" customHeight="1">
      <c r="C1686" t="inlineStr">
        <is>
          <t>Envío o recepción de transferencias internacionales</t>
        </is>
      </c>
      <c r="D1686" t="inlineStr">
        <is>
          <t>F26</t>
        </is>
      </c>
      <c r="E1686" t="inlineStr">
        <is>
          <t>TRANSACCIONAL</t>
        </is>
      </c>
      <c r="F1686" t="inlineStr">
        <is>
          <t>NIGER</t>
        </is>
      </c>
      <c r="G1686" t="inlineStr">
        <is>
          <t>NE</t>
        </is>
      </c>
      <c r="H1686" t="n">
        <v>4</v>
      </c>
      <c r="I1686" t="n">
        <v>4</v>
      </c>
      <c r="J1686" t="n">
        <v>6</v>
      </c>
      <c r="K1686" t="n">
        <v>24</v>
      </c>
      <c r="L1686" t="n">
        <v>24</v>
      </c>
      <c r="M1686" t="n">
        <v>24</v>
      </c>
      <c r="N1686" t="n">
        <v>24</v>
      </c>
      <c r="O1686" t="n">
        <v>30</v>
      </c>
      <c r="P1686" t="n">
        <v>6</v>
      </c>
      <c r="R1686" s="9" t="n">
        <v>0.06</v>
      </c>
      <c r="S1686" s="10" t="inlineStr">
        <is>
          <t>Absorbido en FF8 (catálogo país se reutiliza)</t>
        </is>
      </c>
      <c r="T1686" s="11" t="n"/>
      <c r="U1686" s="11" t="inlineStr">
        <is>
          <t>DEL BANCO (se hereda)</t>
        </is>
      </c>
      <c r="V1686" s="11" t="n"/>
      <c r="W1686" s="12" t="n"/>
      <c r="X1686" s="12" t="n"/>
    </row>
    <row r="1687" ht="15" customHeight="1">
      <c r="C1687" t="inlineStr">
        <is>
          <t>Envío o recepción de transferencias internacionales</t>
        </is>
      </c>
      <c r="D1687" t="inlineStr">
        <is>
          <t>F26</t>
        </is>
      </c>
      <c r="E1687" t="inlineStr">
        <is>
          <t>TRANSACCIONAL</t>
        </is>
      </c>
      <c r="F1687" t="inlineStr">
        <is>
          <t>ISLA DE NORFOLK</t>
        </is>
      </c>
      <c r="G1687" t="inlineStr">
        <is>
          <t>NF</t>
        </is>
      </c>
      <c r="H1687" t="n">
        <v>1</v>
      </c>
      <c r="I1687" t="n">
        <v>1</v>
      </c>
      <c r="J1687" t="n">
        <v>6</v>
      </c>
      <c r="K1687" t="n">
        <v>6</v>
      </c>
      <c r="L1687" t="n">
        <v>6</v>
      </c>
      <c r="M1687" t="n">
        <v>6</v>
      </c>
      <c r="N1687" t="n">
        <v>6</v>
      </c>
      <c r="O1687" t="n">
        <v>30</v>
      </c>
      <c r="P1687" t="n">
        <v>6</v>
      </c>
      <c r="R1687" s="9" t="n">
        <v>0.06</v>
      </c>
      <c r="S1687" s="10" t="inlineStr">
        <is>
          <t>Absorbido en FF8 (catálogo país se reutiliza)</t>
        </is>
      </c>
      <c r="T1687" s="11" t="n"/>
      <c r="U1687" s="11" t="inlineStr">
        <is>
          <t>DEL BANCO (se hereda)</t>
        </is>
      </c>
      <c r="V1687" s="11" t="n"/>
      <c r="W1687" s="12" t="n"/>
      <c r="X1687" s="12" t="n"/>
    </row>
    <row r="1688" ht="15" customHeight="1">
      <c r="C1688" t="inlineStr">
        <is>
          <t>Envío o recepción de transferencias internacionales</t>
        </is>
      </c>
      <c r="D1688" t="inlineStr">
        <is>
          <t>F26</t>
        </is>
      </c>
      <c r="E1688" t="inlineStr">
        <is>
          <t>TRANSACCIONAL</t>
        </is>
      </c>
      <c r="F1688" t="inlineStr">
        <is>
          <t>NIGERIA</t>
        </is>
      </c>
      <c r="G1688" t="inlineStr">
        <is>
          <t>NG</t>
        </is>
      </c>
      <c r="H1688" t="n">
        <v>3</v>
      </c>
      <c r="I1688" t="n">
        <v>3</v>
      </c>
      <c r="J1688" t="n">
        <v>6</v>
      </c>
      <c r="K1688" t="n">
        <v>18</v>
      </c>
      <c r="L1688" t="n">
        <v>18</v>
      </c>
      <c r="M1688" t="n">
        <v>18</v>
      </c>
      <c r="N1688" t="n">
        <v>18</v>
      </c>
      <c r="O1688" t="n">
        <v>30</v>
      </c>
      <c r="P1688" t="n">
        <v>6</v>
      </c>
      <c r="R1688" s="9" t="n">
        <v>0.06</v>
      </c>
      <c r="S1688" s="10" t="inlineStr">
        <is>
          <t>Absorbido en FF8 (catálogo país se reutiliza)</t>
        </is>
      </c>
      <c r="T1688" s="11" t="n"/>
      <c r="U1688" s="11" t="inlineStr">
        <is>
          <t>DEL BANCO (se hereda)</t>
        </is>
      </c>
      <c r="V1688" s="11" t="n"/>
      <c r="W1688" s="12" t="n"/>
      <c r="X1688" s="12" t="n"/>
    </row>
    <row r="1689" ht="15" customHeight="1">
      <c r="C1689" t="inlineStr">
        <is>
          <t>Envío o recepción de transferencias internacionales</t>
        </is>
      </c>
      <c r="D1689" t="inlineStr">
        <is>
          <t>F26</t>
        </is>
      </c>
      <c r="E1689" t="inlineStr">
        <is>
          <t>TRANSACCIONAL</t>
        </is>
      </c>
      <c r="F1689" t="inlineStr">
        <is>
          <t>NICARAGUA</t>
        </is>
      </c>
      <c r="G1689" t="inlineStr">
        <is>
          <t>NI</t>
        </is>
      </c>
      <c r="H1689" t="n">
        <v>4</v>
      </c>
      <c r="I1689" t="n">
        <v>4</v>
      </c>
      <c r="J1689" t="n">
        <v>6</v>
      </c>
      <c r="K1689" t="n">
        <v>24</v>
      </c>
      <c r="L1689" t="n">
        <v>24</v>
      </c>
      <c r="M1689" t="n">
        <v>24</v>
      </c>
      <c r="N1689" t="n">
        <v>24</v>
      </c>
      <c r="O1689" t="n">
        <v>30</v>
      </c>
      <c r="P1689" t="n">
        <v>6</v>
      </c>
      <c r="R1689" s="9" t="n">
        <v>0.06</v>
      </c>
      <c r="S1689" s="10" t="inlineStr">
        <is>
          <t>Absorbido en FF8 (catálogo país se reutiliza)</t>
        </is>
      </c>
      <c r="T1689" s="11" t="n"/>
      <c r="U1689" s="11" t="inlineStr">
        <is>
          <t>DEL BANCO (se hereda)</t>
        </is>
      </c>
      <c r="V1689" s="11" t="n"/>
      <c r="W1689" s="12" t="n"/>
      <c r="X1689" s="12" t="n"/>
    </row>
    <row r="1690" ht="15" customHeight="1">
      <c r="C1690" t="inlineStr">
        <is>
          <t>Envío o recepción de transferencias internacionales</t>
        </is>
      </c>
      <c r="D1690" t="inlineStr">
        <is>
          <t>F26</t>
        </is>
      </c>
      <c r="E1690" t="inlineStr">
        <is>
          <t>TRANSACCIONAL</t>
        </is>
      </c>
      <c r="F1690" t="inlineStr">
        <is>
          <t>PAISES BAJOS</t>
        </is>
      </c>
      <c r="G1690" t="inlineStr">
        <is>
          <t>NL</t>
        </is>
      </c>
      <c r="H1690" t="n">
        <v>1</v>
      </c>
      <c r="I1690" t="n">
        <v>1</v>
      </c>
      <c r="J1690" t="n">
        <v>6</v>
      </c>
      <c r="K1690" t="n">
        <v>6</v>
      </c>
      <c r="L1690" t="n">
        <v>6</v>
      </c>
      <c r="M1690" t="n">
        <v>6</v>
      </c>
      <c r="N1690" t="n">
        <v>6</v>
      </c>
      <c r="O1690" t="n">
        <v>30</v>
      </c>
      <c r="P1690" t="n">
        <v>6</v>
      </c>
      <c r="R1690" s="9" t="n">
        <v>0.06</v>
      </c>
      <c r="S1690" s="10" t="inlineStr">
        <is>
          <t>Absorbido en FF8 (catálogo país se reutiliza)</t>
        </is>
      </c>
      <c r="T1690" s="11" t="n"/>
      <c r="U1690" s="11" t="inlineStr">
        <is>
          <t>DEL BANCO (se hereda)</t>
        </is>
      </c>
      <c r="V1690" s="11" t="n"/>
      <c r="W1690" s="12" t="n"/>
      <c r="X1690" s="12" t="n"/>
    </row>
    <row r="1691" ht="15" customHeight="1">
      <c r="C1691" t="inlineStr">
        <is>
          <t>Envío o recepción de transferencias internacionales</t>
        </is>
      </c>
      <c r="D1691" t="inlineStr">
        <is>
          <t>F26</t>
        </is>
      </c>
      <c r="E1691" t="inlineStr">
        <is>
          <t>TRANSACCIONAL</t>
        </is>
      </c>
      <c r="F1691" t="inlineStr">
        <is>
          <t>NORUEGA</t>
        </is>
      </c>
      <c r="G1691" t="inlineStr">
        <is>
          <t>NO</t>
        </is>
      </c>
      <c r="H1691" t="n">
        <v>1</v>
      </c>
      <c r="I1691" t="n">
        <v>1</v>
      </c>
      <c r="J1691" t="n">
        <v>6</v>
      </c>
      <c r="K1691" t="n">
        <v>6</v>
      </c>
      <c r="L1691" t="n">
        <v>6</v>
      </c>
      <c r="M1691" t="n">
        <v>6</v>
      </c>
      <c r="N1691" t="n">
        <v>6</v>
      </c>
      <c r="O1691" t="n">
        <v>30</v>
      </c>
      <c r="P1691" t="n">
        <v>6</v>
      </c>
      <c r="R1691" s="9" t="n">
        <v>0.06</v>
      </c>
      <c r="S1691" s="10" t="inlineStr">
        <is>
          <t>Absorbido en FF8 (catálogo país se reutiliza)</t>
        </is>
      </c>
      <c r="T1691" s="11" t="n"/>
      <c r="U1691" s="11" t="inlineStr">
        <is>
          <t>DEL BANCO (se hereda)</t>
        </is>
      </c>
      <c r="V1691" s="11" t="n"/>
      <c r="W1691" s="12" t="n"/>
      <c r="X1691" s="12" t="n"/>
    </row>
    <row r="1692" ht="15" customHeight="1">
      <c r="C1692" t="inlineStr">
        <is>
          <t>Envío o recepción de transferencias internacionales</t>
        </is>
      </c>
      <c r="D1692" t="inlineStr">
        <is>
          <t>F26</t>
        </is>
      </c>
      <c r="E1692" t="inlineStr">
        <is>
          <t>TRANSACCIONAL</t>
        </is>
      </c>
      <c r="F1692" t="inlineStr">
        <is>
          <t>NEPAL</t>
        </is>
      </c>
      <c r="G1692" t="inlineStr">
        <is>
          <t>NP</t>
        </is>
      </c>
      <c r="H1692" t="n">
        <v>4</v>
      </c>
      <c r="I1692" t="n">
        <v>4</v>
      </c>
      <c r="J1692" t="n">
        <v>6</v>
      </c>
      <c r="K1692" t="n">
        <v>24</v>
      </c>
      <c r="L1692" t="n">
        <v>24</v>
      </c>
      <c r="M1692" t="n">
        <v>24</v>
      </c>
      <c r="N1692" t="n">
        <v>24</v>
      </c>
      <c r="O1692" t="n">
        <v>30</v>
      </c>
      <c r="P1692" t="n">
        <v>6</v>
      </c>
      <c r="Q1692" t="inlineStr">
        <is>
          <t>DETERMINANTE</t>
        </is>
      </c>
      <c r="R1692" s="9" t="n">
        <v>0.06</v>
      </c>
      <c r="S1692" s="10" t="inlineStr">
        <is>
          <t>Absorbido en FF8 (catálogo país se reutiliza)</t>
        </is>
      </c>
      <c r="T1692" s="11" t="n"/>
      <c r="U1692" s="11" t="inlineStr">
        <is>
          <t>DEL BANCO (se hereda)</t>
        </is>
      </c>
      <c r="V1692" s="11" t="n"/>
      <c r="W1692" s="12" t="n"/>
      <c r="X1692" s="12" t="n"/>
    </row>
    <row r="1693" ht="15" customHeight="1">
      <c r="C1693" t="inlineStr">
        <is>
          <t>Envío o recepción de transferencias internacionales</t>
        </is>
      </c>
      <c r="D1693" t="inlineStr">
        <is>
          <t>F26</t>
        </is>
      </c>
      <c r="E1693" t="inlineStr">
        <is>
          <t>TRANSACCIONAL</t>
        </is>
      </c>
      <c r="F1693" t="inlineStr">
        <is>
          <t>NAURU</t>
        </is>
      </c>
      <c r="G1693" t="inlineStr">
        <is>
          <t>NR</t>
        </is>
      </c>
      <c r="H1693" t="n">
        <v>3</v>
      </c>
      <c r="I1693" t="n">
        <v>3</v>
      </c>
      <c r="J1693" t="n">
        <v>6</v>
      </c>
      <c r="K1693" t="n">
        <v>18</v>
      </c>
      <c r="L1693" t="n">
        <v>18</v>
      </c>
      <c r="M1693" t="n">
        <v>18</v>
      </c>
      <c r="N1693" t="n">
        <v>18</v>
      </c>
      <c r="O1693" t="n">
        <v>30</v>
      </c>
      <c r="P1693" t="n">
        <v>6</v>
      </c>
      <c r="R1693" s="9" t="n">
        <v>0.06</v>
      </c>
      <c r="S1693" s="10" t="inlineStr">
        <is>
          <t>Absorbido en FF8 (catálogo país se reutiliza)</t>
        </is>
      </c>
      <c r="T1693" s="11" t="n"/>
      <c r="U1693" s="11" t="inlineStr">
        <is>
          <t>DEL BANCO (se hereda)</t>
        </is>
      </c>
      <c r="V1693" s="11" t="n"/>
      <c r="W1693" s="12" t="n"/>
      <c r="X1693" s="12" t="n"/>
    </row>
    <row r="1694" ht="15" customHeight="1">
      <c r="C1694" t="inlineStr">
        <is>
          <t>Envío o recepción de transferencias internacionales</t>
        </is>
      </c>
      <c r="D1694" t="inlineStr">
        <is>
          <t>F26</t>
        </is>
      </c>
      <c r="E1694" t="inlineStr">
        <is>
          <t>TRANSACCIONAL</t>
        </is>
      </c>
      <c r="F1694" t="inlineStr">
        <is>
          <t>NIUE</t>
        </is>
      </c>
      <c r="G1694" t="inlineStr">
        <is>
          <t>NU</t>
        </is>
      </c>
      <c r="H1694" t="n">
        <v>1</v>
      </c>
      <c r="I1694" t="n">
        <v>1</v>
      </c>
      <c r="J1694" t="n">
        <v>6</v>
      </c>
      <c r="K1694" t="n">
        <v>6</v>
      </c>
      <c r="L1694" t="n">
        <v>6</v>
      </c>
      <c r="M1694" t="n">
        <v>6</v>
      </c>
      <c r="N1694" t="n">
        <v>6</v>
      </c>
      <c r="O1694" t="n">
        <v>30</v>
      </c>
      <c r="P1694" t="n">
        <v>6</v>
      </c>
      <c r="R1694" s="9" t="n">
        <v>0.06</v>
      </c>
      <c r="S1694" s="10" t="inlineStr">
        <is>
          <t>Absorbido en FF8 (catálogo país se reutiliza)</t>
        </is>
      </c>
      <c r="T1694" s="11" t="n"/>
      <c r="U1694" s="11" t="inlineStr">
        <is>
          <t>DEL BANCO (se hereda)</t>
        </is>
      </c>
      <c r="V1694" s="11" t="n"/>
      <c r="W1694" s="12" t="n"/>
      <c r="X1694" s="12" t="n"/>
    </row>
    <row r="1695" ht="15" customHeight="1">
      <c r="C1695" t="inlineStr">
        <is>
          <t>Envío o recepción de transferencias internacionales</t>
        </is>
      </c>
      <c r="D1695" t="inlineStr">
        <is>
          <t>F26</t>
        </is>
      </c>
      <c r="E1695" t="inlineStr">
        <is>
          <t>TRANSACCIONAL</t>
        </is>
      </c>
      <c r="F1695" t="inlineStr">
        <is>
          <t>NIEVES</t>
        </is>
      </c>
      <c r="G1695" t="inlineStr">
        <is>
          <t>NV</t>
        </is>
      </c>
      <c r="H1695" t="n">
        <v>3</v>
      </c>
      <c r="I1695" t="n">
        <v>3</v>
      </c>
      <c r="J1695" t="n">
        <v>6</v>
      </c>
      <c r="K1695" t="n">
        <v>18</v>
      </c>
      <c r="L1695" t="n">
        <v>18</v>
      </c>
      <c r="M1695" t="n">
        <v>18</v>
      </c>
      <c r="N1695" t="n">
        <v>18</v>
      </c>
      <c r="O1695" t="n">
        <v>30</v>
      </c>
      <c r="P1695" t="n">
        <v>6</v>
      </c>
      <c r="R1695" s="9" t="n">
        <v>0.06</v>
      </c>
      <c r="S1695" s="10" t="inlineStr">
        <is>
          <t>Absorbido en FF8 (catálogo país se reutiliza)</t>
        </is>
      </c>
      <c r="T1695" s="11" t="n"/>
      <c r="U1695" s="11" t="inlineStr">
        <is>
          <t>DEL BANCO (se hereda)</t>
        </is>
      </c>
      <c r="V1695" s="11" t="n"/>
      <c r="W1695" s="12" t="n"/>
      <c r="X1695" s="12" t="n"/>
    </row>
    <row r="1696" ht="15" customHeight="1">
      <c r="C1696" t="inlineStr">
        <is>
          <t>Envío o recepción de transferencias internacionales</t>
        </is>
      </c>
      <c r="D1696" t="inlineStr">
        <is>
          <t>F26</t>
        </is>
      </c>
      <c r="E1696" t="inlineStr">
        <is>
          <t>TRANSACCIONAL</t>
        </is>
      </c>
      <c r="F1696" t="inlineStr">
        <is>
          <t>NUEVA ZELANDIA</t>
        </is>
      </c>
      <c r="G1696" t="inlineStr">
        <is>
          <t>NZ</t>
        </is>
      </c>
      <c r="H1696" t="n">
        <v>1</v>
      </c>
      <c r="I1696" t="n">
        <v>1</v>
      </c>
      <c r="J1696" t="n">
        <v>6</v>
      </c>
      <c r="K1696" t="n">
        <v>6</v>
      </c>
      <c r="L1696" t="n">
        <v>6</v>
      </c>
      <c r="M1696" t="n">
        <v>6</v>
      </c>
      <c r="N1696" t="n">
        <v>6</v>
      </c>
      <c r="O1696" t="n">
        <v>30</v>
      </c>
      <c r="P1696" t="n">
        <v>6</v>
      </c>
      <c r="R1696" s="9" t="n">
        <v>0.06</v>
      </c>
      <c r="S1696" s="10" t="inlineStr">
        <is>
          <t>Absorbido en FF8 (catálogo país se reutiliza)</t>
        </is>
      </c>
      <c r="T1696" s="11" t="n"/>
      <c r="U1696" s="11" t="inlineStr">
        <is>
          <t>DEL BANCO (se hereda)</t>
        </is>
      </c>
      <c r="V1696" s="11" t="n"/>
      <c r="W1696" s="12" t="n"/>
      <c r="X1696" s="12" t="n"/>
    </row>
    <row r="1697" ht="15" customHeight="1">
      <c r="C1697" t="inlineStr">
        <is>
          <t>Envío o recepción de transferencias internacionales</t>
        </is>
      </c>
      <c r="D1697" t="inlineStr">
        <is>
          <t>F26</t>
        </is>
      </c>
      <c r="E1697" t="inlineStr">
        <is>
          <t>TRANSACCIONAL</t>
        </is>
      </c>
      <c r="F1697" t="inlineStr">
        <is>
          <t>OMAN</t>
        </is>
      </c>
      <c r="G1697" t="inlineStr">
        <is>
          <t>OM</t>
        </is>
      </c>
      <c r="H1697" t="n">
        <v>3</v>
      </c>
      <c r="I1697" t="n">
        <v>3</v>
      </c>
      <c r="J1697" t="n">
        <v>6</v>
      </c>
      <c r="K1697" t="n">
        <v>18</v>
      </c>
      <c r="L1697" t="n">
        <v>18</v>
      </c>
      <c r="M1697" t="n">
        <v>18</v>
      </c>
      <c r="N1697" t="n">
        <v>18</v>
      </c>
      <c r="O1697" t="n">
        <v>30</v>
      </c>
      <c r="P1697" t="n">
        <v>6</v>
      </c>
      <c r="R1697" s="9" t="n">
        <v>0.06</v>
      </c>
      <c r="S1697" s="10" t="inlineStr">
        <is>
          <t>Absorbido en FF8 (catálogo país se reutiliza)</t>
        </is>
      </c>
      <c r="T1697" s="11" t="n"/>
      <c r="U1697" s="11" t="inlineStr">
        <is>
          <t>DEL BANCO (se hereda)</t>
        </is>
      </c>
      <c r="V1697" s="11" t="n"/>
      <c r="W1697" s="12" t="n"/>
      <c r="X1697" s="12" t="n"/>
    </row>
    <row r="1698" ht="15" customHeight="1">
      <c r="C1698" t="inlineStr">
        <is>
          <t>Envío o recepción de transferencias internacionales</t>
        </is>
      </c>
      <c r="D1698" t="inlineStr">
        <is>
          <t>F26</t>
        </is>
      </c>
      <c r="E1698" t="inlineStr">
        <is>
          <t>TRANSACCIONAL</t>
        </is>
      </c>
      <c r="F1698" t="inlineStr">
        <is>
          <t>PANAMA</t>
        </is>
      </c>
      <c r="G1698" t="inlineStr">
        <is>
          <t>PA</t>
        </is>
      </c>
      <c r="H1698" t="n">
        <v>3</v>
      </c>
      <c r="I1698" t="n">
        <v>3</v>
      </c>
      <c r="J1698" t="n">
        <v>6</v>
      </c>
      <c r="K1698" t="n">
        <v>18</v>
      </c>
      <c r="L1698" t="n">
        <v>18</v>
      </c>
      <c r="M1698" t="n">
        <v>18</v>
      </c>
      <c r="N1698" t="n">
        <v>18</v>
      </c>
      <c r="O1698" t="n">
        <v>30</v>
      </c>
      <c r="P1698" t="n">
        <v>6</v>
      </c>
      <c r="R1698" s="9" t="n">
        <v>0.06</v>
      </c>
      <c r="S1698" s="10" t="inlineStr">
        <is>
          <t>Absorbido en FF8 (catálogo país se reutiliza)</t>
        </is>
      </c>
      <c r="T1698" s="11" t="n"/>
      <c r="U1698" s="11" t="inlineStr">
        <is>
          <t>DEL BANCO (se hereda)</t>
        </is>
      </c>
      <c r="V1698" s="11" t="n"/>
      <c r="W1698" s="12" t="n"/>
      <c r="X1698" s="12" t="n"/>
    </row>
    <row r="1699" ht="15" customHeight="1">
      <c r="C1699" t="inlineStr">
        <is>
          <t>Envío o recepción de transferencias internacionales</t>
        </is>
      </c>
      <c r="D1699" t="inlineStr">
        <is>
          <t>F26</t>
        </is>
      </c>
      <c r="E1699" t="inlineStr">
        <is>
          <t>TRANSACCIONAL</t>
        </is>
      </c>
      <c r="F1699" t="inlineStr">
        <is>
          <t>PERU</t>
        </is>
      </c>
      <c r="G1699" t="inlineStr">
        <is>
          <t>PE</t>
        </is>
      </c>
      <c r="H1699" t="n">
        <v>2</v>
      </c>
      <c r="I1699" t="n">
        <v>2</v>
      </c>
      <c r="J1699" t="n">
        <v>6</v>
      </c>
      <c r="K1699" t="n">
        <v>12</v>
      </c>
      <c r="L1699" t="n">
        <v>12</v>
      </c>
      <c r="M1699" t="n">
        <v>12</v>
      </c>
      <c r="N1699" t="n">
        <v>12</v>
      </c>
      <c r="O1699" t="n">
        <v>30</v>
      </c>
      <c r="P1699" t="n">
        <v>6</v>
      </c>
      <c r="R1699" s="9" t="n">
        <v>0.06</v>
      </c>
      <c r="S1699" s="10" t="inlineStr">
        <is>
          <t>Absorbido en FF8 (catálogo país se reutiliza)</t>
        </is>
      </c>
      <c r="T1699" s="11" t="n"/>
      <c r="U1699" s="11" t="inlineStr">
        <is>
          <t>DEL BANCO (se hereda)</t>
        </is>
      </c>
      <c r="V1699" s="11" t="n"/>
      <c r="W1699" s="12" t="n"/>
      <c r="X1699" s="12" t="n"/>
    </row>
    <row r="1700" ht="15" customHeight="1">
      <c r="C1700" t="inlineStr">
        <is>
          <t>Envío o recepción de transferencias internacionales</t>
        </is>
      </c>
      <c r="D1700" t="inlineStr">
        <is>
          <t>F26</t>
        </is>
      </c>
      <c r="E1700" t="inlineStr">
        <is>
          <t>TRANSACCIONAL</t>
        </is>
      </c>
      <c r="F1700" t="inlineStr">
        <is>
          <t>POLINESIA FRANCESA</t>
        </is>
      </c>
      <c r="G1700" t="inlineStr">
        <is>
          <t>PF</t>
        </is>
      </c>
      <c r="H1700" t="n">
        <v>3</v>
      </c>
      <c r="I1700" t="n">
        <v>3</v>
      </c>
      <c r="J1700" t="n">
        <v>6</v>
      </c>
      <c r="K1700" t="n">
        <v>18</v>
      </c>
      <c r="L1700" t="n">
        <v>18</v>
      </c>
      <c r="M1700" t="n">
        <v>18</v>
      </c>
      <c r="N1700" t="n">
        <v>18</v>
      </c>
      <c r="O1700" t="n">
        <v>30</v>
      </c>
      <c r="P1700" t="n">
        <v>6</v>
      </c>
      <c r="R1700" s="9" t="n">
        <v>0.06</v>
      </c>
      <c r="S1700" s="10" t="inlineStr">
        <is>
          <t>Absorbido en FF8 (catálogo país se reutiliza)</t>
        </is>
      </c>
      <c r="T1700" s="11" t="n"/>
      <c r="U1700" s="11" t="inlineStr">
        <is>
          <t>DEL BANCO (se hereda)</t>
        </is>
      </c>
      <c r="V1700" s="11" t="n"/>
      <c r="W1700" s="12" t="n"/>
      <c r="X1700" s="12" t="n"/>
    </row>
    <row r="1701" ht="15" customHeight="1">
      <c r="C1701" t="inlineStr">
        <is>
          <t>Envío o recepción de transferencias internacionales</t>
        </is>
      </c>
      <c r="D1701" t="inlineStr">
        <is>
          <t>F26</t>
        </is>
      </c>
      <c r="E1701" t="inlineStr">
        <is>
          <t>TRANSACCIONAL</t>
        </is>
      </c>
      <c r="F1701" t="inlineStr">
        <is>
          <t>PAP NUEVA GUINE</t>
        </is>
      </c>
      <c r="G1701" t="inlineStr">
        <is>
          <t>PG</t>
        </is>
      </c>
      <c r="H1701" t="n">
        <v>4</v>
      </c>
      <c r="I1701" t="n">
        <v>4</v>
      </c>
      <c r="J1701" t="n">
        <v>6</v>
      </c>
      <c r="K1701" t="n">
        <v>24</v>
      </c>
      <c r="L1701" t="n">
        <v>24</v>
      </c>
      <c r="M1701" t="n">
        <v>24</v>
      </c>
      <c r="N1701" t="n">
        <v>24</v>
      </c>
      <c r="O1701" t="n">
        <v>30</v>
      </c>
      <c r="P1701" t="n">
        <v>6</v>
      </c>
      <c r="Q1701" t="inlineStr">
        <is>
          <t>DETERMINANTE</t>
        </is>
      </c>
      <c r="R1701" s="9" t="n">
        <v>0.06</v>
      </c>
      <c r="S1701" s="10" t="inlineStr">
        <is>
          <t>Absorbido en FF8 (catálogo país se reutiliza)</t>
        </is>
      </c>
      <c r="T1701" s="11" t="n"/>
      <c r="U1701" s="11" t="inlineStr">
        <is>
          <t>DEL BANCO (se hereda)</t>
        </is>
      </c>
      <c r="V1701" s="11" t="n"/>
      <c r="W1701" s="12" t="n"/>
      <c r="X1701" s="12" t="n"/>
    </row>
    <row r="1702" ht="15" customHeight="1">
      <c r="C1702" t="inlineStr">
        <is>
          <t>Envío o recepción de transferencias internacionales</t>
        </is>
      </c>
      <c r="D1702" t="inlineStr">
        <is>
          <t>F26</t>
        </is>
      </c>
      <c r="E1702" t="inlineStr">
        <is>
          <t>TRANSACCIONAL</t>
        </is>
      </c>
      <c r="F1702" t="inlineStr">
        <is>
          <t>FILIPINAS</t>
        </is>
      </c>
      <c r="G1702" t="inlineStr">
        <is>
          <t>PH</t>
        </is>
      </c>
      <c r="H1702" t="n">
        <v>2</v>
      </c>
      <c r="I1702" t="n">
        <v>2</v>
      </c>
      <c r="J1702" t="n">
        <v>6</v>
      </c>
      <c r="K1702" t="n">
        <v>12</v>
      </c>
      <c r="L1702" t="n">
        <v>12</v>
      </c>
      <c r="M1702" t="n">
        <v>12</v>
      </c>
      <c r="N1702" t="n">
        <v>12</v>
      </c>
      <c r="O1702" t="n">
        <v>30</v>
      </c>
      <c r="P1702" t="n">
        <v>6</v>
      </c>
      <c r="R1702" s="9" t="n">
        <v>0.06</v>
      </c>
      <c r="S1702" s="10" t="inlineStr">
        <is>
          <t>Absorbido en FF8 (catálogo país se reutiliza)</t>
        </is>
      </c>
      <c r="T1702" s="11" t="n"/>
      <c r="U1702" s="11" t="inlineStr">
        <is>
          <t>DEL BANCO (se hereda)</t>
        </is>
      </c>
      <c r="V1702" s="11" t="n"/>
      <c r="W1702" s="12" t="n"/>
      <c r="X1702" s="12" t="n"/>
    </row>
    <row r="1703" ht="15" customHeight="1">
      <c r="C1703" t="inlineStr">
        <is>
          <t>Envío o recepción de transferencias internacionales</t>
        </is>
      </c>
      <c r="D1703" t="inlineStr">
        <is>
          <t>F26</t>
        </is>
      </c>
      <c r="E1703" t="inlineStr">
        <is>
          <t>TRANSACCIONAL</t>
        </is>
      </c>
      <c r="F1703" t="inlineStr">
        <is>
          <t>PAKISTAN</t>
        </is>
      </c>
      <c r="G1703" t="inlineStr">
        <is>
          <t>PK</t>
        </is>
      </c>
      <c r="H1703" t="n">
        <v>3</v>
      </c>
      <c r="I1703" t="n">
        <v>3</v>
      </c>
      <c r="J1703" t="n">
        <v>6</v>
      </c>
      <c r="K1703" t="n">
        <v>18</v>
      </c>
      <c r="L1703" t="n">
        <v>18</v>
      </c>
      <c r="M1703" t="n">
        <v>18</v>
      </c>
      <c r="N1703" t="n">
        <v>18</v>
      </c>
      <c r="O1703" t="n">
        <v>30</v>
      </c>
      <c r="P1703" t="n">
        <v>6</v>
      </c>
      <c r="R1703" s="9" t="n">
        <v>0.06</v>
      </c>
      <c r="S1703" s="10" t="inlineStr">
        <is>
          <t>Absorbido en FF8 (catálogo país se reutiliza)</t>
        </is>
      </c>
      <c r="T1703" s="11" t="n"/>
      <c r="U1703" s="11" t="inlineStr">
        <is>
          <t>DEL BANCO (se hereda)</t>
        </is>
      </c>
      <c r="V1703" s="11" t="n"/>
      <c r="W1703" s="12" t="n"/>
      <c r="X1703" s="12" t="n"/>
    </row>
    <row r="1704" ht="15" customHeight="1">
      <c r="C1704" t="inlineStr">
        <is>
          <t>Envío o recepción de transferencias internacionales</t>
        </is>
      </c>
      <c r="D1704" t="inlineStr">
        <is>
          <t>F26</t>
        </is>
      </c>
      <c r="E1704" t="inlineStr">
        <is>
          <t>TRANSACCIONAL</t>
        </is>
      </c>
      <c r="F1704" t="inlineStr">
        <is>
          <t>POLONIA</t>
        </is>
      </c>
      <c r="G1704" t="inlineStr">
        <is>
          <t>PL</t>
        </is>
      </c>
      <c r="H1704" t="n">
        <v>1</v>
      </c>
      <c r="I1704" t="n">
        <v>1</v>
      </c>
      <c r="J1704" t="n">
        <v>6</v>
      </c>
      <c r="K1704" t="n">
        <v>6</v>
      </c>
      <c r="L1704" t="n">
        <v>6</v>
      </c>
      <c r="M1704" t="n">
        <v>6</v>
      </c>
      <c r="N1704" t="n">
        <v>6</v>
      </c>
      <c r="O1704" t="n">
        <v>30</v>
      </c>
      <c r="P1704" t="n">
        <v>6</v>
      </c>
      <c r="R1704" s="9" t="n">
        <v>0.06</v>
      </c>
      <c r="S1704" s="10" t="inlineStr">
        <is>
          <t>Absorbido en FF8 (catálogo país se reutiliza)</t>
        </is>
      </c>
      <c r="T1704" s="11" t="n"/>
      <c r="U1704" s="11" t="inlineStr">
        <is>
          <t>DEL BANCO (se hereda)</t>
        </is>
      </c>
      <c r="V1704" s="11" t="n"/>
      <c r="W1704" s="12" t="n"/>
      <c r="X1704" s="12" t="n"/>
    </row>
    <row r="1705" ht="15" customHeight="1">
      <c r="C1705" t="inlineStr">
        <is>
          <t>Envío o recepción de transferencias internacionales</t>
        </is>
      </c>
      <c r="D1705" t="inlineStr">
        <is>
          <t>F26</t>
        </is>
      </c>
      <c r="E1705" t="inlineStr">
        <is>
          <t>TRANSACCIONAL</t>
        </is>
      </c>
      <c r="F1705" t="inlineStr">
        <is>
          <t>SAN PEDRO</t>
        </is>
      </c>
      <c r="G1705" t="inlineStr">
        <is>
          <t>PM</t>
        </is>
      </c>
      <c r="H1705" t="n">
        <v>1</v>
      </c>
      <c r="I1705" t="n">
        <v>1</v>
      </c>
      <c r="J1705" t="n">
        <v>6</v>
      </c>
      <c r="K1705" t="n">
        <v>6</v>
      </c>
      <c r="L1705" t="n">
        <v>6</v>
      </c>
      <c r="M1705" t="n">
        <v>6</v>
      </c>
      <c r="N1705" t="n">
        <v>6</v>
      </c>
      <c r="O1705" t="n">
        <v>30</v>
      </c>
      <c r="P1705" t="n">
        <v>6</v>
      </c>
      <c r="R1705" s="9" t="n">
        <v>0.06</v>
      </c>
      <c r="S1705" s="10" t="inlineStr">
        <is>
          <t>Absorbido en FF8 (catálogo país se reutiliza)</t>
        </is>
      </c>
      <c r="T1705" s="11" t="n"/>
      <c r="U1705" s="11" t="inlineStr">
        <is>
          <t>DEL BANCO (se hereda)</t>
        </is>
      </c>
      <c r="V1705" s="11" t="n"/>
      <c r="W1705" s="12" t="n"/>
      <c r="X1705" s="12" t="n"/>
    </row>
    <row r="1706" ht="15" customHeight="1">
      <c r="C1706" t="inlineStr">
        <is>
          <t>Envío o recepción de transferencias internacionales</t>
        </is>
      </c>
      <c r="D1706" t="inlineStr">
        <is>
          <t>F26</t>
        </is>
      </c>
      <c r="E1706" t="inlineStr">
        <is>
          <t>TRANSACCIONAL</t>
        </is>
      </c>
      <c r="F1706" t="inlineStr">
        <is>
          <t>PITCAIRN</t>
        </is>
      </c>
      <c r="G1706" t="inlineStr">
        <is>
          <t>PN</t>
        </is>
      </c>
      <c r="H1706" t="n">
        <v>1</v>
      </c>
      <c r="I1706" t="n">
        <v>1</v>
      </c>
      <c r="J1706" t="n">
        <v>6</v>
      </c>
      <c r="K1706" t="n">
        <v>6</v>
      </c>
      <c r="L1706" t="n">
        <v>6</v>
      </c>
      <c r="M1706" t="n">
        <v>6</v>
      </c>
      <c r="N1706" t="n">
        <v>6</v>
      </c>
      <c r="O1706" t="n">
        <v>30</v>
      </c>
      <c r="P1706" t="n">
        <v>6</v>
      </c>
      <c r="R1706" s="9" t="n">
        <v>0.06</v>
      </c>
      <c r="S1706" s="10" t="inlineStr">
        <is>
          <t>Absorbido en FF8 (catálogo país se reutiliza)</t>
        </is>
      </c>
      <c r="T1706" s="11" t="n"/>
      <c r="U1706" s="11" t="inlineStr">
        <is>
          <t>DEL BANCO (se hereda)</t>
        </is>
      </c>
      <c r="V1706" s="11" t="n"/>
      <c r="W1706" s="12" t="n"/>
      <c r="X1706" s="12" t="n"/>
    </row>
    <row r="1707" ht="15" customHeight="1">
      <c r="C1707" t="inlineStr">
        <is>
          <t>Envío o recepción de transferencias internacionales</t>
        </is>
      </c>
      <c r="D1707" t="inlineStr">
        <is>
          <t>F26</t>
        </is>
      </c>
      <c r="E1707" t="inlineStr">
        <is>
          <t>TRANSACCIONAL</t>
        </is>
      </c>
      <c r="F1707" t="inlineStr">
        <is>
          <t>PUERTO RICO</t>
        </is>
      </c>
      <c r="G1707" t="inlineStr">
        <is>
          <t>PR</t>
        </is>
      </c>
      <c r="H1707" t="n">
        <v>1</v>
      </c>
      <c r="I1707" t="n">
        <v>1</v>
      </c>
      <c r="J1707" t="n">
        <v>6</v>
      </c>
      <c r="K1707" t="n">
        <v>6</v>
      </c>
      <c r="L1707" t="n">
        <v>6</v>
      </c>
      <c r="M1707" t="n">
        <v>6</v>
      </c>
      <c r="N1707" t="n">
        <v>6</v>
      </c>
      <c r="O1707" t="n">
        <v>30</v>
      </c>
      <c r="P1707" t="n">
        <v>6</v>
      </c>
      <c r="R1707" s="9" t="n">
        <v>0.06</v>
      </c>
      <c r="S1707" s="10" t="inlineStr">
        <is>
          <t>Absorbido en FF8 (catálogo país se reutiliza)</t>
        </is>
      </c>
      <c r="T1707" s="11" t="n"/>
      <c r="U1707" s="11" t="inlineStr">
        <is>
          <t>DEL BANCO (se hereda)</t>
        </is>
      </c>
      <c r="V1707" s="11" t="n"/>
      <c r="W1707" s="12" t="n"/>
      <c r="X1707" s="12" t="n"/>
    </row>
    <row r="1708" ht="15" customHeight="1">
      <c r="C1708" t="inlineStr">
        <is>
          <t>Envío o recepción de transferencias internacionales</t>
        </is>
      </c>
      <c r="D1708" t="inlineStr">
        <is>
          <t>F26</t>
        </is>
      </c>
      <c r="E1708" t="inlineStr">
        <is>
          <t>TRANSACCIONAL</t>
        </is>
      </c>
      <c r="F1708" t="inlineStr">
        <is>
          <t>TERRITORIOS PALESTIN</t>
        </is>
      </c>
      <c r="G1708" t="inlineStr">
        <is>
          <t>PS</t>
        </is>
      </c>
      <c r="H1708" t="n">
        <v>4</v>
      </c>
      <c r="I1708" t="n">
        <v>4</v>
      </c>
      <c r="J1708" t="n">
        <v>6</v>
      </c>
      <c r="K1708" t="n">
        <v>24</v>
      </c>
      <c r="L1708" t="n">
        <v>24</v>
      </c>
      <c r="M1708" t="n">
        <v>24</v>
      </c>
      <c r="N1708" t="n">
        <v>24</v>
      </c>
      <c r="O1708" t="n">
        <v>30</v>
      </c>
      <c r="P1708" t="n">
        <v>6</v>
      </c>
      <c r="R1708" s="9" t="n">
        <v>0.06</v>
      </c>
      <c r="S1708" s="10" t="inlineStr">
        <is>
          <t>Absorbido en FF8 (catálogo país se reutiliza)</t>
        </is>
      </c>
      <c r="T1708" s="11" t="n"/>
      <c r="U1708" s="11" t="inlineStr">
        <is>
          <t>DEL BANCO (se hereda)</t>
        </is>
      </c>
      <c r="V1708" s="11" t="n"/>
      <c r="W1708" s="12" t="n"/>
      <c r="X1708" s="12" t="n"/>
    </row>
    <row r="1709" ht="15" customHeight="1">
      <c r="C1709" t="inlineStr">
        <is>
          <t>Envío o recepción de transferencias internacionales</t>
        </is>
      </c>
      <c r="D1709" t="inlineStr">
        <is>
          <t>F26</t>
        </is>
      </c>
      <c r="E1709" t="inlineStr">
        <is>
          <t>TRANSACCIONAL</t>
        </is>
      </c>
      <c r="F1709" t="inlineStr">
        <is>
          <t>PORTUGAL</t>
        </is>
      </c>
      <c r="G1709" t="inlineStr">
        <is>
          <t>PT</t>
        </is>
      </c>
      <c r="H1709" t="n">
        <v>1</v>
      </c>
      <c r="I1709" t="n">
        <v>1</v>
      </c>
      <c r="J1709" t="n">
        <v>6</v>
      </c>
      <c r="K1709" t="n">
        <v>6</v>
      </c>
      <c r="L1709" t="n">
        <v>6</v>
      </c>
      <c r="M1709" t="n">
        <v>6</v>
      </c>
      <c r="N1709" t="n">
        <v>6</v>
      </c>
      <c r="O1709" t="n">
        <v>30</v>
      </c>
      <c r="P1709" t="n">
        <v>6</v>
      </c>
      <c r="R1709" s="9" t="n">
        <v>0.06</v>
      </c>
      <c r="S1709" s="10" t="inlineStr">
        <is>
          <t>Absorbido en FF8 (catálogo país se reutiliza)</t>
        </is>
      </c>
      <c r="T1709" s="11" t="n"/>
      <c r="U1709" s="11" t="inlineStr">
        <is>
          <t>DEL BANCO (se hereda)</t>
        </is>
      </c>
      <c r="V1709" s="11" t="n"/>
      <c r="W1709" s="12" t="n"/>
      <c r="X1709" s="12" t="n"/>
    </row>
    <row r="1710" ht="15" customHeight="1">
      <c r="C1710" t="inlineStr">
        <is>
          <t>Envío o recepción de transferencias internacionales</t>
        </is>
      </c>
      <c r="D1710" t="inlineStr">
        <is>
          <t>F26</t>
        </is>
      </c>
      <c r="E1710" t="inlineStr">
        <is>
          <t>TRANSACCIONAL</t>
        </is>
      </c>
      <c r="F1710" t="inlineStr">
        <is>
          <t>PATAU</t>
        </is>
      </c>
      <c r="G1710" t="inlineStr">
        <is>
          <t>PW</t>
        </is>
      </c>
      <c r="H1710" t="n">
        <v>1</v>
      </c>
      <c r="I1710" t="n">
        <v>1</v>
      </c>
      <c r="J1710" t="n">
        <v>6</v>
      </c>
      <c r="K1710" t="n">
        <v>6</v>
      </c>
      <c r="L1710" t="n">
        <v>6</v>
      </c>
      <c r="M1710" t="n">
        <v>6</v>
      </c>
      <c r="N1710" t="n">
        <v>6</v>
      </c>
      <c r="O1710" t="n">
        <v>30</v>
      </c>
      <c r="P1710" t="n">
        <v>6</v>
      </c>
      <c r="R1710" s="9" t="n">
        <v>0.06</v>
      </c>
      <c r="S1710" s="10" t="inlineStr">
        <is>
          <t>Absorbido en FF8 (catálogo país se reutiliza)</t>
        </is>
      </c>
      <c r="T1710" s="11" t="n"/>
      <c r="U1710" s="11" t="inlineStr">
        <is>
          <t>DEL BANCO (se hereda)</t>
        </is>
      </c>
      <c r="V1710" s="11" t="n"/>
      <c r="W1710" s="12" t="n"/>
      <c r="X1710" s="12" t="n"/>
    </row>
    <row r="1711" ht="15" customHeight="1">
      <c r="C1711" t="inlineStr">
        <is>
          <t>Envío o recepción de transferencias internacionales</t>
        </is>
      </c>
      <c r="D1711" t="inlineStr">
        <is>
          <t>F26</t>
        </is>
      </c>
      <c r="E1711" t="inlineStr">
        <is>
          <t>TRANSACCIONAL</t>
        </is>
      </c>
      <c r="F1711" t="inlineStr">
        <is>
          <t>PARAGUAY</t>
        </is>
      </c>
      <c r="G1711" t="inlineStr">
        <is>
          <t>PY</t>
        </is>
      </c>
      <c r="H1711" t="n">
        <v>3</v>
      </c>
      <c r="I1711" t="n">
        <v>3</v>
      </c>
      <c r="J1711" t="n">
        <v>6</v>
      </c>
      <c r="K1711" t="n">
        <v>18</v>
      </c>
      <c r="L1711" t="n">
        <v>18</v>
      </c>
      <c r="M1711" t="n">
        <v>18</v>
      </c>
      <c r="N1711" t="n">
        <v>18</v>
      </c>
      <c r="O1711" t="n">
        <v>30</v>
      </c>
      <c r="P1711" t="n">
        <v>6</v>
      </c>
      <c r="R1711" s="9" t="n">
        <v>0.06</v>
      </c>
      <c r="S1711" s="10" t="inlineStr">
        <is>
          <t>Absorbido en FF8 (catálogo país se reutiliza)</t>
        </is>
      </c>
      <c r="T1711" s="11" t="n"/>
      <c r="U1711" s="11" t="inlineStr">
        <is>
          <t>DEL BANCO (se hereda)</t>
        </is>
      </c>
      <c r="V1711" s="11" t="n"/>
      <c r="W1711" s="12" t="n"/>
      <c r="X1711" s="12" t="n"/>
    </row>
    <row r="1712" ht="15" customHeight="1">
      <c r="C1712" t="inlineStr">
        <is>
          <t>Envío o recepción de transferencias internacionales</t>
        </is>
      </c>
      <c r="D1712" t="inlineStr">
        <is>
          <t>F26</t>
        </is>
      </c>
      <c r="E1712" t="inlineStr">
        <is>
          <t>TRANSACCIONAL</t>
        </is>
      </c>
      <c r="F1712" t="inlineStr">
        <is>
          <t>QATAR</t>
        </is>
      </c>
      <c r="G1712" t="inlineStr">
        <is>
          <t>QA</t>
        </is>
      </c>
      <c r="H1712" t="n">
        <v>3</v>
      </c>
      <c r="I1712" t="n">
        <v>3</v>
      </c>
      <c r="J1712" t="n">
        <v>6</v>
      </c>
      <c r="K1712" t="n">
        <v>18</v>
      </c>
      <c r="L1712" t="n">
        <v>18</v>
      </c>
      <c r="M1712" t="n">
        <v>18</v>
      </c>
      <c r="N1712" t="n">
        <v>18</v>
      </c>
      <c r="O1712" t="n">
        <v>30</v>
      </c>
      <c r="P1712" t="n">
        <v>6</v>
      </c>
      <c r="R1712" s="9" t="n">
        <v>0.06</v>
      </c>
      <c r="S1712" s="10" t="inlineStr">
        <is>
          <t>Absorbido en FF8 (catálogo país se reutiliza)</t>
        </is>
      </c>
      <c r="T1712" s="11" t="n"/>
      <c r="U1712" s="11" t="inlineStr">
        <is>
          <t>DEL BANCO (se hereda)</t>
        </is>
      </c>
      <c r="V1712" s="11" t="n"/>
      <c r="W1712" s="12" t="n"/>
      <c r="X1712" s="12" t="n"/>
    </row>
    <row r="1713" ht="15" customHeight="1">
      <c r="C1713" t="inlineStr">
        <is>
          <t>Envío o recepción de transferencias internacionales</t>
        </is>
      </c>
      <c r="D1713" t="inlineStr">
        <is>
          <t>F26</t>
        </is>
      </c>
      <c r="E1713" t="inlineStr">
        <is>
          <t>TRANSACCIONAL</t>
        </is>
      </c>
      <c r="F1713" t="inlineStr">
        <is>
          <t>REUNION</t>
        </is>
      </c>
      <c r="G1713" t="inlineStr">
        <is>
          <t>RE</t>
        </is>
      </c>
      <c r="H1713" t="n">
        <v>1</v>
      </c>
      <c r="I1713" t="n">
        <v>1</v>
      </c>
      <c r="J1713" t="n">
        <v>6</v>
      </c>
      <c r="K1713" t="n">
        <v>6</v>
      </c>
      <c r="L1713" t="n">
        <v>6</v>
      </c>
      <c r="M1713" t="n">
        <v>6</v>
      </c>
      <c r="N1713" t="n">
        <v>6</v>
      </c>
      <c r="O1713" t="n">
        <v>30</v>
      </c>
      <c r="P1713" t="n">
        <v>6</v>
      </c>
      <c r="R1713" s="9" t="n">
        <v>0.06</v>
      </c>
      <c r="S1713" s="10" t="inlineStr">
        <is>
          <t>Absorbido en FF8 (catálogo país se reutiliza)</t>
        </is>
      </c>
      <c r="T1713" s="11" t="n"/>
      <c r="U1713" s="11" t="inlineStr">
        <is>
          <t>DEL BANCO (se hereda)</t>
        </is>
      </c>
      <c r="V1713" s="11" t="n"/>
      <c r="W1713" s="12" t="n"/>
      <c r="X1713" s="12" t="n"/>
    </row>
    <row r="1714" ht="15" customHeight="1">
      <c r="C1714" t="inlineStr">
        <is>
          <t>Envío o recepción de transferencias internacionales</t>
        </is>
      </c>
      <c r="D1714" t="inlineStr">
        <is>
          <t>F26</t>
        </is>
      </c>
      <c r="E1714" t="inlineStr">
        <is>
          <t>TRANSACCIONAL</t>
        </is>
      </c>
      <c r="F1714" t="inlineStr">
        <is>
          <t>RUMANIA</t>
        </is>
      </c>
      <c r="G1714" t="inlineStr">
        <is>
          <t>RO</t>
        </is>
      </c>
      <c r="H1714" t="n">
        <v>1</v>
      </c>
      <c r="I1714" t="n">
        <v>1</v>
      </c>
      <c r="J1714" t="n">
        <v>6</v>
      </c>
      <c r="K1714" t="n">
        <v>6</v>
      </c>
      <c r="L1714" t="n">
        <v>6</v>
      </c>
      <c r="M1714" t="n">
        <v>6</v>
      </c>
      <c r="N1714" t="n">
        <v>6</v>
      </c>
      <c r="O1714" t="n">
        <v>30</v>
      </c>
      <c r="P1714" t="n">
        <v>6</v>
      </c>
      <c r="R1714" s="9" t="n">
        <v>0.06</v>
      </c>
      <c r="S1714" s="10" t="inlineStr">
        <is>
          <t>Absorbido en FF8 (catálogo país se reutiliza)</t>
        </is>
      </c>
      <c r="T1714" s="11" t="n"/>
      <c r="U1714" s="11" t="inlineStr">
        <is>
          <t>DEL BANCO (se hereda)</t>
        </is>
      </c>
      <c r="V1714" s="11" t="n"/>
      <c r="W1714" s="12" t="n"/>
      <c r="X1714" s="12" t="n"/>
    </row>
    <row r="1715" ht="15" customHeight="1">
      <c r="C1715" t="inlineStr">
        <is>
          <t>Envío o recepción de transferencias internacionales</t>
        </is>
      </c>
      <c r="D1715" t="inlineStr">
        <is>
          <t>F26</t>
        </is>
      </c>
      <c r="E1715" t="inlineStr">
        <is>
          <t>TRANSACCIONAL</t>
        </is>
      </c>
      <c r="F1715" t="inlineStr">
        <is>
          <t>SERBIA</t>
        </is>
      </c>
      <c r="G1715" t="inlineStr">
        <is>
          <t>RS</t>
        </is>
      </c>
      <c r="H1715" t="n">
        <v>2</v>
      </c>
      <c r="I1715" t="n">
        <v>2</v>
      </c>
      <c r="J1715" t="n">
        <v>6</v>
      </c>
      <c r="K1715" t="n">
        <v>12</v>
      </c>
      <c r="L1715" t="n">
        <v>12</v>
      </c>
      <c r="M1715" t="n">
        <v>12</v>
      </c>
      <c r="N1715" t="n">
        <v>12</v>
      </c>
      <c r="O1715" t="n">
        <v>30</v>
      </c>
      <c r="P1715" t="n">
        <v>6</v>
      </c>
      <c r="R1715" s="9" t="n">
        <v>0.06</v>
      </c>
      <c r="S1715" s="10" t="inlineStr">
        <is>
          <t>Absorbido en FF8 (catálogo país se reutiliza)</t>
        </is>
      </c>
      <c r="T1715" s="11" t="n"/>
      <c r="U1715" s="11" t="inlineStr">
        <is>
          <t>DEL BANCO (se hereda)</t>
        </is>
      </c>
      <c r="V1715" s="11" t="n"/>
      <c r="W1715" s="12" t="n"/>
      <c r="X1715" s="12" t="n"/>
    </row>
    <row r="1716" ht="15" customHeight="1">
      <c r="C1716" t="inlineStr">
        <is>
          <t>Envío o recepción de transferencias internacionales</t>
        </is>
      </c>
      <c r="D1716" t="inlineStr">
        <is>
          <t>F26</t>
        </is>
      </c>
      <c r="E1716" t="inlineStr">
        <is>
          <t>TRANSACCIONAL</t>
        </is>
      </c>
      <c r="F1716" t="inlineStr">
        <is>
          <t>FEDERACION RUSA</t>
        </is>
      </c>
      <c r="G1716" t="inlineStr">
        <is>
          <t>RU</t>
        </is>
      </c>
      <c r="H1716" t="n">
        <v>4</v>
      </c>
      <c r="I1716" t="n">
        <v>4</v>
      </c>
      <c r="J1716" t="n">
        <v>6</v>
      </c>
      <c r="K1716" t="n">
        <v>24</v>
      </c>
      <c r="L1716" t="n">
        <v>24</v>
      </c>
      <c r="M1716" t="n">
        <v>24</v>
      </c>
      <c r="N1716" t="n">
        <v>24</v>
      </c>
      <c r="O1716" t="n">
        <v>30</v>
      </c>
      <c r="P1716" t="n">
        <v>6</v>
      </c>
      <c r="R1716" s="9" t="n">
        <v>0.06</v>
      </c>
      <c r="S1716" s="10" t="inlineStr">
        <is>
          <t>Absorbido en FF8 (catálogo país se reutiliza)</t>
        </is>
      </c>
      <c r="T1716" s="11" t="n"/>
      <c r="U1716" s="11" t="inlineStr">
        <is>
          <t>DEL BANCO (se hereda)</t>
        </is>
      </c>
      <c r="V1716" s="11" t="n"/>
      <c r="W1716" s="12" t="n"/>
      <c r="X1716" s="12" t="n"/>
    </row>
    <row r="1717" ht="15" customHeight="1">
      <c r="C1717" t="inlineStr">
        <is>
          <t>Envío o recepción de transferencias internacionales</t>
        </is>
      </c>
      <c r="D1717" t="inlineStr">
        <is>
          <t>F26</t>
        </is>
      </c>
      <c r="E1717" t="inlineStr">
        <is>
          <t>TRANSACCIONAL</t>
        </is>
      </c>
      <c r="F1717" t="inlineStr">
        <is>
          <t>RWANDA</t>
        </is>
      </c>
      <c r="G1717" t="inlineStr">
        <is>
          <t>RW</t>
        </is>
      </c>
      <c r="H1717" t="n">
        <v>3</v>
      </c>
      <c r="I1717" t="n">
        <v>3</v>
      </c>
      <c r="J1717" t="n">
        <v>6</v>
      </c>
      <c r="K1717" t="n">
        <v>18</v>
      </c>
      <c r="L1717" t="n">
        <v>18</v>
      </c>
      <c r="M1717" t="n">
        <v>18</v>
      </c>
      <c r="N1717" t="n">
        <v>18</v>
      </c>
      <c r="O1717" t="n">
        <v>30</v>
      </c>
      <c r="P1717" t="n">
        <v>6</v>
      </c>
      <c r="R1717" s="9" t="n">
        <v>0.06</v>
      </c>
      <c r="S1717" s="10" t="inlineStr">
        <is>
          <t>Absorbido en FF8 (catálogo país se reutiliza)</t>
        </is>
      </c>
      <c r="T1717" s="11" t="n"/>
      <c r="U1717" s="11" t="inlineStr">
        <is>
          <t>DEL BANCO (se hereda)</t>
        </is>
      </c>
      <c r="V1717" s="11" t="n"/>
      <c r="W1717" s="12" t="n"/>
      <c r="X1717" s="12" t="n"/>
    </row>
    <row r="1718" ht="15" customHeight="1">
      <c r="C1718" t="inlineStr">
        <is>
          <t>Envío o recepción de transferencias internacionales</t>
        </is>
      </c>
      <c r="D1718" t="inlineStr">
        <is>
          <t>F26</t>
        </is>
      </c>
      <c r="E1718" t="inlineStr">
        <is>
          <t>TRANSACCIONAL</t>
        </is>
      </c>
      <c r="F1718" t="inlineStr">
        <is>
          <t>ARABIA SAUDI</t>
        </is>
      </c>
      <c r="G1718" t="inlineStr">
        <is>
          <t>SA</t>
        </is>
      </c>
      <c r="H1718" t="n">
        <v>3</v>
      </c>
      <c r="I1718" t="n">
        <v>3</v>
      </c>
      <c r="J1718" t="n">
        <v>6</v>
      </c>
      <c r="K1718" t="n">
        <v>18</v>
      </c>
      <c r="L1718" t="n">
        <v>18</v>
      </c>
      <c r="M1718" t="n">
        <v>18</v>
      </c>
      <c r="N1718" t="n">
        <v>18</v>
      </c>
      <c r="O1718" t="n">
        <v>30</v>
      </c>
      <c r="P1718" t="n">
        <v>6</v>
      </c>
      <c r="R1718" s="9" t="n">
        <v>0.06</v>
      </c>
      <c r="S1718" s="10" t="inlineStr">
        <is>
          <t>Absorbido en FF8 (catálogo país se reutiliza)</t>
        </is>
      </c>
      <c r="T1718" s="11" t="n"/>
      <c r="U1718" s="11" t="inlineStr">
        <is>
          <t>DEL BANCO (se hereda)</t>
        </is>
      </c>
      <c r="V1718" s="11" t="n"/>
      <c r="W1718" s="12" t="n"/>
      <c r="X1718" s="12" t="n"/>
    </row>
    <row r="1719" ht="15" customHeight="1">
      <c r="C1719" t="inlineStr">
        <is>
          <t>Envío o recepción de transferencias internacionales</t>
        </is>
      </c>
      <c r="D1719" t="inlineStr">
        <is>
          <t>F26</t>
        </is>
      </c>
      <c r="E1719" t="inlineStr">
        <is>
          <t>TRANSACCIONAL</t>
        </is>
      </c>
      <c r="F1719" t="inlineStr">
        <is>
          <t>ISLAS SOLOMON</t>
        </is>
      </c>
      <c r="G1719" t="inlineStr">
        <is>
          <t>SB</t>
        </is>
      </c>
      <c r="H1719" t="n">
        <v>3</v>
      </c>
      <c r="I1719" t="n">
        <v>3</v>
      </c>
      <c r="J1719" t="n">
        <v>6</v>
      </c>
      <c r="K1719" t="n">
        <v>18</v>
      </c>
      <c r="L1719" t="n">
        <v>18</v>
      </c>
      <c r="M1719" t="n">
        <v>18</v>
      </c>
      <c r="N1719" t="n">
        <v>18</v>
      </c>
      <c r="O1719" t="n">
        <v>30</v>
      </c>
      <c r="P1719" t="n">
        <v>6</v>
      </c>
      <c r="R1719" s="9" t="n">
        <v>0.06</v>
      </c>
      <c r="S1719" s="10" t="inlineStr">
        <is>
          <t>Absorbido en FF8 (catálogo país se reutiliza)</t>
        </is>
      </c>
      <c r="T1719" s="11" t="n"/>
      <c r="U1719" s="11" t="inlineStr">
        <is>
          <t>DEL BANCO (se hereda)</t>
        </is>
      </c>
      <c r="V1719" s="11" t="n"/>
      <c r="W1719" s="12" t="n"/>
      <c r="X1719" s="12" t="n"/>
    </row>
    <row r="1720" ht="15" customHeight="1">
      <c r="C1720" t="inlineStr">
        <is>
          <t>Envío o recepción de transferencias internacionales</t>
        </is>
      </c>
      <c r="D1720" t="inlineStr">
        <is>
          <t>F26</t>
        </is>
      </c>
      <c r="E1720" t="inlineStr">
        <is>
          <t>TRANSACCIONAL</t>
        </is>
      </c>
      <c r="F1720" t="inlineStr">
        <is>
          <t>SEYCHELLES</t>
        </is>
      </c>
      <c r="G1720" t="inlineStr">
        <is>
          <t>SC</t>
        </is>
      </c>
      <c r="H1720" t="n">
        <v>3</v>
      </c>
      <c r="I1720" t="n">
        <v>3</v>
      </c>
      <c r="J1720" t="n">
        <v>6</v>
      </c>
      <c r="K1720" t="n">
        <v>18</v>
      </c>
      <c r="L1720" t="n">
        <v>18</v>
      </c>
      <c r="M1720" t="n">
        <v>18</v>
      </c>
      <c r="N1720" t="n">
        <v>18</v>
      </c>
      <c r="O1720" t="n">
        <v>30</v>
      </c>
      <c r="P1720" t="n">
        <v>6</v>
      </c>
      <c r="R1720" s="9" t="n">
        <v>0.06</v>
      </c>
      <c r="S1720" s="10" t="inlineStr">
        <is>
          <t>Absorbido en FF8 (catálogo país se reutiliza)</t>
        </is>
      </c>
      <c r="T1720" s="11" t="n"/>
      <c r="U1720" s="11" t="inlineStr">
        <is>
          <t>DEL BANCO (se hereda)</t>
        </is>
      </c>
      <c r="V1720" s="11" t="n"/>
      <c r="W1720" s="12" t="n"/>
      <c r="X1720" s="12" t="n"/>
    </row>
    <row r="1721" ht="15" customHeight="1">
      <c r="C1721" t="inlineStr">
        <is>
          <t>Envío o recepción de transferencias internacionales</t>
        </is>
      </c>
      <c r="D1721" t="inlineStr">
        <is>
          <t>F26</t>
        </is>
      </c>
      <c r="E1721" t="inlineStr">
        <is>
          <t>TRANSACCIONAL</t>
        </is>
      </c>
      <c r="F1721" t="inlineStr">
        <is>
          <t>SUDAN</t>
        </is>
      </c>
      <c r="G1721" t="inlineStr">
        <is>
          <t>SD</t>
        </is>
      </c>
      <c r="H1721" t="n">
        <v>4</v>
      </c>
      <c r="I1721" t="n">
        <v>4</v>
      </c>
      <c r="J1721" t="n">
        <v>6</v>
      </c>
      <c r="K1721" t="n">
        <v>24</v>
      </c>
      <c r="L1721" t="n">
        <v>24</v>
      </c>
      <c r="M1721" t="n">
        <v>24</v>
      </c>
      <c r="N1721" t="n">
        <v>24</v>
      </c>
      <c r="O1721" t="n">
        <v>30</v>
      </c>
      <c r="P1721" t="n">
        <v>6</v>
      </c>
      <c r="R1721" s="9" t="n">
        <v>0.06</v>
      </c>
      <c r="S1721" s="10" t="inlineStr">
        <is>
          <t>Absorbido en FF8 (catálogo país se reutiliza)</t>
        </is>
      </c>
      <c r="T1721" s="11" t="n"/>
      <c r="U1721" s="11" t="inlineStr">
        <is>
          <t>DEL BANCO (se hereda)</t>
        </is>
      </c>
      <c r="V1721" s="11" t="n"/>
      <c r="W1721" s="12" t="n"/>
      <c r="X1721" s="12" t="n"/>
    </row>
    <row r="1722" ht="15" customHeight="1">
      <c r="C1722" t="inlineStr">
        <is>
          <t>Envío o recepción de transferencias internacionales</t>
        </is>
      </c>
      <c r="D1722" t="inlineStr">
        <is>
          <t>F26</t>
        </is>
      </c>
      <c r="E1722" t="inlineStr">
        <is>
          <t>TRANSACCIONAL</t>
        </is>
      </c>
      <c r="F1722" t="inlineStr">
        <is>
          <t>SUECIA</t>
        </is>
      </c>
      <c r="G1722" t="inlineStr">
        <is>
          <t>SE</t>
        </is>
      </c>
      <c r="H1722" t="n">
        <v>1</v>
      </c>
      <c r="I1722" t="n">
        <v>1</v>
      </c>
      <c r="J1722" t="n">
        <v>6</v>
      </c>
      <c r="K1722" t="n">
        <v>6</v>
      </c>
      <c r="L1722" t="n">
        <v>6</v>
      </c>
      <c r="M1722" t="n">
        <v>6</v>
      </c>
      <c r="N1722" t="n">
        <v>6</v>
      </c>
      <c r="O1722" t="n">
        <v>30</v>
      </c>
      <c r="P1722" t="n">
        <v>6</v>
      </c>
      <c r="R1722" s="9" t="n">
        <v>0.06</v>
      </c>
      <c r="S1722" s="10" t="inlineStr">
        <is>
          <t>Absorbido en FF8 (catálogo país se reutiliza)</t>
        </is>
      </c>
      <c r="T1722" s="11" t="n"/>
      <c r="U1722" s="11" t="inlineStr">
        <is>
          <t>DEL BANCO (se hereda)</t>
        </is>
      </c>
      <c r="V1722" s="11" t="n"/>
      <c r="W1722" s="12" t="n"/>
      <c r="X1722" s="12" t="n"/>
    </row>
    <row r="1723" ht="15" customHeight="1">
      <c r="C1723" t="inlineStr">
        <is>
          <t>Envío o recepción de transferencias internacionales</t>
        </is>
      </c>
      <c r="D1723" t="inlineStr">
        <is>
          <t>F26</t>
        </is>
      </c>
      <c r="E1723" t="inlineStr">
        <is>
          <t>TRANSACCIONAL</t>
        </is>
      </c>
      <c r="F1723" t="inlineStr">
        <is>
          <t>SINGAPUR</t>
        </is>
      </c>
      <c r="G1723" t="inlineStr">
        <is>
          <t>SG</t>
        </is>
      </c>
      <c r="H1723" t="n">
        <v>3</v>
      </c>
      <c r="I1723" t="n">
        <v>3</v>
      </c>
      <c r="J1723" t="n">
        <v>6</v>
      </c>
      <c r="K1723" t="n">
        <v>18</v>
      </c>
      <c r="L1723" t="n">
        <v>18</v>
      </c>
      <c r="M1723" t="n">
        <v>18</v>
      </c>
      <c r="N1723" t="n">
        <v>18</v>
      </c>
      <c r="O1723" t="n">
        <v>30</v>
      </c>
      <c r="P1723" t="n">
        <v>6</v>
      </c>
      <c r="R1723" s="9" t="n">
        <v>0.06</v>
      </c>
      <c r="S1723" s="10" t="inlineStr">
        <is>
          <t>Absorbido en FF8 (catálogo país se reutiliza)</t>
        </is>
      </c>
      <c r="T1723" s="11" t="n"/>
      <c r="U1723" s="11" t="inlineStr">
        <is>
          <t>DEL BANCO (se hereda)</t>
        </is>
      </c>
      <c r="V1723" s="11" t="n"/>
      <c r="W1723" s="12" t="n"/>
      <c r="X1723" s="12" t="n"/>
    </row>
    <row r="1724" ht="15" customHeight="1">
      <c r="C1724" t="inlineStr">
        <is>
          <t>Envío o recepción de transferencias internacionales</t>
        </is>
      </c>
      <c r="D1724" t="inlineStr">
        <is>
          <t>F26</t>
        </is>
      </c>
      <c r="E1724" t="inlineStr">
        <is>
          <t>TRANSACCIONAL</t>
        </is>
      </c>
      <c r="F1724" t="inlineStr">
        <is>
          <t>ST ELENA, ASCENSION</t>
        </is>
      </c>
      <c r="G1724" t="inlineStr">
        <is>
          <t>SH</t>
        </is>
      </c>
      <c r="H1724" t="n">
        <v>1</v>
      </c>
      <c r="I1724" t="n">
        <v>1</v>
      </c>
      <c r="J1724" t="n">
        <v>6</v>
      </c>
      <c r="K1724" t="n">
        <v>6</v>
      </c>
      <c r="L1724" t="n">
        <v>6</v>
      </c>
      <c r="M1724" t="n">
        <v>6</v>
      </c>
      <c r="N1724" t="n">
        <v>6</v>
      </c>
      <c r="O1724" t="n">
        <v>30</v>
      </c>
      <c r="P1724" t="n">
        <v>6</v>
      </c>
      <c r="R1724" s="9" t="n">
        <v>0.06</v>
      </c>
      <c r="S1724" s="10" t="inlineStr">
        <is>
          <t>Absorbido en FF8 (catálogo país se reutiliza)</t>
        </is>
      </c>
      <c r="T1724" s="11" t="n"/>
      <c r="U1724" s="11" t="inlineStr">
        <is>
          <t>DEL BANCO (se hereda)</t>
        </is>
      </c>
      <c r="V1724" s="11" t="n"/>
      <c r="W1724" s="12" t="n"/>
      <c r="X1724" s="12" t="n"/>
    </row>
    <row r="1725" ht="15" customHeight="1">
      <c r="C1725" t="inlineStr">
        <is>
          <t>Envío o recepción de transferencias internacionales</t>
        </is>
      </c>
      <c r="D1725" t="inlineStr">
        <is>
          <t>F26</t>
        </is>
      </c>
      <c r="E1725" t="inlineStr">
        <is>
          <t>TRANSACCIONAL</t>
        </is>
      </c>
      <c r="F1725" t="inlineStr">
        <is>
          <t>SLOVENIA</t>
        </is>
      </c>
      <c r="G1725" t="inlineStr">
        <is>
          <t>SI</t>
        </is>
      </c>
      <c r="H1725" t="n">
        <v>1</v>
      </c>
      <c r="I1725" t="n">
        <v>1</v>
      </c>
      <c r="J1725" t="n">
        <v>6</v>
      </c>
      <c r="K1725" t="n">
        <v>6</v>
      </c>
      <c r="L1725" t="n">
        <v>6</v>
      </c>
      <c r="M1725" t="n">
        <v>6</v>
      </c>
      <c r="N1725" t="n">
        <v>6</v>
      </c>
      <c r="O1725" t="n">
        <v>30</v>
      </c>
      <c r="P1725" t="n">
        <v>6</v>
      </c>
      <c r="R1725" s="9" t="n">
        <v>0.06</v>
      </c>
      <c r="S1725" s="10" t="inlineStr">
        <is>
          <t>Absorbido en FF8 (catálogo país se reutiliza)</t>
        </is>
      </c>
      <c r="T1725" s="11" t="n"/>
      <c r="U1725" s="11" t="inlineStr">
        <is>
          <t>DEL BANCO (se hereda)</t>
        </is>
      </c>
      <c r="V1725" s="11" t="n"/>
      <c r="W1725" s="12" t="n"/>
      <c r="X1725" s="12" t="n"/>
    </row>
    <row r="1726" ht="15" customHeight="1">
      <c r="C1726" t="inlineStr">
        <is>
          <t>Envío o recepción de transferencias internacionales</t>
        </is>
      </c>
      <c r="D1726" t="inlineStr">
        <is>
          <t>F26</t>
        </is>
      </c>
      <c r="E1726" t="inlineStr">
        <is>
          <t>TRANSACCIONAL</t>
        </is>
      </c>
      <c r="F1726" t="inlineStr">
        <is>
          <t>SVALBARD</t>
        </is>
      </c>
      <c r="G1726" t="inlineStr">
        <is>
          <t>SJ</t>
        </is>
      </c>
      <c r="H1726" t="n">
        <v>1</v>
      </c>
      <c r="I1726" t="n">
        <v>1</v>
      </c>
      <c r="J1726" t="n">
        <v>6</v>
      </c>
      <c r="K1726" t="n">
        <v>6</v>
      </c>
      <c r="L1726" t="n">
        <v>6</v>
      </c>
      <c r="M1726" t="n">
        <v>6</v>
      </c>
      <c r="N1726" t="n">
        <v>6</v>
      </c>
      <c r="O1726" t="n">
        <v>30</v>
      </c>
      <c r="P1726" t="n">
        <v>6</v>
      </c>
      <c r="R1726" s="9" t="n">
        <v>0.06</v>
      </c>
      <c r="S1726" s="10" t="inlineStr">
        <is>
          <t>Absorbido en FF8 (catálogo país se reutiliza)</t>
        </is>
      </c>
      <c r="T1726" s="11" t="n"/>
      <c r="U1726" s="11" t="inlineStr">
        <is>
          <t>DEL BANCO (se hereda)</t>
        </is>
      </c>
      <c r="V1726" s="11" t="n"/>
      <c r="W1726" s="12" t="n"/>
      <c r="X1726" s="12" t="n"/>
    </row>
    <row r="1727" ht="15" customHeight="1">
      <c r="C1727" t="inlineStr">
        <is>
          <t>Envío o recepción de transferencias internacionales</t>
        </is>
      </c>
      <c r="D1727" t="inlineStr">
        <is>
          <t>F26</t>
        </is>
      </c>
      <c r="E1727" t="inlineStr">
        <is>
          <t>TRANSACCIONAL</t>
        </is>
      </c>
      <c r="F1727" t="inlineStr">
        <is>
          <t>SLOVAKIA</t>
        </is>
      </c>
      <c r="G1727" t="inlineStr">
        <is>
          <t>SK</t>
        </is>
      </c>
      <c r="H1727" t="n">
        <v>1</v>
      </c>
      <c r="I1727" t="n">
        <v>1</v>
      </c>
      <c r="J1727" t="n">
        <v>6</v>
      </c>
      <c r="K1727" t="n">
        <v>6</v>
      </c>
      <c r="L1727" t="n">
        <v>6</v>
      </c>
      <c r="M1727" t="n">
        <v>6</v>
      </c>
      <c r="N1727" t="n">
        <v>6</v>
      </c>
      <c r="O1727" t="n">
        <v>30</v>
      </c>
      <c r="P1727" t="n">
        <v>6</v>
      </c>
      <c r="R1727" s="9" t="n">
        <v>0.06</v>
      </c>
      <c r="S1727" s="10" t="inlineStr">
        <is>
          <t>Absorbido en FF8 (catálogo país se reutiliza)</t>
        </is>
      </c>
      <c r="T1727" s="11" t="n"/>
      <c r="U1727" s="11" t="inlineStr">
        <is>
          <t>DEL BANCO (se hereda)</t>
        </is>
      </c>
      <c r="V1727" s="11" t="n"/>
      <c r="W1727" s="12" t="n"/>
      <c r="X1727" s="12" t="n"/>
    </row>
    <row r="1728" ht="15" customHeight="1">
      <c r="C1728" t="inlineStr">
        <is>
          <t>Envío o recepción de transferencias internacionales</t>
        </is>
      </c>
      <c r="D1728" t="inlineStr">
        <is>
          <t>F26</t>
        </is>
      </c>
      <c r="E1728" t="inlineStr">
        <is>
          <t>TRANSACCIONAL</t>
        </is>
      </c>
      <c r="F1728" t="inlineStr">
        <is>
          <t>SIERRA LEONA</t>
        </is>
      </c>
      <c r="G1728" t="inlineStr">
        <is>
          <t>SL</t>
        </is>
      </c>
      <c r="H1728" t="n">
        <v>3</v>
      </c>
      <c r="I1728" t="n">
        <v>3</v>
      </c>
      <c r="J1728" t="n">
        <v>6</v>
      </c>
      <c r="K1728" t="n">
        <v>18</v>
      </c>
      <c r="L1728" t="n">
        <v>18</v>
      </c>
      <c r="M1728" t="n">
        <v>18</v>
      </c>
      <c r="N1728" t="n">
        <v>18</v>
      </c>
      <c r="O1728" t="n">
        <v>30</v>
      </c>
      <c r="P1728" t="n">
        <v>6</v>
      </c>
      <c r="R1728" s="9" t="n">
        <v>0.06</v>
      </c>
      <c r="S1728" s="10" t="inlineStr">
        <is>
          <t>Absorbido en FF8 (catálogo país se reutiliza)</t>
        </is>
      </c>
      <c r="T1728" s="11" t="n"/>
      <c r="U1728" s="11" t="inlineStr">
        <is>
          <t>DEL BANCO (se hereda)</t>
        </is>
      </c>
      <c r="V1728" s="11" t="n"/>
      <c r="W1728" s="12" t="n"/>
      <c r="X1728" s="12" t="n"/>
    </row>
    <row r="1729" ht="15" customHeight="1">
      <c r="C1729" t="inlineStr">
        <is>
          <t>Envío o recepción de transferencias internacionales</t>
        </is>
      </c>
      <c r="D1729" t="inlineStr">
        <is>
          <t>F26</t>
        </is>
      </c>
      <c r="E1729" t="inlineStr">
        <is>
          <t>TRANSACCIONAL</t>
        </is>
      </c>
      <c r="F1729" t="inlineStr">
        <is>
          <t>SAN MARINO</t>
        </is>
      </c>
      <c r="G1729" t="inlineStr">
        <is>
          <t>SM</t>
        </is>
      </c>
      <c r="H1729" t="n">
        <v>1</v>
      </c>
      <c r="I1729" t="n">
        <v>1</v>
      </c>
      <c r="J1729" t="n">
        <v>6</v>
      </c>
      <c r="K1729" t="n">
        <v>6</v>
      </c>
      <c r="L1729" t="n">
        <v>6</v>
      </c>
      <c r="M1729" t="n">
        <v>6</v>
      </c>
      <c r="N1729" t="n">
        <v>6</v>
      </c>
      <c r="O1729" t="n">
        <v>30</v>
      </c>
      <c r="P1729" t="n">
        <v>6</v>
      </c>
      <c r="R1729" s="9" t="n">
        <v>0.06</v>
      </c>
      <c r="S1729" s="10" t="inlineStr">
        <is>
          <t>Absorbido en FF8 (catálogo país se reutiliza)</t>
        </is>
      </c>
      <c r="T1729" s="11" t="n"/>
      <c r="U1729" s="11" t="inlineStr">
        <is>
          <t>DEL BANCO (se hereda)</t>
        </is>
      </c>
      <c r="V1729" s="11" t="n"/>
      <c r="W1729" s="12" t="n"/>
      <c r="X1729" s="12" t="n"/>
    </row>
    <row r="1730" ht="15" customHeight="1">
      <c r="C1730" t="inlineStr">
        <is>
          <t>Envío o recepción de transferencias internacionales</t>
        </is>
      </c>
      <c r="D1730" t="inlineStr">
        <is>
          <t>F26</t>
        </is>
      </c>
      <c r="E1730" t="inlineStr">
        <is>
          <t>TRANSACCIONAL</t>
        </is>
      </c>
      <c r="F1730" t="inlineStr">
        <is>
          <t>SENEGAL</t>
        </is>
      </c>
      <c r="G1730" t="inlineStr">
        <is>
          <t>SN</t>
        </is>
      </c>
      <c r="H1730" t="n">
        <v>2</v>
      </c>
      <c r="I1730" t="n">
        <v>2</v>
      </c>
      <c r="J1730" t="n">
        <v>6</v>
      </c>
      <c r="K1730" t="n">
        <v>12</v>
      </c>
      <c r="L1730" t="n">
        <v>12</v>
      </c>
      <c r="M1730" t="n">
        <v>12</v>
      </c>
      <c r="N1730" t="n">
        <v>12</v>
      </c>
      <c r="O1730" t="n">
        <v>30</v>
      </c>
      <c r="P1730" t="n">
        <v>6</v>
      </c>
      <c r="R1730" s="9" t="n">
        <v>0.06</v>
      </c>
      <c r="S1730" s="10" t="inlineStr">
        <is>
          <t>Absorbido en FF8 (catálogo país se reutiliza)</t>
        </is>
      </c>
      <c r="T1730" s="11" t="n"/>
      <c r="U1730" s="11" t="inlineStr">
        <is>
          <t>DEL BANCO (se hereda)</t>
        </is>
      </c>
      <c r="V1730" s="11" t="n"/>
      <c r="W1730" s="12" t="n"/>
      <c r="X1730" s="12" t="n"/>
    </row>
    <row r="1731" ht="15" customHeight="1">
      <c r="C1731" t="inlineStr">
        <is>
          <t>Envío o recepción de transferencias internacionales</t>
        </is>
      </c>
      <c r="D1731" t="inlineStr">
        <is>
          <t>F26</t>
        </is>
      </c>
      <c r="E1731" t="inlineStr">
        <is>
          <t>TRANSACCIONAL</t>
        </is>
      </c>
      <c r="F1731" t="inlineStr">
        <is>
          <t>SOMALIA</t>
        </is>
      </c>
      <c r="G1731" t="inlineStr">
        <is>
          <t>SO</t>
        </is>
      </c>
      <c r="H1731" t="n">
        <v>4</v>
      </c>
      <c r="I1731" t="n">
        <v>4</v>
      </c>
      <c r="J1731" t="n">
        <v>6</v>
      </c>
      <c r="K1731" t="n">
        <v>24</v>
      </c>
      <c r="L1731" t="n">
        <v>24</v>
      </c>
      <c r="M1731" t="n">
        <v>24</v>
      </c>
      <c r="N1731" t="n">
        <v>24</v>
      </c>
      <c r="O1731" t="n">
        <v>30</v>
      </c>
      <c r="P1731" t="n">
        <v>6</v>
      </c>
      <c r="R1731" s="9" t="n">
        <v>0.06</v>
      </c>
      <c r="S1731" s="10" t="inlineStr">
        <is>
          <t>Absorbido en FF8 (catálogo país se reutiliza)</t>
        </is>
      </c>
      <c r="T1731" s="11" t="n"/>
      <c r="U1731" s="11" t="inlineStr">
        <is>
          <t>DEL BANCO (se hereda)</t>
        </is>
      </c>
      <c r="V1731" s="11" t="n"/>
      <c r="W1731" s="12" t="n"/>
      <c r="X1731" s="12" t="n"/>
    </row>
    <row r="1732" ht="15" customHeight="1">
      <c r="C1732" t="inlineStr">
        <is>
          <t>Envío o recepción de transferencias internacionales</t>
        </is>
      </c>
      <c r="D1732" t="inlineStr">
        <is>
          <t>F26</t>
        </is>
      </c>
      <c r="E1732" t="inlineStr">
        <is>
          <t>TRANSACCIONAL</t>
        </is>
      </c>
      <c r="F1732" t="inlineStr">
        <is>
          <t>SURINAM</t>
        </is>
      </c>
      <c r="G1732" t="inlineStr">
        <is>
          <t>SR</t>
        </is>
      </c>
      <c r="H1732" t="n">
        <v>3</v>
      </c>
      <c r="I1732" t="n">
        <v>3</v>
      </c>
      <c r="J1732" t="n">
        <v>6</v>
      </c>
      <c r="K1732" t="n">
        <v>18</v>
      </c>
      <c r="L1732" t="n">
        <v>18</v>
      </c>
      <c r="M1732" t="n">
        <v>18</v>
      </c>
      <c r="N1732" t="n">
        <v>18</v>
      </c>
      <c r="O1732" t="n">
        <v>30</v>
      </c>
      <c r="P1732" t="n">
        <v>6</v>
      </c>
      <c r="R1732" s="9" t="n">
        <v>0.06</v>
      </c>
      <c r="S1732" s="10" t="inlineStr">
        <is>
          <t>Absorbido en FF8 (catálogo país se reutiliza)</t>
        </is>
      </c>
      <c r="T1732" s="11" t="n"/>
      <c r="U1732" s="11" t="inlineStr">
        <is>
          <t>DEL BANCO (se hereda)</t>
        </is>
      </c>
      <c r="V1732" s="11" t="n"/>
      <c r="W1732" s="12" t="n"/>
      <c r="X1732" s="12" t="n"/>
    </row>
    <row r="1733" ht="15" customHeight="1">
      <c r="C1733" t="inlineStr">
        <is>
          <t>Envío o recepción de transferencias internacionales</t>
        </is>
      </c>
      <c r="D1733" t="inlineStr">
        <is>
          <t>F26</t>
        </is>
      </c>
      <c r="E1733" t="inlineStr">
        <is>
          <t>TRANSACCIONAL</t>
        </is>
      </c>
      <c r="F1733" t="inlineStr">
        <is>
          <t>SANTO TOME</t>
        </is>
      </c>
      <c r="G1733" t="inlineStr">
        <is>
          <t>ST</t>
        </is>
      </c>
      <c r="H1733" t="n">
        <v>2</v>
      </c>
      <c r="I1733" t="n">
        <v>2</v>
      </c>
      <c r="J1733" t="n">
        <v>6</v>
      </c>
      <c r="K1733" t="n">
        <v>12</v>
      </c>
      <c r="L1733" t="n">
        <v>12</v>
      </c>
      <c r="M1733" t="n">
        <v>12</v>
      </c>
      <c r="N1733" t="n">
        <v>12</v>
      </c>
      <c r="O1733" t="n">
        <v>30</v>
      </c>
      <c r="P1733" t="n">
        <v>6</v>
      </c>
      <c r="R1733" s="9" t="n">
        <v>0.06</v>
      </c>
      <c r="S1733" s="10" t="inlineStr">
        <is>
          <t>Absorbido en FF8 (catálogo país se reutiliza)</t>
        </is>
      </c>
      <c r="T1733" s="11" t="n"/>
      <c r="U1733" s="11" t="inlineStr">
        <is>
          <t>DEL BANCO (se hereda)</t>
        </is>
      </c>
      <c r="V1733" s="11" t="n"/>
      <c r="W1733" s="12" t="n"/>
      <c r="X1733" s="12" t="n"/>
    </row>
    <row r="1734" ht="15" customHeight="1">
      <c r="C1734" t="inlineStr">
        <is>
          <t>Envío o recepción de transferencias internacionales</t>
        </is>
      </c>
      <c r="D1734" t="inlineStr">
        <is>
          <t>F26</t>
        </is>
      </c>
      <c r="E1734" t="inlineStr">
        <is>
          <t>TRANSACCIONAL</t>
        </is>
      </c>
      <c r="F1734" t="inlineStr">
        <is>
          <t>EL SALVADOR</t>
        </is>
      </c>
      <c r="G1734" t="inlineStr">
        <is>
          <t>SV</t>
        </is>
      </c>
      <c r="H1734" t="n">
        <v>3</v>
      </c>
      <c r="I1734" t="n">
        <v>3</v>
      </c>
      <c r="J1734" t="n">
        <v>6</v>
      </c>
      <c r="K1734" t="n">
        <v>18</v>
      </c>
      <c r="L1734" t="n">
        <v>18</v>
      </c>
      <c r="M1734" t="n">
        <v>18</v>
      </c>
      <c r="N1734" t="n">
        <v>18</v>
      </c>
      <c r="O1734" t="n">
        <v>30</v>
      </c>
      <c r="P1734" t="n">
        <v>6</v>
      </c>
      <c r="R1734" s="9" t="n">
        <v>0.06</v>
      </c>
      <c r="S1734" s="10" t="inlineStr">
        <is>
          <t>Absorbido en FF8 (catálogo país se reutiliza)</t>
        </is>
      </c>
      <c r="T1734" s="11" t="n"/>
      <c r="U1734" s="11" t="inlineStr">
        <is>
          <t>DEL BANCO (se hereda)</t>
        </is>
      </c>
      <c r="V1734" s="11" t="n"/>
      <c r="W1734" s="12" t="n"/>
      <c r="X1734" s="12" t="n"/>
    </row>
    <row r="1735" ht="15" customHeight="1">
      <c r="C1735" t="inlineStr">
        <is>
          <t>Envío o recepción de transferencias internacionales</t>
        </is>
      </c>
      <c r="D1735" t="inlineStr">
        <is>
          <t>F26</t>
        </is>
      </c>
      <c r="E1735" t="inlineStr">
        <is>
          <t>TRANSACCIONAL</t>
        </is>
      </c>
      <c r="F1735" t="inlineStr">
        <is>
          <t>SIRIA</t>
        </is>
      </c>
      <c r="G1735" t="inlineStr">
        <is>
          <t>SY</t>
        </is>
      </c>
      <c r="H1735" t="n">
        <v>4</v>
      </c>
      <c r="I1735" t="n">
        <v>4</v>
      </c>
      <c r="J1735" t="n">
        <v>6</v>
      </c>
      <c r="K1735" t="n">
        <v>24</v>
      </c>
      <c r="L1735" t="n">
        <v>24</v>
      </c>
      <c r="M1735" t="n">
        <v>24</v>
      </c>
      <c r="N1735" t="n">
        <v>24</v>
      </c>
      <c r="O1735" t="n">
        <v>30</v>
      </c>
      <c r="P1735" t="n">
        <v>6</v>
      </c>
      <c r="Q1735" t="inlineStr">
        <is>
          <t>DETERMINANTE</t>
        </is>
      </c>
      <c r="R1735" s="9" t="n">
        <v>0.06</v>
      </c>
      <c r="S1735" s="10" t="inlineStr">
        <is>
          <t>Absorbido en FF8 (catálogo país se reutiliza)</t>
        </is>
      </c>
      <c r="T1735" s="11" t="n"/>
      <c r="U1735" s="11" t="inlineStr">
        <is>
          <t>DEL BANCO (se hereda)</t>
        </is>
      </c>
      <c r="V1735" s="11" t="n"/>
      <c r="W1735" s="12" t="n"/>
      <c r="X1735" s="12" t="n"/>
    </row>
    <row r="1736" ht="15" customHeight="1">
      <c r="C1736" t="inlineStr">
        <is>
          <t>Envío o recepción de transferencias internacionales</t>
        </is>
      </c>
      <c r="D1736" t="inlineStr">
        <is>
          <t>F26</t>
        </is>
      </c>
      <c r="E1736" t="inlineStr">
        <is>
          <t>TRANSACCIONAL</t>
        </is>
      </c>
      <c r="F1736" t="inlineStr">
        <is>
          <t>SWAZILANDIA</t>
        </is>
      </c>
      <c r="G1736" t="inlineStr">
        <is>
          <t>SZ</t>
        </is>
      </c>
      <c r="H1736" t="n">
        <v>4</v>
      </c>
      <c r="I1736" t="n">
        <v>4</v>
      </c>
      <c r="J1736" t="n">
        <v>6</v>
      </c>
      <c r="K1736" t="n">
        <v>24</v>
      </c>
      <c r="L1736" t="n">
        <v>24</v>
      </c>
      <c r="M1736" t="n">
        <v>24</v>
      </c>
      <c r="N1736" t="n">
        <v>24</v>
      </c>
      <c r="O1736" t="n">
        <v>30</v>
      </c>
      <c r="P1736" t="n">
        <v>6</v>
      </c>
      <c r="R1736" s="9" t="n">
        <v>0.06</v>
      </c>
      <c r="S1736" s="10" t="inlineStr">
        <is>
          <t>Absorbido en FF8 (catálogo país se reutiliza)</t>
        </is>
      </c>
      <c r="T1736" s="11" t="n"/>
      <c r="U1736" s="11" t="inlineStr">
        <is>
          <t>DEL BANCO (se hereda)</t>
        </is>
      </c>
      <c r="V1736" s="11" t="n"/>
      <c r="W1736" s="12" t="n"/>
      <c r="X1736" s="12" t="n"/>
    </row>
    <row r="1737" ht="15" customHeight="1">
      <c r="C1737" t="inlineStr">
        <is>
          <t>Envío o recepción de transferencias internacionales</t>
        </is>
      </c>
      <c r="D1737" t="inlineStr">
        <is>
          <t>F26</t>
        </is>
      </c>
      <c r="E1737" t="inlineStr">
        <is>
          <t>TRANSACCIONAL</t>
        </is>
      </c>
      <c r="F1737" t="inlineStr">
        <is>
          <t>ISLAS TURCAS Y CAICO</t>
        </is>
      </c>
      <c r="G1737" t="inlineStr">
        <is>
          <t>TC</t>
        </is>
      </c>
      <c r="H1737" t="n">
        <v>3</v>
      </c>
      <c r="I1737" t="n">
        <v>3</v>
      </c>
      <c r="J1737" t="n">
        <v>6</v>
      </c>
      <c r="K1737" t="n">
        <v>18</v>
      </c>
      <c r="L1737" t="n">
        <v>18</v>
      </c>
      <c r="M1737" t="n">
        <v>18</v>
      </c>
      <c r="N1737" t="n">
        <v>18</v>
      </c>
      <c r="O1737" t="n">
        <v>30</v>
      </c>
      <c r="P1737" t="n">
        <v>6</v>
      </c>
      <c r="R1737" s="9" t="n">
        <v>0.06</v>
      </c>
      <c r="S1737" s="10" t="inlineStr">
        <is>
          <t>Absorbido en FF8 (catálogo país se reutiliza)</t>
        </is>
      </c>
      <c r="T1737" s="11" t="n"/>
      <c r="U1737" s="11" t="inlineStr">
        <is>
          <t>DEL BANCO (se hereda)</t>
        </is>
      </c>
      <c r="V1737" s="11" t="n"/>
      <c r="W1737" s="12" t="n"/>
      <c r="X1737" s="12" t="n"/>
    </row>
    <row r="1738" ht="15" customHeight="1">
      <c r="C1738" t="inlineStr">
        <is>
          <t>Envío o recepción de transferencias internacionales</t>
        </is>
      </c>
      <c r="D1738" t="inlineStr">
        <is>
          <t>F26</t>
        </is>
      </c>
      <c r="E1738" t="inlineStr">
        <is>
          <t>TRANSACCIONAL</t>
        </is>
      </c>
      <c r="F1738" t="inlineStr">
        <is>
          <t>CHAD</t>
        </is>
      </c>
      <c r="G1738" t="inlineStr">
        <is>
          <t>TD</t>
        </is>
      </c>
      <c r="H1738" t="n">
        <v>4</v>
      </c>
      <c r="I1738" t="n">
        <v>4</v>
      </c>
      <c r="J1738" t="n">
        <v>6</v>
      </c>
      <c r="K1738" t="n">
        <v>24</v>
      </c>
      <c r="L1738" t="n">
        <v>24</v>
      </c>
      <c r="M1738" t="n">
        <v>24</v>
      </c>
      <c r="N1738" t="n">
        <v>24</v>
      </c>
      <c r="O1738" t="n">
        <v>30</v>
      </c>
      <c r="P1738" t="n">
        <v>6</v>
      </c>
      <c r="R1738" s="9" t="n">
        <v>0.06</v>
      </c>
      <c r="S1738" s="10" t="inlineStr">
        <is>
          <t>Absorbido en FF8 (catálogo país se reutiliza)</t>
        </is>
      </c>
      <c r="T1738" s="11" t="n"/>
      <c r="U1738" s="11" t="inlineStr">
        <is>
          <t>DEL BANCO (se hereda)</t>
        </is>
      </c>
      <c r="V1738" s="11" t="n"/>
      <c r="W1738" s="12" t="n"/>
      <c r="X1738" s="12" t="n"/>
    </row>
    <row r="1739" ht="15" customHeight="1">
      <c r="C1739" t="inlineStr">
        <is>
          <t>Envío o recepción de transferencias internacionales</t>
        </is>
      </c>
      <c r="D1739" t="inlineStr">
        <is>
          <t>F26</t>
        </is>
      </c>
      <c r="E1739" t="inlineStr">
        <is>
          <t>TRANSACCIONAL</t>
        </is>
      </c>
      <c r="F1739" t="inlineStr">
        <is>
          <t>TERRIT AUS FRAN</t>
        </is>
      </c>
      <c r="G1739" t="inlineStr">
        <is>
          <t>TF</t>
        </is>
      </c>
      <c r="H1739" t="n">
        <v>1</v>
      </c>
      <c r="I1739" t="n">
        <v>1</v>
      </c>
      <c r="J1739" t="n">
        <v>6</v>
      </c>
      <c r="K1739" t="n">
        <v>6</v>
      </c>
      <c r="L1739" t="n">
        <v>6</v>
      </c>
      <c r="M1739" t="n">
        <v>6</v>
      </c>
      <c r="N1739" t="n">
        <v>6</v>
      </c>
      <c r="O1739" t="n">
        <v>30</v>
      </c>
      <c r="P1739" t="n">
        <v>6</v>
      </c>
      <c r="R1739" s="9" t="n">
        <v>0.06</v>
      </c>
      <c r="S1739" s="10" t="inlineStr">
        <is>
          <t>Absorbido en FF8 (catálogo país se reutiliza)</t>
        </is>
      </c>
      <c r="T1739" s="11" t="n"/>
      <c r="U1739" s="11" t="inlineStr">
        <is>
          <t>DEL BANCO (se hereda)</t>
        </is>
      </c>
      <c r="V1739" s="11" t="n"/>
      <c r="W1739" s="12" t="n"/>
      <c r="X1739" s="12" t="n"/>
    </row>
    <row r="1740" ht="15" customHeight="1">
      <c r="C1740" t="inlineStr">
        <is>
          <t>Envío o recepción de transferencias internacionales</t>
        </is>
      </c>
      <c r="D1740" t="inlineStr">
        <is>
          <t>F26</t>
        </is>
      </c>
      <c r="E1740" t="inlineStr">
        <is>
          <t>TRANSACCIONAL</t>
        </is>
      </c>
      <c r="F1740" t="inlineStr">
        <is>
          <t>TOGO</t>
        </is>
      </c>
      <c r="G1740" t="inlineStr">
        <is>
          <t>TG</t>
        </is>
      </c>
      <c r="H1740" t="n">
        <v>3</v>
      </c>
      <c r="I1740" t="n">
        <v>3</v>
      </c>
      <c r="J1740" t="n">
        <v>6</v>
      </c>
      <c r="K1740" t="n">
        <v>18</v>
      </c>
      <c r="L1740" t="n">
        <v>18</v>
      </c>
      <c r="M1740" t="n">
        <v>18</v>
      </c>
      <c r="N1740" t="n">
        <v>18</v>
      </c>
      <c r="O1740" t="n">
        <v>30</v>
      </c>
      <c r="P1740" t="n">
        <v>6</v>
      </c>
      <c r="R1740" s="9" t="n">
        <v>0.06</v>
      </c>
      <c r="S1740" s="10" t="inlineStr">
        <is>
          <t>Absorbido en FF8 (catálogo país se reutiliza)</t>
        </is>
      </c>
      <c r="T1740" s="11" t="n"/>
      <c r="U1740" s="11" t="inlineStr">
        <is>
          <t>DEL BANCO (se hereda)</t>
        </is>
      </c>
      <c r="V1740" s="11" t="n"/>
      <c r="W1740" s="12" t="n"/>
      <c r="X1740" s="12" t="n"/>
    </row>
    <row r="1741" ht="15" customHeight="1">
      <c r="C1741" t="inlineStr">
        <is>
          <t>Envío o recepción de transferencias internacionales</t>
        </is>
      </c>
      <c r="D1741" t="inlineStr">
        <is>
          <t>F26</t>
        </is>
      </c>
      <c r="E1741" t="inlineStr">
        <is>
          <t>TRANSACCIONAL</t>
        </is>
      </c>
      <c r="F1741" t="inlineStr">
        <is>
          <t>TAILANDIA</t>
        </is>
      </c>
      <c r="G1741" t="inlineStr">
        <is>
          <t>TH</t>
        </is>
      </c>
      <c r="H1741" t="n">
        <v>3</v>
      </c>
      <c r="I1741" t="n">
        <v>3</v>
      </c>
      <c r="J1741" t="n">
        <v>6</v>
      </c>
      <c r="K1741" t="n">
        <v>18</v>
      </c>
      <c r="L1741" t="n">
        <v>18</v>
      </c>
      <c r="M1741" t="n">
        <v>18</v>
      </c>
      <c r="N1741" t="n">
        <v>18</v>
      </c>
      <c r="O1741" t="n">
        <v>30</v>
      </c>
      <c r="P1741" t="n">
        <v>6</v>
      </c>
      <c r="R1741" s="9" t="n">
        <v>0.06</v>
      </c>
      <c r="S1741" s="10" t="inlineStr">
        <is>
          <t>Absorbido en FF8 (catálogo país se reutiliza)</t>
        </is>
      </c>
      <c r="T1741" s="11" t="n"/>
      <c r="U1741" s="11" t="inlineStr">
        <is>
          <t>DEL BANCO (se hereda)</t>
        </is>
      </c>
      <c r="V1741" s="11" t="n"/>
      <c r="W1741" s="12" t="n"/>
      <c r="X1741" s="12" t="n"/>
    </row>
    <row r="1742" ht="15" customHeight="1">
      <c r="C1742" t="inlineStr">
        <is>
          <t>Envío o recepción de transferencias internacionales</t>
        </is>
      </c>
      <c r="D1742" t="inlineStr">
        <is>
          <t>F26</t>
        </is>
      </c>
      <c r="E1742" t="inlineStr">
        <is>
          <t>TRANSACCIONAL</t>
        </is>
      </c>
      <c r="F1742" t="inlineStr">
        <is>
          <t>TAJIKISTAN</t>
        </is>
      </c>
      <c r="G1742" t="inlineStr">
        <is>
          <t>TJ</t>
        </is>
      </c>
      <c r="H1742" t="n">
        <v>3</v>
      </c>
      <c r="I1742" t="n">
        <v>3</v>
      </c>
      <c r="J1742" t="n">
        <v>6</v>
      </c>
      <c r="K1742" t="n">
        <v>18</v>
      </c>
      <c r="L1742" t="n">
        <v>18</v>
      </c>
      <c r="M1742" t="n">
        <v>18</v>
      </c>
      <c r="N1742" t="n">
        <v>18</v>
      </c>
      <c r="O1742" t="n">
        <v>30</v>
      </c>
      <c r="P1742" t="n">
        <v>6</v>
      </c>
      <c r="R1742" s="9" t="n">
        <v>0.06</v>
      </c>
      <c r="S1742" s="10" t="inlineStr">
        <is>
          <t>Absorbido en FF8 (catálogo país se reutiliza)</t>
        </is>
      </c>
      <c r="T1742" s="11" t="n"/>
      <c r="U1742" s="11" t="inlineStr">
        <is>
          <t>DEL BANCO (se hereda)</t>
        </is>
      </c>
      <c r="V1742" s="11" t="n"/>
      <c r="W1742" s="12" t="n"/>
      <c r="X1742" s="12" t="n"/>
    </row>
    <row r="1743" ht="15" customHeight="1">
      <c r="C1743" t="inlineStr">
        <is>
          <t>Envío o recepción de transferencias internacionales</t>
        </is>
      </c>
      <c r="D1743" t="inlineStr">
        <is>
          <t>F26</t>
        </is>
      </c>
      <c r="E1743" t="inlineStr">
        <is>
          <t>TRANSACCIONAL</t>
        </is>
      </c>
      <c r="F1743" t="inlineStr">
        <is>
          <t>TOKELAU</t>
        </is>
      </c>
      <c r="G1743" t="inlineStr">
        <is>
          <t>TK</t>
        </is>
      </c>
      <c r="H1743" t="n">
        <v>1</v>
      </c>
      <c r="I1743" t="n">
        <v>1</v>
      </c>
      <c r="J1743" t="n">
        <v>6</v>
      </c>
      <c r="K1743" t="n">
        <v>6</v>
      </c>
      <c r="L1743" t="n">
        <v>6</v>
      </c>
      <c r="M1743" t="n">
        <v>6</v>
      </c>
      <c r="N1743" t="n">
        <v>6</v>
      </c>
      <c r="O1743" t="n">
        <v>30</v>
      </c>
      <c r="P1743" t="n">
        <v>6</v>
      </c>
      <c r="R1743" s="9" t="n">
        <v>0.06</v>
      </c>
      <c r="S1743" s="10" t="inlineStr">
        <is>
          <t>Absorbido en FF8 (catálogo país se reutiliza)</t>
        </is>
      </c>
      <c r="T1743" s="11" t="n"/>
      <c r="U1743" s="11" t="inlineStr">
        <is>
          <t>DEL BANCO (se hereda)</t>
        </is>
      </c>
      <c r="V1743" s="11" t="n"/>
      <c r="W1743" s="12" t="n"/>
      <c r="X1743" s="12" t="n"/>
    </row>
    <row r="1744" ht="15" customHeight="1">
      <c r="C1744" t="inlineStr">
        <is>
          <t>Envío o recepción de transferencias internacionales</t>
        </is>
      </c>
      <c r="D1744" t="inlineStr">
        <is>
          <t>F26</t>
        </is>
      </c>
      <c r="E1744" t="inlineStr">
        <is>
          <t>TRANSACCIONAL</t>
        </is>
      </c>
      <c r="F1744" t="inlineStr">
        <is>
          <t>TIMOR ORIENTAL</t>
        </is>
      </c>
      <c r="G1744" t="inlineStr">
        <is>
          <t>TL</t>
        </is>
      </c>
      <c r="H1744" t="n">
        <v>3</v>
      </c>
      <c r="I1744" t="n">
        <v>3</v>
      </c>
      <c r="J1744" t="n">
        <v>6</v>
      </c>
      <c r="K1744" t="n">
        <v>18</v>
      </c>
      <c r="L1744" t="n">
        <v>18</v>
      </c>
      <c r="M1744" t="n">
        <v>18</v>
      </c>
      <c r="N1744" t="n">
        <v>18</v>
      </c>
      <c r="O1744" t="n">
        <v>30</v>
      </c>
      <c r="P1744" t="n">
        <v>6</v>
      </c>
      <c r="R1744" s="9" t="n">
        <v>0.06</v>
      </c>
      <c r="S1744" s="10" t="inlineStr">
        <is>
          <t>Absorbido en FF8 (catálogo país se reutiliza)</t>
        </is>
      </c>
      <c r="T1744" s="11" t="n"/>
      <c r="U1744" s="11" t="inlineStr">
        <is>
          <t>DEL BANCO (se hereda)</t>
        </is>
      </c>
      <c r="V1744" s="11" t="n"/>
      <c r="W1744" s="12" t="n"/>
      <c r="X1744" s="12" t="n"/>
    </row>
    <row r="1745" ht="15" customHeight="1">
      <c r="C1745" t="inlineStr">
        <is>
          <t>Envío o recepción de transferencias internacionales</t>
        </is>
      </c>
      <c r="D1745" t="inlineStr">
        <is>
          <t>F26</t>
        </is>
      </c>
      <c r="E1745" t="inlineStr">
        <is>
          <t>TRANSACCIONAL</t>
        </is>
      </c>
      <c r="F1745" t="inlineStr">
        <is>
          <t>TURKMENISTAN</t>
        </is>
      </c>
      <c r="G1745" t="inlineStr">
        <is>
          <t>TM</t>
        </is>
      </c>
      <c r="H1745" t="n">
        <v>4</v>
      </c>
      <c r="I1745" t="n">
        <v>4</v>
      </c>
      <c r="J1745" t="n">
        <v>6</v>
      </c>
      <c r="K1745" t="n">
        <v>24</v>
      </c>
      <c r="L1745" t="n">
        <v>24</v>
      </c>
      <c r="M1745" t="n">
        <v>24</v>
      </c>
      <c r="N1745" t="n">
        <v>24</v>
      </c>
      <c r="O1745" t="n">
        <v>30</v>
      </c>
      <c r="P1745" t="n">
        <v>6</v>
      </c>
      <c r="R1745" s="9" t="n">
        <v>0.06</v>
      </c>
      <c r="S1745" s="10" t="inlineStr">
        <is>
          <t>Absorbido en FF8 (catálogo país se reutiliza)</t>
        </is>
      </c>
      <c r="T1745" s="11" t="n"/>
      <c r="U1745" s="11" t="inlineStr">
        <is>
          <t>DEL BANCO (se hereda)</t>
        </is>
      </c>
      <c r="V1745" s="11" t="n"/>
      <c r="W1745" s="12" t="n"/>
      <c r="X1745" s="12" t="n"/>
    </row>
    <row r="1746" ht="15" customHeight="1">
      <c r="C1746" t="inlineStr">
        <is>
          <t>Envío o recepción de transferencias internacionales</t>
        </is>
      </c>
      <c r="D1746" t="inlineStr">
        <is>
          <t>F26</t>
        </is>
      </c>
      <c r="E1746" t="inlineStr">
        <is>
          <t>TRANSACCIONAL</t>
        </is>
      </c>
      <c r="F1746" t="inlineStr">
        <is>
          <t>TUNEZ</t>
        </is>
      </c>
      <c r="G1746" t="inlineStr">
        <is>
          <t>TN</t>
        </is>
      </c>
      <c r="H1746" t="n">
        <v>2</v>
      </c>
      <c r="I1746" t="n">
        <v>2</v>
      </c>
      <c r="J1746" t="n">
        <v>6</v>
      </c>
      <c r="K1746" t="n">
        <v>12</v>
      </c>
      <c r="L1746" t="n">
        <v>12</v>
      </c>
      <c r="M1746" t="n">
        <v>12</v>
      </c>
      <c r="N1746" t="n">
        <v>12</v>
      </c>
      <c r="O1746" t="n">
        <v>30</v>
      </c>
      <c r="P1746" t="n">
        <v>6</v>
      </c>
      <c r="R1746" s="9" t="n">
        <v>0.06</v>
      </c>
      <c r="S1746" s="10" t="inlineStr">
        <is>
          <t>Absorbido en FF8 (catálogo país se reutiliza)</t>
        </is>
      </c>
      <c r="T1746" s="11" t="n"/>
      <c r="U1746" s="11" t="inlineStr">
        <is>
          <t>DEL BANCO (se hereda)</t>
        </is>
      </c>
      <c r="V1746" s="11" t="n"/>
      <c r="W1746" s="12" t="n"/>
      <c r="X1746" s="12" t="n"/>
    </row>
    <row r="1747" ht="15" customHeight="1">
      <c r="C1747" t="inlineStr">
        <is>
          <t>Envío o recepción de transferencias internacionales</t>
        </is>
      </c>
      <c r="D1747" t="inlineStr">
        <is>
          <t>F26</t>
        </is>
      </c>
      <c r="E1747" t="inlineStr">
        <is>
          <t>TRANSACCIONAL</t>
        </is>
      </c>
      <c r="F1747" t="inlineStr">
        <is>
          <t>TONGA</t>
        </is>
      </c>
      <c r="G1747" t="inlineStr">
        <is>
          <t>TO</t>
        </is>
      </c>
      <c r="H1747" t="n">
        <v>3</v>
      </c>
      <c r="I1747" t="n">
        <v>3</v>
      </c>
      <c r="J1747" t="n">
        <v>6</v>
      </c>
      <c r="K1747" t="n">
        <v>18</v>
      </c>
      <c r="L1747" t="n">
        <v>18</v>
      </c>
      <c r="M1747" t="n">
        <v>18</v>
      </c>
      <c r="N1747" t="n">
        <v>18</v>
      </c>
      <c r="O1747" t="n">
        <v>30</v>
      </c>
      <c r="P1747" t="n">
        <v>6</v>
      </c>
      <c r="R1747" s="9" t="n">
        <v>0.06</v>
      </c>
      <c r="S1747" s="10" t="inlineStr">
        <is>
          <t>Absorbido en FF8 (catálogo país se reutiliza)</t>
        </is>
      </c>
      <c r="T1747" s="11" t="n"/>
      <c r="U1747" s="11" t="inlineStr">
        <is>
          <t>DEL BANCO (se hereda)</t>
        </is>
      </c>
      <c r="V1747" s="11" t="n"/>
      <c r="W1747" s="12" t="n"/>
      <c r="X1747" s="12" t="n"/>
    </row>
    <row r="1748" ht="15" customHeight="1">
      <c r="C1748" t="inlineStr">
        <is>
          <t>Envío o recepción de transferencias internacionales</t>
        </is>
      </c>
      <c r="D1748" t="inlineStr">
        <is>
          <t>F26</t>
        </is>
      </c>
      <c r="E1748" t="inlineStr">
        <is>
          <t>TRANSACCIONAL</t>
        </is>
      </c>
      <c r="F1748" t="inlineStr">
        <is>
          <t>TIMOR</t>
        </is>
      </c>
      <c r="G1748" t="inlineStr">
        <is>
          <t>TP</t>
        </is>
      </c>
      <c r="H1748" t="n">
        <v>3</v>
      </c>
      <c r="I1748" t="n">
        <v>3</v>
      </c>
      <c r="J1748" t="n">
        <v>6</v>
      </c>
      <c r="K1748" t="n">
        <v>18</v>
      </c>
      <c r="L1748" t="n">
        <v>18</v>
      </c>
      <c r="M1748" t="n">
        <v>18</v>
      </c>
      <c r="N1748" t="n">
        <v>18</v>
      </c>
      <c r="O1748" t="n">
        <v>30</v>
      </c>
      <c r="P1748" t="n">
        <v>6</v>
      </c>
      <c r="R1748" s="9" t="n">
        <v>0.06</v>
      </c>
      <c r="S1748" s="10" t="inlineStr">
        <is>
          <t>Absorbido en FF8 (catálogo país se reutiliza)</t>
        </is>
      </c>
      <c r="T1748" s="11" t="n"/>
      <c r="U1748" s="11" t="inlineStr">
        <is>
          <t>DEL BANCO (se hereda)</t>
        </is>
      </c>
      <c r="V1748" s="11" t="n"/>
      <c r="W1748" s="12" t="n"/>
      <c r="X1748" s="12" t="n"/>
    </row>
    <row r="1749" ht="15" customHeight="1">
      <c r="C1749" t="inlineStr">
        <is>
          <t>Envío o recepción de transferencias internacionales</t>
        </is>
      </c>
      <c r="D1749" t="inlineStr">
        <is>
          <t>F26</t>
        </is>
      </c>
      <c r="E1749" t="inlineStr">
        <is>
          <t>TRANSACCIONAL</t>
        </is>
      </c>
      <c r="F1749" t="inlineStr">
        <is>
          <t>TURQUIA</t>
        </is>
      </c>
      <c r="G1749" t="inlineStr">
        <is>
          <t>TR</t>
        </is>
      </c>
      <c r="H1749" t="n">
        <v>3</v>
      </c>
      <c r="I1749" t="n">
        <v>3</v>
      </c>
      <c r="J1749" t="n">
        <v>6</v>
      </c>
      <c r="K1749" t="n">
        <v>18</v>
      </c>
      <c r="L1749" t="n">
        <v>18</v>
      </c>
      <c r="M1749" t="n">
        <v>18</v>
      </c>
      <c r="N1749" t="n">
        <v>18</v>
      </c>
      <c r="O1749" t="n">
        <v>30</v>
      </c>
      <c r="P1749" t="n">
        <v>6</v>
      </c>
      <c r="R1749" s="9" t="n">
        <v>0.06</v>
      </c>
      <c r="S1749" s="10" t="inlineStr">
        <is>
          <t>Absorbido en FF8 (catálogo país se reutiliza)</t>
        </is>
      </c>
      <c r="T1749" s="11" t="n"/>
      <c r="U1749" s="11" t="inlineStr">
        <is>
          <t>DEL BANCO (se hereda)</t>
        </is>
      </c>
      <c r="V1749" s="11" t="n"/>
      <c r="W1749" s="12" t="n"/>
      <c r="X1749" s="12" t="n"/>
    </row>
    <row r="1750" ht="15" customHeight="1">
      <c r="C1750" t="inlineStr">
        <is>
          <t>Envío o recepción de transferencias internacionales</t>
        </is>
      </c>
      <c r="D1750" t="inlineStr">
        <is>
          <t>F26</t>
        </is>
      </c>
      <c r="E1750" t="inlineStr">
        <is>
          <t>TRANSACCIONAL</t>
        </is>
      </c>
      <c r="F1750" t="inlineStr">
        <is>
          <t>TRIESTE ITALIA</t>
        </is>
      </c>
      <c r="G1750" t="inlineStr">
        <is>
          <t>TS</t>
        </is>
      </c>
      <c r="H1750" t="n">
        <v>1</v>
      </c>
      <c r="I1750" t="n">
        <v>1</v>
      </c>
      <c r="J1750" t="n">
        <v>6</v>
      </c>
      <c r="K1750" t="n">
        <v>6</v>
      </c>
      <c r="L1750" t="n">
        <v>6</v>
      </c>
      <c r="M1750" t="n">
        <v>6</v>
      </c>
      <c r="N1750" t="n">
        <v>6</v>
      </c>
      <c r="O1750" t="n">
        <v>30</v>
      </c>
      <c r="P1750" t="n">
        <v>6</v>
      </c>
      <c r="R1750" s="9" t="n">
        <v>0.06</v>
      </c>
      <c r="S1750" s="10" t="inlineStr">
        <is>
          <t>Absorbido en FF8 (catálogo país se reutiliza)</t>
        </is>
      </c>
      <c r="T1750" s="11" t="n"/>
      <c r="U1750" s="11" t="inlineStr">
        <is>
          <t>DEL BANCO (se hereda)</t>
        </is>
      </c>
      <c r="V1750" s="11" t="n"/>
      <c r="W1750" s="12" t="n"/>
      <c r="X1750" s="12" t="n"/>
    </row>
    <row r="1751" ht="15" customHeight="1">
      <c r="C1751" t="inlineStr">
        <is>
          <t>Envío o recepción de transferencias internacionales</t>
        </is>
      </c>
      <c r="D1751" t="inlineStr">
        <is>
          <t>F26</t>
        </is>
      </c>
      <c r="E1751" t="inlineStr">
        <is>
          <t>TRANSACCIONAL</t>
        </is>
      </c>
      <c r="F1751" t="inlineStr">
        <is>
          <t>TRINIDAD TOBAGO</t>
        </is>
      </c>
      <c r="G1751" t="inlineStr">
        <is>
          <t>TT</t>
        </is>
      </c>
      <c r="H1751" t="n">
        <v>3</v>
      </c>
      <c r="I1751" t="n">
        <v>3</v>
      </c>
      <c r="J1751" t="n">
        <v>6</v>
      </c>
      <c r="K1751" t="n">
        <v>18</v>
      </c>
      <c r="L1751" t="n">
        <v>18</v>
      </c>
      <c r="M1751" t="n">
        <v>18</v>
      </c>
      <c r="N1751" t="n">
        <v>18</v>
      </c>
      <c r="O1751" t="n">
        <v>30</v>
      </c>
      <c r="P1751" t="n">
        <v>6</v>
      </c>
      <c r="R1751" s="9" t="n">
        <v>0.06</v>
      </c>
      <c r="S1751" s="10" t="inlineStr">
        <is>
          <t>Absorbido en FF8 (catálogo país se reutiliza)</t>
        </is>
      </c>
      <c r="T1751" s="11" t="n"/>
      <c r="U1751" s="11" t="inlineStr">
        <is>
          <t>DEL BANCO (se hereda)</t>
        </is>
      </c>
      <c r="V1751" s="11" t="n"/>
      <c r="W1751" s="12" t="n"/>
      <c r="X1751" s="12" t="n"/>
    </row>
    <row r="1752" ht="15" customHeight="1">
      <c r="C1752" t="inlineStr">
        <is>
          <t>Envío o recepción de transferencias internacionales</t>
        </is>
      </c>
      <c r="D1752" t="inlineStr">
        <is>
          <t>F26</t>
        </is>
      </c>
      <c r="E1752" t="inlineStr">
        <is>
          <t>TRANSACCIONAL</t>
        </is>
      </c>
      <c r="F1752" t="inlineStr">
        <is>
          <t>TUVALU</t>
        </is>
      </c>
      <c r="G1752" t="inlineStr">
        <is>
          <t>TV</t>
        </is>
      </c>
      <c r="H1752" t="n">
        <v>1</v>
      </c>
      <c r="I1752" t="n">
        <v>1</v>
      </c>
      <c r="J1752" t="n">
        <v>6</v>
      </c>
      <c r="K1752" t="n">
        <v>6</v>
      </c>
      <c r="L1752" t="n">
        <v>6</v>
      </c>
      <c r="M1752" t="n">
        <v>6</v>
      </c>
      <c r="N1752" t="n">
        <v>6</v>
      </c>
      <c r="O1752" t="n">
        <v>30</v>
      </c>
      <c r="P1752" t="n">
        <v>6</v>
      </c>
      <c r="R1752" s="9" t="n">
        <v>0.06</v>
      </c>
      <c r="S1752" s="10" t="inlineStr">
        <is>
          <t>Absorbido en FF8 (catálogo país se reutiliza)</t>
        </is>
      </c>
      <c r="T1752" s="11" t="n"/>
      <c r="U1752" s="11" t="inlineStr">
        <is>
          <t>DEL BANCO (se hereda)</t>
        </is>
      </c>
      <c r="V1752" s="11" t="n"/>
      <c r="W1752" s="12" t="n"/>
      <c r="X1752" s="12" t="n"/>
    </row>
    <row r="1753" ht="15" customHeight="1">
      <c r="C1753" t="inlineStr">
        <is>
          <t>Envío o recepción de transferencias internacionales</t>
        </is>
      </c>
      <c r="D1753" t="inlineStr">
        <is>
          <t>F26</t>
        </is>
      </c>
      <c r="E1753" t="inlineStr">
        <is>
          <t>TRANSACCIONAL</t>
        </is>
      </c>
      <c r="F1753" t="inlineStr">
        <is>
          <t>TAIWAN</t>
        </is>
      </c>
      <c r="G1753" t="inlineStr">
        <is>
          <t>TW</t>
        </is>
      </c>
      <c r="H1753" t="n">
        <v>1</v>
      </c>
      <c r="I1753" t="n">
        <v>1</v>
      </c>
      <c r="J1753" t="n">
        <v>6</v>
      </c>
      <c r="K1753" t="n">
        <v>6</v>
      </c>
      <c r="L1753" t="n">
        <v>6</v>
      </c>
      <c r="M1753" t="n">
        <v>6</v>
      </c>
      <c r="N1753" t="n">
        <v>6</v>
      </c>
      <c r="O1753" t="n">
        <v>30</v>
      </c>
      <c r="P1753" t="n">
        <v>6</v>
      </c>
      <c r="R1753" s="9" t="n">
        <v>0.06</v>
      </c>
      <c r="S1753" s="10" t="inlineStr">
        <is>
          <t>Absorbido en FF8 (catálogo país se reutiliza)</t>
        </is>
      </c>
      <c r="T1753" s="11" t="n"/>
      <c r="U1753" s="11" t="inlineStr">
        <is>
          <t>DEL BANCO (se hereda)</t>
        </is>
      </c>
      <c r="V1753" s="11" t="n"/>
      <c r="W1753" s="12" t="n"/>
      <c r="X1753" s="12" t="n"/>
    </row>
    <row r="1754" ht="15" customHeight="1">
      <c r="C1754" t="inlineStr">
        <is>
          <t>Envío o recepción de transferencias internacionales</t>
        </is>
      </c>
      <c r="D1754" t="inlineStr">
        <is>
          <t>F26</t>
        </is>
      </c>
      <c r="E1754" t="inlineStr">
        <is>
          <t>TRANSACCIONAL</t>
        </is>
      </c>
      <c r="F1754" t="inlineStr">
        <is>
          <t>TANZANIA</t>
        </is>
      </c>
      <c r="G1754" t="inlineStr">
        <is>
          <t>TZ</t>
        </is>
      </c>
      <c r="H1754" t="n">
        <v>3</v>
      </c>
      <c r="I1754" t="n">
        <v>3</v>
      </c>
      <c r="J1754" t="n">
        <v>6</v>
      </c>
      <c r="K1754" t="n">
        <v>18</v>
      </c>
      <c r="L1754" t="n">
        <v>18</v>
      </c>
      <c r="M1754" t="n">
        <v>18</v>
      </c>
      <c r="N1754" t="n">
        <v>18</v>
      </c>
      <c r="O1754" t="n">
        <v>30</v>
      </c>
      <c r="P1754" t="n">
        <v>6</v>
      </c>
      <c r="R1754" s="9" t="n">
        <v>0.06</v>
      </c>
      <c r="S1754" s="10" t="inlineStr">
        <is>
          <t>Absorbido en FF8 (catálogo país se reutiliza)</t>
        </is>
      </c>
      <c r="T1754" s="11" t="n"/>
      <c r="U1754" s="11" t="inlineStr">
        <is>
          <t>DEL BANCO (se hereda)</t>
        </is>
      </c>
      <c r="V1754" s="11" t="n"/>
      <c r="W1754" s="12" t="n"/>
      <c r="X1754" s="12" t="n"/>
    </row>
    <row r="1755" ht="15" customHeight="1">
      <c r="C1755" t="inlineStr">
        <is>
          <t>Envío o recepción de transferencias internacionales</t>
        </is>
      </c>
      <c r="D1755" t="inlineStr">
        <is>
          <t>F26</t>
        </is>
      </c>
      <c r="E1755" t="inlineStr">
        <is>
          <t>TRANSACCIONAL</t>
        </is>
      </c>
      <c r="F1755" t="inlineStr">
        <is>
          <t>UCRANIA</t>
        </is>
      </c>
      <c r="G1755" t="inlineStr">
        <is>
          <t>UA</t>
        </is>
      </c>
      <c r="H1755" t="n">
        <v>2</v>
      </c>
      <c r="I1755" t="n">
        <v>2</v>
      </c>
      <c r="J1755" t="n">
        <v>6</v>
      </c>
      <c r="K1755" t="n">
        <v>12</v>
      </c>
      <c r="L1755" t="n">
        <v>12</v>
      </c>
      <c r="M1755" t="n">
        <v>12</v>
      </c>
      <c r="N1755" t="n">
        <v>12</v>
      </c>
      <c r="O1755" t="n">
        <v>30</v>
      </c>
      <c r="P1755" t="n">
        <v>6</v>
      </c>
      <c r="R1755" s="9" t="n">
        <v>0.06</v>
      </c>
      <c r="S1755" s="10" t="inlineStr">
        <is>
          <t>Absorbido en FF8 (catálogo país se reutiliza)</t>
        </is>
      </c>
      <c r="T1755" s="11" t="n"/>
      <c r="U1755" s="11" t="inlineStr">
        <is>
          <t>DEL BANCO (se hereda)</t>
        </is>
      </c>
      <c r="V1755" s="11" t="n"/>
      <c r="W1755" s="12" t="n"/>
      <c r="X1755" s="12" t="n"/>
    </row>
    <row r="1756" ht="15" customHeight="1">
      <c r="C1756" t="inlineStr">
        <is>
          <t>Envío o recepción de transferencias internacionales</t>
        </is>
      </c>
      <c r="D1756" t="inlineStr">
        <is>
          <t>F26</t>
        </is>
      </c>
      <c r="E1756" t="inlineStr">
        <is>
          <t>TRANSACCIONAL</t>
        </is>
      </c>
      <c r="F1756" t="inlineStr">
        <is>
          <t>UGANDA</t>
        </is>
      </c>
      <c r="G1756" t="inlineStr">
        <is>
          <t>UG</t>
        </is>
      </c>
      <c r="H1756" t="n">
        <v>3</v>
      </c>
      <c r="I1756" t="n">
        <v>3</v>
      </c>
      <c r="J1756" t="n">
        <v>6</v>
      </c>
      <c r="K1756" t="n">
        <v>18</v>
      </c>
      <c r="L1756" t="n">
        <v>18</v>
      </c>
      <c r="M1756" t="n">
        <v>18</v>
      </c>
      <c r="N1756" t="n">
        <v>18</v>
      </c>
      <c r="O1756" t="n">
        <v>30</v>
      </c>
      <c r="P1756" t="n">
        <v>6</v>
      </c>
      <c r="R1756" s="9" t="n">
        <v>0.06</v>
      </c>
      <c r="S1756" s="10" t="inlineStr">
        <is>
          <t>Absorbido en FF8 (catálogo país se reutiliza)</t>
        </is>
      </c>
      <c r="T1756" s="11" t="n"/>
      <c r="U1756" s="11" t="inlineStr">
        <is>
          <t>DEL BANCO (se hereda)</t>
        </is>
      </c>
      <c r="V1756" s="11" t="n"/>
      <c r="W1756" s="12" t="n"/>
      <c r="X1756" s="12" t="n"/>
    </row>
    <row r="1757" ht="15" customHeight="1">
      <c r="C1757" t="inlineStr">
        <is>
          <t>Envío o recepción de transferencias internacionales</t>
        </is>
      </c>
      <c r="D1757" t="inlineStr">
        <is>
          <t>F26</t>
        </is>
      </c>
      <c r="E1757" t="inlineStr">
        <is>
          <t>TRANSACCIONAL</t>
        </is>
      </c>
      <c r="F1757" t="inlineStr">
        <is>
          <t>REINO UNIDO</t>
        </is>
      </c>
      <c r="G1757" t="inlineStr">
        <is>
          <t>UK</t>
        </is>
      </c>
      <c r="H1757" t="n">
        <v>1</v>
      </c>
      <c r="I1757" t="n">
        <v>1</v>
      </c>
      <c r="J1757" t="n">
        <v>6</v>
      </c>
      <c r="K1757" t="n">
        <v>6</v>
      </c>
      <c r="L1757" t="n">
        <v>6</v>
      </c>
      <c r="M1757" t="n">
        <v>6</v>
      </c>
      <c r="N1757" t="n">
        <v>6</v>
      </c>
      <c r="O1757" t="n">
        <v>30</v>
      </c>
      <c r="P1757" t="n">
        <v>6</v>
      </c>
      <c r="R1757" s="9" t="n">
        <v>0.06</v>
      </c>
      <c r="S1757" s="10" t="inlineStr">
        <is>
          <t>Absorbido en FF8 (catálogo país se reutiliza)</t>
        </is>
      </c>
      <c r="T1757" s="11" t="n"/>
      <c r="U1757" s="11" t="inlineStr">
        <is>
          <t>DEL BANCO (se hereda)</t>
        </is>
      </c>
      <c r="V1757" s="11" t="n"/>
      <c r="W1757" s="12" t="n"/>
      <c r="X1757" s="12" t="n"/>
    </row>
    <row r="1758" ht="15" customHeight="1">
      <c r="C1758" t="inlineStr">
        <is>
          <t>Envío o recepción de transferencias internacionales</t>
        </is>
      </c>
      <c r="D1758" t="inlineStr">
        <is>
          <t>F26</t>
        </is>
      </c>
      <c r="E1758" t="inlineStr">
        <is>
          <t>TRANSACCIONAL</t>
        </is>
      </c>
      <c r="F1758" t="inlineStr">
        <is>
          <t>ISLAS REMOT. US</t>
        </is>
      </c>
      <c r="G1758" t="inlineStr">
        <is>
          <t>UM</t>
        </is>
      </c>
      <c r="H1758" t="n">
        <v>1</v>
      </c>
      <c r="I1758" t="n">
        <v>1</v>
      </c>
      <c r="J1758" t="n">
        <v>6</v>
      </c>
      <c r="K1758" t="n">
        <v>6</v>
      </c>
      <c r="L1758" t="n">
        <v>6</v>
      </c>
      <c r="M1758" t="n">
        <v>6</v>
      </c>
      <c r="N1758" t="n">
        <v>6</v>
      </c>
      <c r="O1758" t="n">
        <v>30</v>
      </c>
      <c r="P1758" t="n">
        <v>6</v>
      </c>
      <c r="R1758" s="9" t="n">
        <v>0.06</v>
      </c>
      <c r="S1758" s="10" t="inlineStr">
        <is>
          <t>Absorbido en FF8 (catálogo país se reutiliza)</t>
        </is>
      </c>
      <c r="T1758" s="11" t="n"/>
      <c r="U1758" s="11" t="inlineStr">
        <is>
          <t>DEL BANCO (se hereda)</t>
        </is>
      </c>
      <c r="V1758" s="11" t="n"/>
      <c r="W1758" s="12" t="n"/>
      <c r="X1758" s="12" t="n"/>
    </row>
    <row r="1759" ht="15" customHeight="1">
      <c r="C1759" t="inlineStr">
        <is>
          <t>Envío o recepción de transferencias internacionales</t>
        </is>
      </c>
      <c r="D1759" t="inlineStr">
        <is>
          <t>F26</t>
        </is>
      </c>
      <c r="E1759" t="inlineStr">
        <is>
          <t>TRANSACCIONAL</t>
        </is>
      </c>
      <c r="F1759" t="inlineStr">
        <is>
          <t>ESTADOS UNIDOS DE AM</t>
        </is>
      </c>
      <c r="G1759" t="inlineStr">
        <is>
          <t>US</t>
        </is>
      </c>
      <c r="H1759" t="n">
        <v>1</v>
      </c>
      <c r="I1759" t="n">
        <v>1</v>
      </c>
      <c r="J1759" t="n">
        <v>6</v>
      </c>
      <c r="K1759" t="n">
        <v>6</v>
      </c>
      <c r="L1759" t="n">
        <v>6</v>
      </c>
      <c r="M1759" t="n">
        <v>6</v>
      </c>
      <c r="N1759" t="n">
        <v>6</v>
      </c>
      <c r="O1759" t="n">
        <v>30</v>
      </c>
      <c r="P1759" t="n">
        <v>6</v>
      </c>
      <c r="R1759" s="9" t="n">
        <v>0.06</v>
      </c>
      <c r="S1759" s="10" t="inlineStr">
        <is>
          <t>Absorbido en FF8 (catálogo país se reutiliza)</t>
        </is>
      </c>
      <c r="T1759" s="11" t="n"/>
      <c r="U1759" s="11" t="inlineStr">
        <is>
          <t>DEL BANCO (se hereda)</t>
        </is>
      </c>
      <c r="V1759" s="11" t="n"/>
      <c r="W1759" s="12" t="n"/>
      <c r="X1759" s="12" t="n"/>
    </row>
    <row r="1760" ht="15" customHeight="1">
      <c r="C1760" t="inlineStr">
        <is>
          <t>Envío o recepción de transferencias internacionales</t>
        </is>
      </c>
      <c r="D1760" t="inlineStr">
        <is>
          <t>F26</t>
        </is>
      </c>
      <c r="E1760" t="inlineStr">
        <is>
          <t>TRANSACCIONAL</t>
        </is>
      </c>
      <c r="F1760" t="inlineStr">
        <is>
          <t>URUGUAY</t>
        </is>
      </c>
      <c r="G1760" t="inlineStr">
        <is>
          <t>UY</t>
        </is>
      </c>
      <c r="H1760" t="n">
        <v>1</v>
      </c>
      <c r="I1760" t="n">
        <v>1</v>
      </c>
      <c r="J1760" t="n">
        <v>6</v>
      </c>
      <c r="K1760" t="n">
        <v>6</v>
      </c>
      <c r="L1760" t="n">
        <v>6</v>
      </c>
      <c r="M1760" t="n">
        <v>6</v>
      </c>
      <c r="N1760" t="n">
        <v>6</v>
      </c>
      <c r="O1760" t="n">
        <v>30</v>
      </c>
      <c r="P1760" t="n">
        <v>6</v>
      </c>
      <c r="R1760" s="9" t="n">
        <v>0.06</v>
      </c>
      <c r="S1760" s="10" t="inlineStr">
        <is>
          <t>Absorbido en FF8 (catálogo país se reutiliza)</t>
        </is>
      </c>
      <c r="T1760" s="11" t="n"/>
      <c r="U1760" s="11" t="inlineStr">
        <is>
          <t>DEL BANCO (se hereda)</t>
        </is>
      </c>
      <c r="V1760" s="11" t="n"/>
      <c r="W1760" s="12" t="n"/>
      <c r="X1760" s="12" t="n"/>
    </row>
    <row r="1761" ht="15" customHeight="1">
      <c r="C1761" t="inlineStr">
        <is>
          <t>Envío o recepción de transferencias internacionales</t>
        </is>
      </c>
      <c r="D1761" t="inlineStr">
        <is>
          <t>F26</t>
        </is>
      </c>
      <c r="E1761" t="inlineStr">
        <is>
          <t>TRANSACCIONAL</t>
        </is>
      </c>
      <c r="F1761" t="inlineStr">
        <is>
          <t>UZBEKISTAN</t>
        </is>
      </c>
      <c r="G1761" t="inlineStr">
        <is>
          <t>UZ</t>
        </is>
      </c>
      <c r="H1761" t="n">
        <v>2</v>
      </c>
      <c r="I1761" t="n">
        <v>2</v>
      </c>
      <c r="J1761" t="n">
        <v>6</v>
      </c>
      <c r="K1761" t="n">
        <v>12</v>
      </c>
      <c r="L1761" t="n">
        <v>12</v>
      </c>
      <c r="M1761" t="n">
        <v>12</v>
      </c>
      <c r="N1761" t="n">
        <v>12</v>
      </c>
      <c r="O1761" t="n">
        <v>30</v>
      </c>
      <c r="P1761" t="n">
        <v>6</v>
      </c>
      <c r="R1761" s="9" t="n">
        <v>0.06</v>
      </c>
      <c r="S1761" s="10" t="inlineStr">
        <is>
          <t>Absorbido en FF8 (catálogo país se reutiliza)</t>
        </is>
      </c>
      <c r="T1761" s="11" t="n"/>
      <c r="U1761" s="11" t="inlineStr">
        <is>
          <t>DEL BANCO (se hereda)</t>
        </is>
      </c>
      <c r="V1761" s="11" t="n"/>
      <c r="W1761" s="12" t="n"/>
      <c r="X1761" s="12" t="n"/>
    </row>
    <row r="1762" ht="15" customHeight="1">
      <c r="C1762" t="inlineStr">
        <is>
          <t>Envío o recepción de transferencias internacionales</t>
        </is>
      </c>
      <c r="D1762" t="inlineStr">
        <is>
          <t>F26</t>
        </is>
      </c>
      <c r="E1762" t="inlineStr">
        <is>
          <t>TRANSACCIONAL</t>
        </is>
      </c>
      <c r="F1762" t="inlineStr">
        <is>
          <t>ISLA DE MARGARITA</t>
        </is>
      </c>
      <c r="G1762" t="inlineStr">
        <is>
          <t>VA</t>
        </is>
      </c>
      <c r="H1762" t="n">
        <v>1</v>
      </c>
      <c r="I1762" t="n">
        <v>1</v>
      </c>
      <c r="J1762" t="n">
        <v>6</v>
      </c>
      <c r="K1762" t="n">
        <v>6</v>
      </c>
      <c r="L1762" t="n">
        <v>6</v>
      </c>
      <c r="M1762" t="n">
        <v>6</v>
      </c>
      <c r="N1762" t="n">
        <v>6</v>
      </c>
      <c r="O1762" t="n">
        <v>30</v>
      </c>
      <c r="P1762" t="n">
        <v>6</v>
      </c>
      <c r="R1762" s="9" t="n">
        <v>0.06</v>
      </c>
      <c r="S1762" s="10" t="inlineStr">
        <is>
          <t>Absorbido en FF8 (catálogo país se reutiliza)</t>
        </is>
      </c>
      <c r="T1762" s="11" t="n"/>
      <c r="U1762" s="11" t="inlineStr">
        <is>
          <t>DEL BANCO (se hereda)</t>
        </is>
      </c>
      <c r="V1762" s="11" t="n"/>
      <c r="W1762" s="12" t="n"/>
      <c r="X1762" s="12" t="n"/>
    </row>
    <row r="1763" ht="15" customHeight="1">
      <c r="C1763" t="inlineStr">
        <is>
          <t>Envío o recepción de transferencias internacionales</t>
        </is>
      </c>
      <c r="D1763" t="inlineStr">
        <is>
          <t>F26</t>
        </is>
      </c>
      <c r="E1763" t="inlineStr">
        <is>
          <t>TRANSACCIONAL</t>
        </is>
      </c>
      <c r="F1763" t="inlineStr">
        <is>
          <t>SAN VINCENTE Y LAS G</t>
        </is>
      </c>
      <c r="G1763" t="inlineStr">
        <is>
          <t>VC</t>
        </is>
      </c>
      <c r="H1763" t="n">
        <v>3</v>
      </c>
      <c r="I1763" t="n">
        <v>3</v>
      </c>
      <c r="J1763" t="n">
        <v>6</v>
      </c>
      <c r="K1763" t="n">
        <v>18</v>
      </c>
      <c r="L1763" t="n">
        <v>18</v>
      </c>
      <c r="M1763" t="n">
        <v>18</v>
      </c>
      <c r="N1763" t="n">
        <v>18</v>
      </c>
      <c r="O1763" t="n">
        <v>30</v>
      </c>
      <c r="P1763" t="n">
        <v>6</v>
      </c>
      <c r="R1763" s="9" t="n">
        <v>0.06</v>
      </c>
      <c r="S1763" s="10" t="inlineStr">
        <is>
          <t>Absorbido en FF8 (catálogo país se reutiliza)</t>
        </is>
      </c>
      <c r="T1763" s="11" t="n"/>
      <c r="U1763" s="11" t="inlineStr">
        <is>
          <t>DEL BANCO (se hereda)</t>
        </is>
      </c>
      <c r="V1763" s="11" t="n"/>
      <c r="W1763" s="12" t="n"/>
      <c r="X1763" s="12" t="n"/>
    </row>
    <row r="1764" ht="15" customHeight="1">
      <c r="C1764" t="inlineStr">
        <is>
          <t>Envío o recepción de transferencias internacionales</t>
        </is>
      </c>
      <c r="D1764" t="inlineStr">
        <is>
          <t>F26</t>
        </is>
      </c>
      <c r="E1764" t="inlineStr">
        <is>
          <t>TRANSACCIONAL</t>
        </is>
      </c>
      <c r="F1764" t="inlineStr">
        <is>
          <t>VENEZUELA</t>
        </is>
      </c>
      <c r="G1764" t="inlineStr">
        <is>
          <t>VE</t>
        </is>
      </c>
      <c r="H1764" t="n">
        <v>4</v>
      </c>
      <c r="I1764" t="n">
        <v>4</v>
      </c>
      <c r="J1764" t="n">
        <v>6</v>
      </c>
      <c r="K1764" t="n">
        <v>24</v>
      </c>
      <c r="L1764" t="n">
        <v>24</v>
      </c>
      <c r="M1764" t="n">
        <v>24</v>
      </c>
      <c r="N1764" t="n">
        <v>24</v>
      </c>
      <c r="O1764" t="n">
        <v>30</v>
      </c>
      <c r="P1764" t="n">
        <v>6</v>
      </c>
      <c r="Q1764" t="inlineStr">
        <is>
          <t>DETERMINANTE</t>
        </is>
      </c>
      <c r="R1764" s="9" t="n">
        <v>0.06</v>
      </c>
      <c r="S1764" s="10" t="inlineStr">
        <is>
          <t>Absorbido en FF8 (catálogo país se reutiliza)</t>
        </is>
      </c>
      <c r="T1764" s="11" t="n"/>
      <c r="U1764" s="11" t="inlineStr">
        <is>
          <t>DEL BANCO (se hereda)</t>
        </is>
      </c>
      <c r="V1764" s="11" t="n"/>
      <c r="W1764" s="12" t="n"/>
      <c r="X1764" s="12" t="n"/>
    </row>
    <row r="1765" ht="15" customHeight="1">
      <c r="C1765" t="inlineStr">
        <is>
          <t>Envío o recepción de transferencias internacionales</t>
        </is>
      </c>
      <c r="D1765" t="inlineStr">
        <is>
          <t>F26</t>
        </is>
      </c>
      <c r="E1765" t="inlineStr">
        <is>
          <t>TRANSACCIONAL</t>
        </is>
      </c>
      <c r="F1765" t="inlineStr">
        <is>
          <t>ISLAS VIRGENES DE EU</t>
        </is>
      </c>
      <c r="G1765" t="inlineStr">
        <is>
          <t>VG</t>
        </is>
      </c>
      <c r="H1765" t="n">
        <v>3</v>
      </c>
      <c r="I1765" t="n">
        <v>3</v>
      </c>
      <c r="J1765" t="n">
        <v>6</v>
      </c>
      <c r="K1765" t="n">
        <v>18</v>
      </c>
      <c r="L1765" t="n">
        <v>18</v>
      </c>
      <c r="M1765" t="n">
        <v>18</v>
      </c>
      <c r="N1765" t="n">
        <v>18</v>
      </c>
      <c r="O1765" t="n">
        <v>30</v>
      </c>
      <c r="P1765" t="n">
        <v>6</v>
      </c>
      <c r="R1765" s="9" t="n">
        <v>0.06</v>
      </c>
      <c r="S1765" s="10" t="inlineStr">
        <is>
          <t>Absorbido en FF8 (catálogo país se reutiliza)</t>
        </is>
      </c>
      <c r="T1765" s="11" t="n"/>
      <c r="U1765" s="11" t="inlineStr">
        <is>
          <t>DEL BANCO (se hereda)</t>
        </is>
      </c>
      <c r="V1765" s="11" t="n"/>
      <c r="W1765" s="12" t="n"/>
      <c r="X1765" s="12" t="n"/>
    </row>
    <row r="1766" ht="15" customHeight="1">
      <c r="C1766" t="inlineStr">
        <is>
          <t>Envío o recepción de transferencias internacionales</t>
        </is>
      </c>
      <c r="D1766" t="inlineStr">
        <is>
          <t>F26</t>
        </is>
      </c>
      <c r="E1766" t="inlineStr">
        <is>
          <t>TRANSACCIONAL</t>
        </is>
      </c>
      <c r="F1766" t="inlineStr">
        <is>
          <t>VIETNAM</t>
        </is>
      </c>
      <c r="G1766" t="inlineStr">
        <is>
          <t>VI</t>
        </is>
      </c>
      <c r="H1766" t="n">
        <v>4</v>
      </c>
      <c r="I1766" t="n">
        <v>4</v>
      </c>
      <c r="J1766" t="n">
        <v>6</v>
      </c>
      <c r="K1766" t="n">
        <v>24</v>
      </c>
      <c r="L1766" t="n">
        <v>24</v>
      </c>
      <c r="M1766" t="n">
        <v>24</v>
      </c>
      <c r="N1766" t="n">
        <v>24</v>
      </c>
      <c r="O1766" t="n">
        <v>30</v>
      </c>
      <c r="P1766" t="n">
        <v>6</v>
      </c>
      <c r="Q1766" t="inlineStr">
        <is>
          <t>DETERMINANTE</t>
        </is>
      </c>
      <c r="R1766" s="9" t="n">
        <v>0.06</v>
      </c>
      <c r="S1766" s="10" t="inlineStr">
        <is>
          <t>Absorbido en FF8 (catálogo país se reutiliza)</t>
        </is>
      </c>
      <c r="T1766" s="11" t="n"/>
      <c r="U1766" s="11" t="inlineStr">
        <is>
          <t>DEL BANCO (se hereda)</t>
        </is>
      </c>
      <c r="V1766" s="11" t="n"/>
      <c r="W1766" s="12" t="n"/>
      <c r="X1766" s="12" t="n"/>
    </row>
    <row r="1767" ht="15" customHeight="1">
      <c r="C1767" t="inlineStr">
        <is>
          <t>Envío o recepción de transferencias internacionales</t>
        </is>
      </c>
      <c r="D1767" t="inlineStr">
        <is>
          <t>F26</t>
        </is>
      </c>
      <c r="E1767" t="inlineStr">
        <is>
          <t>TRANSACCIONAL</t>
        </is>
      </c>
      <c r="F1767" t="inlineStr">
        <is>
          <t>VANUATU</t>
        </is>
      </c>
      <c r="G1767" t="inlineStr">
        <is>
          <t>VN</t>
        </is>
      </c>
      <c r="H1767" t="n">
        <v>2</v>
      </c>
      <c r="I1767" t="n">
        <v>2</v>
      </c>
      <c r="J1767" t="n">
        <v>6</v>
      </c>
      <c r="K1767" t="n">
        <v>12</v>
      </c>
      <c r="L1767" t="n">
        <v>12</v>
      </c>
      <c r="M1767" t="n">
        <v>12</v>
      </c>
      <c r="N1767" t="n">
        <v>12</v>
      </c>
      <c r="O1767" t="n">
        <v>30</v>
      </c>
      <c r="P1767" t="n">
        <v>6</v>
      </c>
      <c r="R1767" s="9" t="n">
        <v>0.06</v>
      </c>
      <c r="S1767" s="10" t="inlineStr">
        <is>
          <t>Absorbido en FF8 (catálogo país se reutiliza)</t>
        </is>
      </c>
      <c r="T1767" s="11" t="n"/>
      <c r="U1767" s="11" t="inlineStr">
        <is>
          <t>DEL BANCO (se hereda)</t>
        </is>
      </c>
      <c r="V1767" s="11" t="n"/>
      <c r="W1767" s="12" t="n"/>
      <c r="X1767" s="12" t="n"/>
    </row>
    <row r="1768" ht="15" customHeight="1">
      <c r="C1768" t="inlineStr">
        <is>
          <t>Envío o recepción de transferencias internacionales</t>
        </is>
      </c>
      <c r="D1768" t="inlineStr">
        <is>
          <t>F26</t>
        </is>
      </c>
      <c r="E1768" t="inlineStr">
        <is>
          <t>TRANSACCIONAL</t>
        </is>
      </c>
      <c r="F1768" t="inlineStr">
        <is>
          <t>MADEIRA</t>
        </is>
      </c>
      <c r="G1768" t="inlineStr">
        <is>
          <t>VU</t>
        </is>
      </c>
      <c r="H1768" t="n">
        <v>3</v>
      </c>
      <c r="I1768" t="n">
        <v>3</v>
      </c>
      <c r="J1768" t="n">
        <v>6</v>
      </c>
      <c r="K1768" t="n">
        <v>18</v>
      </c>
      <c r="L1768" t="n">
        <v>18</v>
      </c>
      <c r="M1768" t="n">
        <v>18</v>
      </c>
      <c r="N1768" t="n">
        <v>18</v>
      </c>
      <c r="O1768" t="n">
        <v>30</v>
      </c>
      <c r="P1768" t="n">
        <v>6</v>
      </c>
      <c r="R1768" s="9" t="n">
        <v>0.06</v>
      </c>
      <c r="S1768" s="10" t="inlineStr">
        <is>
          <t>Absorbido en FF8 (catálogo país se reutiliza)</t>
        </is>
      </c>
      <c r="T1768" s="11" t="n"/>
      <c r="U1768" s="11" t="inlineStr">
        <is>
          <t>DEL BANCO (se hereda)</t>
        </is>
      </c>
      <c r="V1768" s="11" t="n"/>
      <c r="W1768" s="12" t="n"/>
      <c r="X1768" s="12" t="n"/>
    </row>
    <row r="1769" ht="15" customHeight="1">
      <c r="C1769" t="inlineStr">
        <is>
          <t>Envío o recepción de transferencias internacionales</t>
        </is>
      </c>
      <c r="D1769" t="inlineStr">
        <is>
          <t>F26</t>
        </is>
      </c>
      <c r="E1769" t="inlineStr">
        <is>
          <t>TRANSACCIONAL</t>
        </is>
      </c>
      <c r="F1769" t="inlineStr">
        <is>
          <t>ISLA DE SAN PEDRO Y</t>
        </is>
      </c>
      <c r="G1769" t="inlineStr">
        <is>
          <t>WF</t>
        </is>
      </c>
      <c r="H1769" t="n">
        <v>1</v>
      </c>
      <c r="I1769" t="n">
        <v>1</v>
      </c>
      <c r="J1769" t="n">
        <v>6</v>
      </c>
      <c r="K1769" t="n">
        <v>6</v>
      </c>
      <c r="L1769" t="n">
        <v>6</v>
      </c>
      <c r="M1769" t="n">
        <v>6</v>
      </c>
      <c r="N1769" t="n">
        <v>6</v>
      </c>
      <c r="O1769" t="n">
        <v>30</v>
      </c>
      <c r="P1769" t="n">
        <v>6</v>
      </c>
      <c r="R1769" s="9" t="n">
        <v>0.06</v>
      </c>
      <c r="S1769" s="10" t="inlineStr">
        <is>
          <t>Absorbido en FF8 (catálogo país se reutiliza)</t>
        </is>
      </c>
      <c r="T1769" s="11" t="n"/>
      <c r="U1769" s="11" t="inlineStr">
        <is>
          <t>DEL BANCO (se hereda)</t>
        </is>
      </c>
      <c r="V1769" s="11" t="n"/>
      <c r="W1769" s="12" t="n"/>
      <c r="X1769" s="12" t="n"/>
    </row>
    <row r="1770" ht="15" customHeight="1">
      <c r="C1770" t="inlineStr">
        <is>
          <t>Envío o recepción de transferencias internacionales</t>
        </is>
      </c>
      <c r="D1770" t="inlineStr">
        <is>
          <t>F26</t>
        </is>
      </c>
      <c r="E1770" t="inlineStr">
        <is>
          <t>TRANSACCIONAL</t>
        </is>
      </c>
      <c r="F1770" t="inlineStr">
        <is>
          <t>SAMOA AMERICANA</t>
        </is>
      </c>
      <c r="G1770" t="inlineStr">
        <is>
          <t>WS</t>
        </is>
      </c>
      <c r="H1770" t="n">
        <v>1</v>
      </c>
      <c r="I1770" t="n">
        <v>1</v>
      </c>
      <c r="J1770" t="n">
        <v>6</v>
      </c>
      <c r="K1770" t="n">
        <v>6</v>
      </c>
      <c r="L1770" t="n">
        <v>6</v>
      </c>
      <c r="M1770" t="n">
        <v>6</v>
      </c>
      <c r="N1770" t="n">
        <v>6</v>
      </c>
      <c r="O1770" t="n">
        <v>30</v>
      </c>
      <c r="P1770" t="n">
        <v>6</v>
      </c>
      <c r="R1770" s="9" t="n">
        <v>0.06</v>
      </c>
      <c r="S1770" s="10" t="inlineStr">
        <is>
          <t>Absorbido en FF8 (catálogo país se reutiliza)</t>
        </is>
      </c>
      <c r="T1770" s="11" t="n"/>
      <c r="U1770" s="11" t="inlineStr">
        <is>
          <t>DEL BANCO (se hereda)</t>
        </is>
      </c>
      <c r="V1770" s="11" t="n"/>
      <c r="W1770" s="12" t="n"/>
      <c r="X1770" s="12" t="n"/>
    </row>
    <row r="1771" ht="15" customHeight="1">
      <c r="C1771" t="inlineStr">
        <is>
          <t>Envío o recepción de transferencias internacionales</t>
        </is>
      </c>
      <c r="D1771" t="inlineStr">
        <is>
          <t>F26</t>
        </is>
      </c>
      <c r="E1771" t="inlineStr">
        <is>
          <t>TRANSACCIONAL</t>
        </is>
      </c>
      <c r="F1771" t="inlineStr">
        <is>
          <t>ISLAS CANARIAS</t>
        </is>
      </c>
      <c r="G1771" t="inlineStr">
        <is>
          <t>XE</t>
        </is>
      </c>
      <c r="H1771" t="n">
        <v>1</v>
      </c>
      <c r="I1771" t="n">
        <v>1</v>
      </c>
      <c r="J1771" t="n">
        <v>6</v>
      </c>
      <c r="K1771" t="n">
        <v>6</v>
      </c>
      <c r="L1771" t="n">
        <v>6</v>
      </c>
      <c r="M1771" t="n">
        <v>6</v>
      </c>
      <c r="N1771" t="n">
        <v>6</v>
      </c>
      <c r="O1771" t="n">
        <v>30</v>
      </c>
      <c r="P1771" t="n">
        <v>6</v>
      </c>
      <c r="R1771" s="9" t="n">
        <v>0.06</v>
      </c>
      <c r="S1771" s="10" t="inlineStr">
        <is>
          <t>Absorbido en FF8 (catálogo país se reutiliza)</t>
        </is>
      </c>
      <c r="T1771" s="11" t="n"/>
      <c r="U1771" s="11" t="inlineStr">
        <is>
          <t>DEL BANCO (se hereda)</t>
        </is>
      </c>
      <c r="V1771" s="11" t="n"/>
      <c r="W1771" s="12" t="n"/>
      <c r="X1771" s="12" t="n"/>
    </row>
    <row r="1772" ht="15" customHeight="1">
      <c r="C1772" t="inlineStr">
        <is>
          <t>Envío o recepción de transferencias internacionales</t>
        </is>
      </c>
      <c r="D1772" t="inlineStr">
        <is>
          <t>F26</t>
        </is>
      </c>
      <c r="E1772" t="inlineStr">
        <is>
          <t>TRANSACCIONAL</t>
        </is>
      </c>
      <c r="F1772" t="inlineStr">
        <is>
          <t>ISLAS AZORES PORTUGA</t>
        </is>
      </c>
      <c r="G1772" t="inlineStr">
        <is>
          <t>XG</t>
        </is>
      </c>
      <c r="H1772" t="n">
        <v>1</v>
      </c>
      <c r="I1772" t="n">
        <v>1</v>
      </c>
      <c r="J1772" t="n">
        <v>6</v>
      </c>
      <c r="K1772" t="n">
        <v>6</v>
      </c>
      <c r="L1772" t="n">
        <v>6</v>
      </c>
      <c r="M1772" t="n">
        <v>6</v>
      </c>
      <c r="N1772" t="n">
        <v>6</v>
      </c>
      <c r="O1772" t="n">
        <v>30</v>
      </c>
      <c r="P1772" t="n">
        <v>6</v>
      </c>
      <c r="R1772" s="9" t="n">
        <v>0.06</v>
      </c>
      <c r="S1772" s="10" t="inlineStr">
        <is>
          <t>Absorbido en FF8 (catálogo país se reutiliza)</t>
        </is>
      </c>
      <c r="T1772" s="11" t="n"/>
      <c r="U1772" s="11" t="inlineStr">
        <is>
          <t>DEL BANCO (se hereda)</t>
        </is>
      </c>
      <c r="V1772" s="11" t="n"/>
      <c r="W1772" s="12" t="n"/>
      <c r="X1772" s="12" t="n"/>
    </row>
    <row r="1773" ht="15" customHeight="1">
      <c r="C1773" t="inlineStr">
        <is>
          <t>Envío o recepción de transferencias internacionales</t>
        </is>
      </c>
      <c r="D1773" t="inlineStr">
        <is>
          <t>F26</t>
        </is>
      </c>
      <c r="E1773" t="inlineStr">
        <is>
          <t>TRANSACCIONAL</t>
        </is>
      </c>
      <c r="F1773" t="inlineStr">
        <is>
          <t>LABUAN MALAYSIA</t>
        </is>
      </c>
      <c r="G1773" t="inlineStr">
        <is>
          <t>XS</t>
        </is>
      </c>
      <c r="H1773" t="n">
        <v>3</v>
      </c>
      <c r="I1773" t="n">
        <v>3</v>
      </c>
      <c r="J1773" t="n">
        <v>6</v>
      </c>
      <c r="K1773" t="n">
        <v>18</v>
      </c>
      <c r="L1773" t="n">
        <v>18</v>
      </c>
      <c r="M1773" t="n">
        <v>18</v>
      </c>
      <c r="N1773" t="n">
        <v>18</v>
      </c>
      <c r="O1773" t="n">
        <v>30</v>
      </c>
      <c r="P1773" t="n">
        <v>6</v>
      </c>
      <c r="R1773" s="9" t="n">
        <v>0.06</v>
      </c>
      <c r="S1773" s="10" t="inlineStr">
        <is>
          <t>Absorbido en FF8 (catálogo país se reutiliza)</t>
        </is>
      </c>
      <c r="T1773" s="11" t="n"/>
      <c r="U1773" s="11" t="inlineStr">
        <is>
          <t>DEL BANCO (se hereda)</t>
        </is>
      </c>
      <c r="V1773" s="11" t="n"/>
      <c r="W1773" s="12" t="n"/>
      <c r="X1773" s="12" t="n"/>
    </row>
    <row r="1774" ht="15" customHeight="1">
      <c r="C1774" t="inlineStr">
        <is>
          <t>Envío o recepción de transferencias internacionales</t>
        </is>
      </c>
      <c r="D1774" t="inlineStr">
        <is>
          <t>F26</t>
        </is>
      </c>
      <c r="E1774" t="inlineStr">
        <is>
          <t>TRANSACCIONAL</t>
        </is>
      </c>
      <c r="F1774" t="inlineStr">
        <is>
          <t>YEMEN</t>
        </is>
      </c>
      <c r="G1774" t="inlineStr">
        <is>
          <t>YE</t>
        </is>
      </c>
      <c r="H1774" t="n">
        <v>4</v>
      </c>
      <c r="I1774" t="n">
        <v>4</v>
      </c>
      <c r="J1774" t="n">
        <v>6</v>
      </c>
      <c r="K1774" t="n">
        <v>24</v>
      </c>
      <c r="L1774" t="n">
        <v>24</v>
      </c>
      <c r="M1774" t="n">
        <v>24</v>
      </c>
      <c r="N1774" t="n">
        <v>24</v>
      </c>
      <c r="O1774" t="n">
        <v>30</v>
      </c>
      <c r="P1774" t="n">
        <v>6</v>
      </c>
      <c r="Q1774" t="inlineStr">
        <is>
          <t>DETERMINANTE</t>
        </is>
      </c>
      <c r="R1774" s="9" t="n">
        <v>0.06</v>
      </c>
      <c r="S1774" s="10" t="inlineStr">
        <is>
          <t>Absorbido en FF8 (catálogo país se reutiliza)</t>
        </is>
      </c>
      <c r="T1774" s="11" t="n"/>
      <c r="U1774" s="11" t="inlineStr">
        <is>
          <t>DEL BANCO (se hereda)</t>
        </is>
      </c>
      <c r="V1774" s="11" t="n"/>
      <c r="W1774" s="12" t="n"/>
      <c r="X1774" s="12" t="n"/>
    </row>
    <row r="1775" ht="15" customHeight="1">
      <c r="C1775" t="inlineStr">
        <is>
          <t>Envío o recepción de transferencias internacionales</t>
        </is>
      </c>
      <c r="D1775" t="inlineStr">
        <is>
          <t>F26</t>
        </is>
      </c>
      <c r="E1775" t="inlineStr">
        <is>
          <t>TRANSACCIONAL</t>
        </is>
      </c>
      <c r="F1775" t="inlineStr">
        <is>
          <t>MAYOTTE</t>
        </is>
      </c>
      <c r="G1775" t="inlineStr">
        <is>
          <t>YT</t>
        </is>
      </c>
      <c r="H1775" t="n">
        <v>1</v>
      </c>
      <c r="I1775" t="n">
        <v>1</v>
      </c>
      <c r="J1775" t="n">
        <v>6</v>
      </c>
      <c r="K1775" t="n">
        <v>6</v>
      </c>
      <c r="L1775" t="n">
        <v>6</v>
      </c>
      <c r="M1775" t="n">
        <v>6</v>
      </c>
      <c r="N1775" t="n">
        <v>6</v>
      </c>
      <c r="O1775" t="n">
        <v>30</v>
      </c>
      <c r="P1775" t="n">
        <v>6</v>
      </c>
      <c r="R1775" s="9" t="n">
        <v>0.06</v>
      </c>
      <c r="S1775" s="10" t="inlineStr">
        <is>
          <t>Absorbido en FF8 (catálogo país se reutiliza)</t>
        </is>
      </c>
      <c r="T1775" s="11" t="n"/>
      <c r="U1775" s="11" t="inlineStr">
        <is>
          <t>DEL BANCO (se hereda)</t>
        </is>
      </c>
      <c r="V1775" s="11" t="n"/>
      <c r="W1775" s="12" t="n"/>
      <c r="X1775" s="12" t="n"/>
    </row>
    <row r="1776" ht="15" customHeight="1">
      <c r="C1776" t="inlineStr">
        <is>
          <t>Envío o recepción de transferencias internacionales</t>
        </is>
      </c>
      <c r="D1776" t="inlineStr">
        <is>
          <t>F26</t>
        </is>
      </c>
      <c r="E1776" t="inlineStr">
        <is>
          <t>TRANSACCIONAL</t>
        </is>
      </c>
      <c r="F1776" t="inlineStr">
        <is>
          <t>ISLA QESHM, IRAN</t>
        </is>
      </c>
      <c r="G1776" t="inlineStr">
        <is>
          <t>YU</t>
        </is>
      </c>
      <c r="H1776" t="n">
        <v>5</v>
      </c>
      <c r="I1776" t="n">
        <v>5</v>
      </c>
      <c r="J1776" t="n">
        <v>6</v>
      </c>
      <c r="K1776" t="n">
        <v>30</v>
      </c>
      <c r="L1776" t="n">
        <v>30</v>
      </c>
      <c r="M1776" t="n">
        <v>30</v>
      </c>
      <c r="N1776" t="n">
        <v>30</v>
      </c>
      <c r="O1776" t="n">
        <v>30</v>
      </c>
      <c r="P1776" t="n">
        <v>6</v>
      </c>
      <c r="Q1776" t="inlineStr">
        <is>
          <t>PROHIBITIVO</t>
        </is>
      </c>
      <c r="R1776" s="9" t="n">
        <v>0.06</v>
      </c>
      <c r="S1776" s="10" t="inlineStr">
        <is>
          <t>Absorbido en FF8 (catálogo país se reutiliza)</t>
        </is>
      </c>
      <c r="T1776" s="11" t="n"/>
      <c r="U1776" s="11" t="inlineStr">
        <is>
          <t>DEL BANCO (se hereda)</t>
        </is>
      </c>
      <c r="V1776" s="11" t="n"/>
      <c r="W1776" s="12" t="n"/>
      <c r="X1776" s="12" t="n"/>
    </row>
    <row r="1777" ht="15" customHeight="1">
      <c r="C1777" t="inlineStr">
        <is>
          <t>Envío o recepción de transferencias internacionales</t>
        </is>
      </c>
      <c r="D1777" t="inlineStr">
        <is>
          <t>F26</t>
        </is>
      </c>
      <c r="E1777" t="inlineStr">
        <is>
          <t>TRANSACCIONAL</t>
        </is>
      </c>
      <c r="F1777" t="inlineStr">
        <is>
          <t>SUDAFRICA</t>
        </is>
      </c>
      <c r="G1777" t="inlineStr">
        <is>
          <t>ZA</t>
        </is>
      </c>
      <c r="H1777" t="n">
        <v>3</v>
      </c>
      <c r="I1777" t="n">
        <v>3</v>
      </c>
      <c r="J1777" t="n">
        <v>6</v>
      </c>
      <c r="K1777" t="n">
        <v>18</v>
      </c>
      <c r="L1777" t="n">
        <v>18</v>
      </c>
      <c r="M1777" t="n">
        <v>18</v>
      </c>
      <c r="N1777" t="n">
        <v>18</v>
      </c>
      <c r="O1777" t="n">
        <v>30</v>
      </c>
      <c r="P1777" t="n">
        <v>6</v>
      </c>
      <c r="R1777" s="9" t="n">
        <v>0.06</v>
      </c>
      <c r="S1777" s="10" t="inlineStr">
        <is>
          <t>Absorbido en FF8 (catálogo país se reutiliza)</t>
        </is>
      </c>
      <c r="T1777" s="11" t="n"/>
      <c r="U1777" s="11" t="inlineStr">
        <is>
          <t>DEL BANCO (se hereda)</t>
        </is>
      </c>
      <c r="V1777" s="11" t="n"/>
      <c r="W1777" s="12" t="n"/>
      <c r="X1777" s="12" t="n"/>
    </row>
    <row r="1778" ht="15" customHeight="1">
      <c r="C1778" t="inlineStr">
        <is>
          <t>Envío o recepción de transferencias internacionales</t>
        </is>
      </c>
      <c r="D1778" t="inlineStr">
        <is>
          <t>F26</t>
        </is>
      </c>
      <c r="E1778" t="inlineStr">
        <is>
          <t>TRANSACCIONAL</t>
        </is>
      </c>
      <c r="F1778" t="inlineStr">
        <is>
          <t>ZAMBIA</t>
        </is>
      </c>
      <c r="G1778" t="inlineStr">
        <is>
          <t>ZM</t>
        </is>
      </c>
      <c r="H1778" t="n">
        <v>2</v>
      </c>
      <c r="I1778" t="n">
        <v>2</v>
      </c>
      <c r="J1778" t="n">
        <v>6</v>
      </c>
      <c r="K1778" t="n">
        <v>12</v>
      </c>
      <c r="L1778" t="n">
        <v>12</v>
      </c>
      <c r="M1778" t="n">
        <v>12</v>
      </c>
      <c r="N1778" t="n">
        <v>12</v>
      </c>
      <c r="O1778" t="n">
        <v>30</v>
      </c>
      <c r="P1778" t="n">
        <v>6</v>
      </c>
      <c r="R1778" s="9" t="n">
        <v>0.06</v>
      </c>
      <c r="S1778" s="10" t="inlineStr">
        <is>
          <t>Absorbido en FF8 (catálogo país se reutiliza)</t>
        </is>
      </c>
      <c r="T1778" s="11" t="n"/>
      <c r="U1778" s="11" t="inlineStr">
        <is>
          <t>DEL BANCO (se hereda)</t>
        </is>
      </c>
      <c r="V1778" s="11" t="n"/>
      <c r="W1778" s="12" t="n"/>
      <c r="X1778" s="12" t="n"/>
    </row>
    <row r="1779" ht="15" customHeight="1">
      <c r="C1779" t="inlineStr">
        <is>
          <t>Envío o recepción de transferencias internacionales</t>
        </is>
      </c>
      <c r="D1779" t="inlineStr">
        <is>
          <t>F26</t>
        </is>
      </c>
      <c r="E1779" t="inlineStr">
        <is>
          <t>TRANSACCIONAL</t>
        </is>
      </c>
      <c r="F1779" t="inlineStr">
        <is>
          <t>ZIMBABUE</t>
        </is>
      </c>
      <c r="G1779" t="inlineStr">
        <is>
          <t>ZW</t>
        </is>
      </c>
      <c r="H1779" t="n">
        <v>4</v>
      </c>
      <c r="I1779" t="n">
        <v>4</v>
      </c>
      <c r="J1779" t="n">
        <v>6</v>
      </c>
      <c r="K1779" t="n">
        <v>24</v>
      </c>
      <c r="L1779" t="n">
        <v>24</v>
      </c>
      <c r="M1779" t="n">
        <v>24</v>
      </c>
      <c r="N1779" t="n">
        <v>24</v>
      </c>
      <c r="O1779" t="n">
        <v>30</v>
      </c>
      <c r="P1779" t="n">
        <v>6</v>
      </c>
      <c r="R1779" s="9" t="n">
        <v>0.06</v>
      </c>
      <c r="S1779" s="10" t="inlineStr">
        <is>
          <t>Absorbido en FF8 (catálogo país se reutiliza)</t>
        </is>
      </c>
      <c r="T1779" s="11" t="n"/>
      <c r="U1779" s="11" t="inlineStr">
        <is>
          <t>DEL BANCO (se hereda)</t>
        </is>
      </c>
      <c r="V1779" s="11" t="n"/>
      <c r="W1779" s="12" t="n"/>
      <c r="X1779" s="12" t="n"/>
    </row>
    <row r="1780" ht="15" customHeight="1">
      <c r="C1780" t="inlineStr">
        <is>
          <t>ANTIGÜEDAD DEL CLIENTE</t>
        </is>
      </c>
      <c r="D1780" t="inlineStr">
        <is>
          <t>F3</t>
        </is>
      </c>
      <c r="E1780" t="inlineStr">
        <is>
          <t>INHERENTE</t>
        </is>
      </c>
      <c r="F1780" t="inlineStr">
        <is>
          <t>0-1 AÑOS</t>
        </is>
      </c>
      <c r="G1780" t="n">
        <v>1</v>
      </c>
      <c r="H1780" t="n">
        <v>5</v>
      </c>
      <c r="I1780" t="n">
        <v>5</v>
      </c>
      <c r="J1780" t="n">
        <v>3</v>
      </c>
      <c r="K1780" t="n">
        <v>15</v>
      </c>
      <c r="L1780" t="n">
        <v>15</v>
      </c>
      <c r="M1780" t="n">
        <v>15</v>
      </c>
      <c r="N1780" t="n">
        <v>15</v>
      </c>
      <c r="O1780" t="n">
        <v>15</v>
      </c>
      <c r="P1780" t="n">
        <v>3</v>
      </c>
      <c r="R1780" s="9" t="n">
        <v>0.03</v>
      </c>
      <c r="S1780" s="10" t="inlineStr">
        <is>
          <t>V2 — antigüedad de la relación</t>
        </is>
      </c>
      <c r="T1780" s="11" t="inlineStr">
        <is>
          <t>B · INTEGRANTE</t>
        </is>
      </c>
      <c r="U1780" s="11" t="inlineStr">
        <is>
          <t>DEL BANCO (se hereda)</t>
        </is>
      </c>
      <c r="V1780" s="11" t="n"/>
      <c r="W1780" s="12" t="n"/>
      <c r="X1780" s="12" t="n"/>
    </row>
    <row r="1781" ht="15" customHeight="1">
      <c r="C1781" t="inlineStr">
        <is>
          <t>ANTIGÜEDAD DEL CLIENTE</t>
        </is>
      </c>
      <c r="D1781" t="inlineStr">
        <is>
          <t>F3</t>
        </is>
      </c>
      <c r="E1781" t="inlineStr">
        <is>
          <t>INHERENTE</t>
        </is>
      </c>
      <c r="F1781" t="inlineStr">
        <is>
          <t>2-4 AÑOS</t>
        </is>
      </c>
      <c r="G1781" t="n">
        <v>2</v>
      </c>
      <c r="H1781" t="n">
        <v>3</v>
      </c>
      <c r="I1781" t="n">
        <v>3</v>
      </c>
      <c r="J1781" t="n">
        <v>3</v>
      </c>
      <c r="K1781" t="n">
        <v>9</v>
      </c>
      <c r="L1781" t="n">
        <v>9</v>
      </c>
      <c r="M1781" t="n">
        <v>9</v>
      </c>
      <c r="N1781" t="n">
        <v>9</v>
      </c>
      <c r="O1781" t="n">
        <v>15</v>
      </c>
      <c r="P1781" t="n">
        <v>3</v>
      </c>
      <c r="R1781" s="9" t="n">
        <v>0.03</v>
      </c>
      <c r="S1781" s="10" t="inlineStr">
        <is>
          <t>V2 — antigüedad de la relación</t>
        </is>
      </c>
      <c r="T1781" s="11" t="inlineStr">
        <is>
          <t>B · INTEGRANTE</t>
        </is>
      </c>
      <c r="U1781" s="11" t="inlineStr">
        <is>
          <t>DEL BANCO (se hereda)</t>
        </is>
      </c>
      <c r="V1781" s="11" t="n"/>
      <c r="W1781" s="12" t="n"/>
      <c r="X1781" s="12" t="n"/>
    </row>
    <row r="1782" ht="15" customHeight="1">
      <c r="C1782" t="inlineStr">
        <is>
          <t>ANTIGÜEDAD DEL CLIENTE</t>
        </is>
      </c>
      <c r="D1782" t="inlineStr">
        <is>
          <t>F3</t>
        </is>
      </c>
      <c r="E1782" t="inlineStr">
        <is>
          <t>INHERENTE</t>
        </is>
      </c>
      <c r="F1782" t="inlineStr">
        <is>
          <t>5 EN ADELANTE</t>
        </is>
      </c>
      <c r="G1782" t="n">
        <v>3</v>
      </c>
      <c r="H1782" t="n">
        <v>1</v>
      </c>
      <c r="I1782" t="n">
        <v>1</v>
      </c>
      <c r="J1782" t="n">
        <v>3</v>
      </c>
      <c r="K1782" t="n">
        <v>3</v>
      </c>
      <c r="L1782" t="n">
        <v>3</v>
      </c>
      <c r="M1782" t="n">
        <v>3</v>
      </c>
      <c r="N1782" t="n">
        <v>3</v>
      </c>
      <c r="O1782" t="n">
        <v>15</v>
      </c>
      <c r="P1782" t="n">
        <v>3</v>
      </c>
      <c r="R1782" s="9" t="n">
        <v>0.03</v>
      </c>
      <c r="S1782" s="10" t="inlineStr">
        <is>
          <t>V2 — antigüedad de la relación</t>
        </is>
      </c>
      <c r="T1782" s="11" t="inlineStr">
        <is>
          <t>B · INTEGRANTE</t>
        </is>
      </c>
      <c r="U1782" s="11" t="inlineStr">
        <is>
          <t>DEL BANCO (se hereda)</t>
        </is>
      </c>
      <c r="V1782" s="11" t="n"/>
      <c r="W1782" s="12" t="n"/>
      <c r="X1782" s="12" t="n"/>
    </row>
    <row r="1783" ht="15" customHeight="1">
      <c r="C1783" t="inlineStr">
        <is>
          <t xml:space="preserve">PAIS DE NACIMIENTO </t>
        </is>
      </c>
      <c r="D1783" t="inlineStr">
        <is>
          <t>F4</t>
        </is>
      </c>
      <c r="E1783" t="inlineStr">
        <is>
          <t>INHERENTE</t>
        </is>
      </c>
      <c r="F1783" t="inlineStr">
        <is>
          <t>ANDORRA</t>
        </is>
      </c>
      <c r="G1783" t="inlineStr">
        <is>
          <t>AD</t>
        </is>
      </c>
      <c r="H1783" t="n">
        <v>1</v>
      </c>
      <c r="I1783" t="n">
        <v>1</v>
      </c>
      <c r="J1783" t="n">
        <v>3</v>
      </c>
      <c r="K1783" t="n">
        <v>3</v>
      </c>
      <c r="L1783" t="n">
        <v>3</v>
      </c>
      <c r="M1783" t="n">
        <v>3</v>
      </c>
      <c r="N1783" t="n">
        <v>3</v>
      </c>
      <c r="O1783" t="n">
        <v>15</v>
      </c>
      <c r="P1783" t="n">
        <v>3</v>
      </c>
      <c r="R1783" s="9" t="n">
        <v>0.03</v>
      </c>
      <c r="S1783" s="10" t="inlineStr">
        <is>
          <t>SÍ — integrante</t>
        </is>
      </c>
      <c r="T1783" s="11" t="inlineStr">
        <is>
          <t>B · INTEGRANTE</t>
        </is>
      </c>
      <c r="U1783" s="11" t="inlineStr">
        <is>
          <t>DEL BANCO (se hereda)</t>
        </is>
      </c>
      <c r="V1783" s="11" t="n"/>
      <c r="W1783" s="12" t="n"/>
      <c r="X1783" s="12" t="n"/>
    </row>
    <row r="1784" ht="15" customHeight="1">
      <c r="C1784" t="inlineStr">
        <is>
          <t xml:space="preserve">PAIS DE NACIMIENTO </t>
        </is>
      </c>
      <c r="D1784" t="inlineStr">
        <is>
          <t>F4</t>
        </is>
      </c>
      <c r="E1784" t="inlineStr">
        <is>
          <t>INHERENTE</t>
        </is>
      </c>
      <c r="F1784" t="inlineStr">
        <is>
          <t>EMIRATOS ARABES UNID</t>
        </is>
      </c>
      <c r="G1784" t="inlineStr">
        <is>
          <t>AE</t>
        </is>
      </c>
      <c r="H1784" t="n">
        <v>3</v>
      </c>
      <c r="I1784" t="n">
        <v>3</v>
      </c>
      <c r="J1784" t="n">
        <v>3</v>
      </c>
      <c r="K1784" t="n">
        <v>9</v>
      </c>
      <c r="L1784" t="n">
        <v>9</v>
      </c>
      <c r="M1784" t="n">
        <v>9</v>
      </c>
      <c r="N1784" t="n">
        <v>9</v>
      </c>
      <c r="O1784" t="n">
        <v>15</v>
      </c>
      <c r="P1784" t="n">
        <v>3</v>
      </c>
      <c r="R1784" s="9" t="n">
        <v>0.03</v>
      </c>
      <c r="S1784" s="10" t="inlineStr">
        <is>
          <t>SÍ — integrante</t>
        </is>
      </c>
      <c r="T1784" s="11" t="inlineStr">
        <is>
          <t>B · INTEGRANTE</t>
        </is>
      </c>
      <c r="U1784" s="11" t="inlineStr">
        <is>
          <t>DEL BANCO (se hereda)</t>
        </is>
      </c>
      <c r="V1784" s="11" t="n"/>
      <c r="W1784" s="12" t="n"/>
      <c r="X1784" s="12" t="n"/>
    </row>
    <row r="1785" ht="15" customHeight="1">
      <c r="C1785" t="inlineStr">
        <is>
          <t xml:space="preserve">PAIS DE NACIMIENTO </t>
        </is>
      </c>
      <c r="D1785" t="inlineStr">
        <is>
          <t>F4</t>
        </is>
      </c>
      <c r="E1785" t="inlineStr">
        <is>
          <t>INHERENTE</t>
        </is>
      </c>
      <c r="F1785" t="inlineStr">
        <is>
          <t>AFGANISTAN (GFG)</t>
        </is>
      </c>
      <c r="G1785" t="inlineStr">
        <is>
          <t>AF</t>
        </is>
      </c>
      <c r="H1785" t="n">
        <v>4</v>
      </c>
      <c r="I1785" t="n">
        <v>4</v>
      </c>
      <c r="J1785" t="n">
        <v>3</v>
      </c>
      <c r="K1785" t="n">
        <v>12</v>
      </c>
      <c r="L1785" t="n">
        <v>12</v>
      </c>
      <c r="M1785" t="n">
        <v>12</v>
      </c>
      <c r="N1785" t="n">
        <v>12</v>
      </c>
      <c r="O1785" t="n">
        <v>15</v>
      </c>
      <c r="P1785" t="n">
        <v>3</v>
      </c>
      <c r="R1785" s="9" t="n">
        <v>0.03</v>
      </c>
      <c r="S1785" s="10" t="inlineStr">
        <is>
          <t>SÍ — integrante</t>
        </is>
      </c>
      <c r="T1785" s="11" t="inlineStr">
        <is>
          <t>B · INTEGRANTE</t>
        </is>
      </c>
      <c r="U1785" s="11" t="inlineStr">
        <is>
          <t>DEL BANCO (se hereda)</t>
        </is>
      </c>
      <c r="V1785" s="11" t="n"/>
      <c r="W1785" s="12" t="n"/>
      <c r="X1785" s="12" t="n"/>
    </row>
    <row r="1786" ht="15" customHeight="1">
      <c r="C1786" t="inlineStr">
        <is>
          <t xml:space="preserve">PAIS DE NACIMIENTO </t>
        </is>
      </c>
      <c r="D1786" t="inlineStr">
        <is>
          <t>F4</t>
        </is>
      </c>
      <c r="E1786" t="inlineStr">
        <is>
          <t>INHERENTE</t>
        </is>
      </c>
      <c r="F1786" t="inlineStr">
        <is>
          <t>ANTIGUA Y BARBUDA</t>
        </is>
      </c>
      <c r="G1786" t="inlineStr">
        <is>
          <t>AG</t>
        </is>
      </c>
      <c r="H1786" t="n">
        <v>3</v>
      </c>
      <c r="I1786" t="n">
        <v>3</v>
      </c>
      <c r="J1786" t="n">
        <v>3</v>
      </c>
      <c r="K1786" t="n">
        <v>9</v>
      </c>
      <c r="L1786" t="n">
        <v>9</v>
      </c>
      <c r="M1786" t="n">
        <v>9</v>
      </c>
      <c r="N1786" t="n">
        <v>9</v>
      </c>
      <c r="O1786" t="n">
        <v>15</v>
      </c>
      <c r="P1786" t="n">
        <v>3</v>
      </c>
      <c r="R1786" s="9" t="n">
        <v>0.03</v>
      </c>
      <c r="S1786" s="10" t="inlineStr">
        <is>
          <t>SÍ — integrante</t>
        </is>
      </c>
      <c r="T1786" s="11" t="inlineStr">
        <is>
          <t>B · INTEGRANTE</t>
        </is>
      </c>
      <c r="U1786" s="11" t="inlineStr">
        <is>
          <t>DEL BANCO (se hereda)</t>
        </is>
      </c>
      <c r="V1786" s="11" t="n"/>
      <c r="W1786" s="12" t="n"/>
      <c r="X1786" s="12" t="n"/>
    </row>
    <row r="1787" ht="15" customHeight="1">
      <c r="C1787" t="inlineStr">
        <is>
          <t xml:space="preserve">PAIS DE NACIMIENTO </t>
        </is>
      </c>
      <c r="D1787" t="inlineStr">
        <is>
          <t>F4</t>
        </is>
      </c>
      <c r="E1787" t="inlineStr">
        <is>
          <t>INHERENTE</t>
        </is>
      </c>
      <c r="F1787" t="inlineStr">
        <is>
          <t>ANGUILA</t>
        </is>
      </c>
      <c r="G1787" t="inlineStr">
        <is>
          <t>AI</t>
        </is>
      </c>
      <c r="H1787" t="n">
        <v>3</v>
      </c>
      <c r="I1787" t="n">
        <v>3</v>
      </c>
      <c r="J1787" t="n">
        <v>3</v>
      </c>
      <c r="K1787" t="n">
        <v>9</v>
      </c>
      <c r="L1787" t="n">
        <v>9</v>
      </c>
      <c r="M1787" t="n">
        <v>9</v>
      </c>
      <c r="N1787" t="n">
        <v>9</v>
      </c>
      <c r="O1787" t="n">
        <v>15</v>
      </c>
      <c r="P1787" t="n">
        <v>3</v>
      </c>
      <c r="R1787" s="9" t="n">
        <v>0.03</v>
      </c>
      <c r="S1787" s="10" t="inlineStr">
        <is>
          <t>SÍ — integrante</t>
        </is>
      </c>
      <c r="T1787" s="11" t="inlineStr">
        <is>
          <t>B · INTEGRANTE</t>
        </is>
      </c>
      <c r="U1787" s="11" t="inlineStr">
        <is>
          <t>DEL BANCO (se hereda)</t>
        </is>
      </c>
      <c r="V1787" s="11" t="n"/>
      <c r="W1787" s="12" t="n"/>
      <c r="X1787" s="12" t="n"/>
    </row>
    <row r="1788" ht="15" customHeight="1">
      <c r="C1788" t="inlineStr">
        <is>
          <t xml:space="preserve">PAIS DE NACIMIENTO </t>
        </is>
      </c>
      <c r="D1788" t="inlineStr">
        <is>
          <t>F4</t>
        </is>
      </c>
      <c r="E1788" t="inlineStr">
        <is>
          <t>INHERENTE</t>
        </is>
      </c>
      <c r="F1788" t="inlineStr">
        <is>
          <t>ALBANIA</t>
        </is>
      </c>
      <c r="G1788" t="inlineStr">
        <is>
          <t>AL</t>
        </is>
      </c>
      <c r="H1788" t="n">
        <v>2</v>
      </c>
      <c r="I1788" t="n">
        <v>2</v>
      </c>
      <c r="J1788" t="n">
        <v>3</v>
      </c>
      <c r="K1788" t="n">
        <v>6</v>
      </c>
      <c r="L1788" t="n">
        <v>6</v>
      </c>
      <c r="M1788" t="n">
        <v>6</v>
      </c>
      <c r="N1788" t="n">
        <v>6</v>
      </c>
      <c r="O1788" t="n">
        <v>15</v>
      </c>
      <c r="P1788" t="n">
        <v>3</v>
      </c>
      <c r="R1788" s="9" t="n">
        <v>0.03</v>
      </c>
      <c r="S1788" s="10" t="inlineStr">
        <is>
          <t>SÍ — integrante</t>
        </is>
      </c>
      <c r="T1788" s="11" t="inlineStr">
        <is>
          <t>B · INTEGRANTE</t>
        </is>
      </c>
      <c r="U1788" s="11" t="inlineStr">
        <is>
          <t>DEL BANCO (se hereda)</t>
        </is>
      </c>
      <c r="V1788" s="11" t="n"/>
      <c r="W1788" s="12" t="n"/>
      <c r="X1788" s="12" t="n"/>
    </row>
    <row r="1789" ht="15" customHeight="1">
      <c r="C1789" t="inlineStr">
        <is>
          <t xml:space="preserve">PAIS DE NACIMIENTO </t>
        </is>
      </c>
      <c r="D1789" t="inlineStr">
        <is>
          <t>F4</t>
        </is>
      </c>
      <c r="E1789" t="inlineStr">
        <is>
          <t>INHERENTE</t>
        </is>
      </c>
      <c r="F1789" t="inlineStr">
        <is>
          <t>ARMENIA</t>
        </is>
      </c>
      <c r="G1789" t="inlineStr">
        <is>
          <t>AM</t>
        </is>
      </c>
      <c r="H1789" t="n">
        <v>2</v>
      </c>
      <c r="I1789" t="n">
        <v>2</v>
      </c>
      <c r="J1789" t="n">
        <v>3</v>
      </c>
      <c r="K1789" t="n">
        <v>6</v>
      </c>
      <c r="L1789" t="n">
        <v>6</v>
      </c>
      <c r="M1789" t="n">
        <v>6</v>
      </c>
      <c r="N1789" t="n">
        <v>6</v>
      </c>
      <c r="O1789" t="n">
        <v>15</v>
      </c>
      <c r="P1789" t="n">
        <v>3</v>
      </c>
      <c r="R1789" s="9" t="n">
        <v>0.03</v>
      </c>
      <c r="S1789" s="10" t="inlineStr">
        <is>
          <t>SÍ — integrante</t>
        </is>
      </c>
      <c r="T1789" s="11" t="inlineStr">
        <is>
          <t>B · INTEGRANTE</t>
        </is>
      </c>
      <c r="U1789" s="11" t="inlineStr">
        <is>
          <t>DEL BANCO (se hereda)</t>
        </is>
      </c>
      <c r="V1789" s="11" t="n"/>
      <c r="W1789" s="12" t="n"/>
      <c r="X1789" s="12" t="n"/>
    </row>
    <row r="1790" ht="15" customHeight="1">
      <c r="C1790" t="inlineStr">
        <is>
          <t xml:space="preserve">PAIS DE NACIMIENTO </t>
        </is>
      </c>
      <c r="D1790" t="inlineStr">
        <is>
          <t>F4</t>
        </is>
      </c>
      <c r="E1790" t="inlineStr">
        <is>
          <t>INHERENTE</t>
        </is>
      </c>
      <c r="F1790" t="inlineStr">
        <is>
          <t>ANTILLAS NEERLANDESA</t>
        </is>
      </c>
      <c r="G1790" t="inlineStr">
        <is>
          <t>AN</t>
        </is>
      </c>
      <c r="H1790" t="n">
        <v>3</v>
      </c>
      <c r="I1790" t="n">
        <v>3</v>
      </c>
      <c r="J1790" t="n">
        <v>3</v>
      </c>
      <c r="K1790" t="n">
        <v>9</v>
      </c>
      <c r="L1790" t="n">
        <v>9</v>
      </c>
      <c r="M1790" t="n">
        <v>9</v>
      </c>
      <c r="N1790" t="n">
        <v>9</v>
      </c>
      <c r="O1790" t="n">
        <v>15</v>
      </c>
      <c r="P1790" t="n">
        <v>3</v>
      </c>
      <c r="R1790" s="9" t="n">
        <v>0.03</v>
      </c>
      <c r="S1790" s="10" t="inlineStr">
        <is>
          <t>SÍ — integrante</t>
        </is>
      </c>
      <c r="T1790" s="11" t="inlineStr">
        <is>
          <t>B · INTEGRANTE</t>
        </is>
      </c>
      <c r="U1790" s="11" t="inlineStr">
        <is>
          <t>DEL BANCO (se hereda)</t>
        </is>
      </c>
      <c r="V1790" s="11" t="n"/>
      <c r="W1790" s="12" t="n"/>
      <c r="X1790" s="12" t="n"/>
    </row>
    <row r="1791" ht="15" customHeight="1">
      <c r="C1791" t="inlineStr">
        <is>
          <t xml:space="preserve">PAIS DE NACIMIENTO </t>
        </is>
      </c>
      <c r="D1791" t="inlineStr">
        <is>
          <t>F4</t>
        </is>
      </c>
      <c r="E1791" t="inlineStr">
        <is>
          <t>INHERENTE</t>
        </is>
      </c>
      <c r="F1791" t="inlineStr">
        <is>
          <t>ANGOLA</t>
        </is>
      </c>
      <c r="G1791" t="inlineStr">
        <is>
          <t>AO</t>
        </is>
      </c>
      <c r="H1791" t="n">
        <v>4</v>
      </c>
      <c r="I1791" t="n">
        <v>4</v>
      </c>
      <c r="J1791" t="n">
        <v>3</v>
      </c>
      <c r="K1791" t="n">
        <v>12</v>
      </c>
      <c r="L1791" t="n">
        <v>12</v>
      </c>
      <c r="M1791" t="n">
        <v>12</v>
      </c>
      <c r="N1791" t="n">
        <v>12</v>
      </c>
      <c r="O1791" t="n">
        <v>15</v>
      </c>
      <c r="P1791" t="n">
        <v>3</v>
      </c>
      <c r="Q1791" t="inlineStr">
        <is>
          <t>DETERMINANTE</t>
        </is>
      </c>
      <c r="R1791" s="9" t="n">
        <v>0.03</v>
      </c>
      <c r="S1791" s="10" t="inlineStr">
        <is>
          <t>SÍ — integrante</t>
        </is>
      </c>
      <c r="T1791" s="11" t="inlineStr">
        <is>
          <t>B · INTEGRANTE</t>
        </is>
      </c>
      <c r="U1791" s="11" t="inlineStr">
        <is>
          <t>DEL BANCO (se hereda)</t>
        </is>
      </c>
      <c r="V1791" s="11" t="n"/>
      <c r="W1791" s="12" t="n"/>
      <c r="X1791" s="12" t="n"/>
    </row>
    <row r="1792" ht="15" customHeight="1">
      <c r="C1792" t="inlineStr">
        <is>
          <t xml:space="preserve">PAIS DE NACIMIENTO </t>
        </is>
      </c>
      <c r="D1792" t="inlineStr">
        <is>
          <t>F4</t>
        </is>
      </c>
      <c r="E1792" t="inlineStr">
        <is>
          <t>INHERENTE</t>
        </is>
      </c>
      <c r="F1792" t="inlineStr">
        <is>
          <t>ANTARTICA</t>
        </is>
      </c>
      <c r="G1792" t="inlineStr">
        <is>
          <t>AQ</t>
        </is>
      </c>
      <c r="H1792" t="n">
        <v>1</v>
      </c>
      <c r="I1792" t="n">
        <v>1</v>
      </c>
      <c r="J1792" t="n">
        <v>3</v>
      </c>
      <c r="K1792" t="n">
        <v>3</v>
      </c>
      <c r="L1792" t="n">
        <v>3</v>
      </c>
      <c r="M1792" t="n">
        <v>3</v>
      </c>
      <c r="N1792" t="n">
        <v>3</v>
      </c>
      <c r="O1792" t="n">
        <v>15</v>
      </c>
      <c r="P1792" t="n">
        <v>3</v>
      </c>
      <c r="R1792" s="9" t="n">
        <v>0.03</v>
      </c>
      <c r="S1792" s="10" t="inlineStr">
        <is>
          <t>SÍ — integrante</t>
        </is>
      </c>
      <c r="T1792" s="11" t="inlineStr">
        <is>
          <t>B · INTEGRANTE</t>
        </is>
      </c>
      <c r="U1792" s="11" t="inlineStr">
        <is>
          <t>DEL BANCO (se hereda)</t>
        </is>
      </c>
      <c r="V1792" s="11" t="n"/>
      <c r="W1792" s="12" t="n"/>
      <c r="X1792" s="12" t="n"/>
    </row>
    <row r="1793" ht="15" customHeight="1">
      <c r="C1793" t="inlineStr">
        <is>
          <t xml:space="preserve">PAIS DE NACIMIENTO </t>
        </is>
      </c>
      <c r="D1793" t="inlineStr">
        <is>
          <t>F4</t>
        </is>
      </c>
      <c r="E1793" t="inlineStr">
        <is>
          <t>INHERENTE</t>
        </is>
      </c>
      <c r="F1793" t="inlineStr">
        <is>
          <t>ARGENTINA</t>
        </is>
      </c>
      <c r="G1793" t="inlineStr">
        <is>
          <t>AR</t>
        </is>
      </c>
      <c r="H1793" t="n">
        <v>2</v>
      </c>
      <c r="I1793" t="n">
        <v>2</v>
      </c>
      <c r="J1793" t="n">
        <v>3</v>
      </c>
      <c r="K1793" t="n">
        <v>6</v>
      </c>
      <c r="L1793" t="n">
        <v>6</v>
      </c>
      <c r="M1793" t="n">
        <v>6</v>
      </c>
      <c r="N1793" t="n">
        <v>6</v>
      </c>
      <c r="O1793" t="n">
        <v>15</v>
      </c>
      <c r="P1793" t="n">
        <v>3</v>
      </c>
      <c r="R1793" s="9" t="n">
        <v>0.03</v>
      </c>
      <c r="S1793" s="10" t="inlineStr">
        <is>
          <t>SÍ — integrante</t>
        </is>
      </c>
      <c r="T1793" s="11" t="inlineStr">
        <is>
          <t>B · INTEGRANTE</t>
        </is>
      </c>
      <c r="U1793" s="11" t="inlineStr">
        <is>
          <t>DEL BANCO (se hereda)</t>
        </is>
      </c>
      <c r="V1793" s="11" t="n"/>
      <c r="W1793" s="12" t="n"/>
      <c r="X1793" s="12" t="n"/>
    </row>
    <row r="1794" ht="15" customHeight="1">
      <c r="C1794" t="inlineStr">
        <is>
          <t xml:space="preserve">PAIS DE NACIMIENTO </t>
        </is>
      </c>
      <c r="D1794" t="inlineStr">
        <is>
          <t>F4</t>
        </is>
      </c>
      <c r="E1794" t="inlineStr">
        <is>
          <t>INHERENTE</t>
        </is>
      </c>
      <c r="F1794" t="inlineStr">
        <is>
          <t>SAMOA</t>
        </is>
      </c>
      <c r="G1794" t="inlineStr">
        <is>
          <t>AS</t>
        </is>
      </c>
      <c r="H1794" t="n">
        <v>1</v>
      </c>
      <c r="I1794" t="n">
        <v>1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15</v>
      </c>
      <c r="P1794" t="n">
        <v>3</v>
      </c>
      <c r="R1794" s="9" t="n">
        <v>0.03</v>
      </c>
      <c r="S1794" s="10" t="inlineStr">
        <is>
          <t>SÍ — integrante</t>
        </is>
      </c>
      <c r="T1794" s="11" t="inlineStr">
        <is>
          <t>B · INTEGRANTE</t>
        </is>
      </c>
      <c r="U1794" s="11" t="inlineStr">
        <is>
          <t>DEL BANCO (se hereda)</t>
        </is>
      </c>
      <c r="V1794" s="11" t="n"/>
      <c r="W1794" s="12" t="n"/>
      <c r="X1794" s="12" t="n"/>
    </row>
    <row r="1795" ht="15" customHeight="1">
      <c r="C1795" t="inlineStr">
        <is>
          <t xml:space="preserve">PAIS DE NACIMIENTO </t>
        </is>
      </c>
      <c r="D1795" t="inlineStr">
        <is>
          <t>F4</t>
        </is>
      </c>
      <c r="E1795" t="inlineStr">
        <is>
          <t>INHERENTE</t>
        </is>
      </c>
      <c r="F1795" t="inlineStr">
        <is>
          <t>AUSTRIA</t>
        </is>
      </c>
      <c r="G1795" t="inlineStr">
        <is>
          <t>AT</t>
        </is>
      </c>
      <c r="H1795" t="n">
        <v>1</v>
      </c>
      <c r="I1795" t="n">
        <v>1</v>
      </c>
      <c r="J1795" t="n">
        <v>3</v>
      </c>
      <c r="K1795" t="n">
        <v>3</v>
      </c>
      <c r="L1795" t="n">
        <v>3</v>
      </c>
      <c r="M1795" t="n">
        <v>3</v>
      </c>
      <c r="N1795" t="n">
        <v>3</v>
      </c>
      <c r="O1795" t="n">
        <v>15</v>
      </c>
      <c r="P1795" t="n">
        <v>3</v>
      </c>
      <c r="R1795" s="9" t="n">
        <v>0.03</v>
      </c>
      <c r="S1795" s="10" t="inlineStr">
        <is>
          <t>SÍ — integrante</t>
        </is>
      </c>
      <c r="T1795" s="11" t="inlineStr">
        <is>
          <t>B · INTEGRANTE</t>
        </is>
      </c>
      <c r="U1795" s="11" t="inlineStr">
        <is>
          <t>DEL BANCO (se hereda)</t>
        </is>
      </c>
      <c r="V1795" s="11" t="n"/>
      <c r="W1795" s="12" t="n"/>
      <c r="X1795" s="12" t="n"/>
    </row>
    <row r="1796" ht="15" customHeight="1">
      <c r="C1796" t="inlineStr">
        <is>
          <t xml:space="preserve">PAIS DE NACIMIENTO </t>
        </is>
      </c>
      <c r="D1796" t="inlineStr">
        <is>
          <t>F4</t>
        </is>
      </c>
      <c r="E1796" t="inlineStr">
        <is>
          <t>INHERENTE</t>
        </is>
      </c>
      <c r="F1796" t="inlineStr">
        <is>
          <t>AUSTRALIA</t>
        </is>
      </c>
      <c r="G1796" t="inlineStr">
        <is>
          <t>AU</t>
        </is>
      </c>
      <c r="H1796" t="n">
        <v>1</v>
      </c>
      <c r="I1796" t="n">
        <v>1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15</v>
      </c>
      <c r="P1796" t="n">
        <v>3</v>
      </c>
      <c r="R1796" s="9" t="n">
        <v>0.03</v>
      </c>
      <c r="S1796" s="10" t="inlineStr">
        <is>
          <t>SÍ — integrante</t>
        </is>
      </c>
      <c r="T1796" s="11" t="inlineStr">
        <is>
          <t>B · INTEGRANTE</t>
        </is>
      </c>
      <c r="U1796" s="11" t="inlineStr">
        <is>
          <t>DEL BANCO (se hereda)</t>
        </is>
      </c>
      <c r="V1796" s="11" t="n"/>
      <c r="W1796" s="12" t="n"/>
      <c r="X1796" s="12" t="n"/>
    </row>
    <row r="1797" ht="15" customHeight="1">
      <c r="C1797" t="inlineStr">
        <is>
          <t xml:space="preserve">PAIS DE NACIMIENTO </t>
        </is>
      </c>
      <c r="D1797" t="inlineStr">
        <is>
          <t>F4</t>
        </is>
      </c>
      <c r="E1797" t="inlineStr">
        <is>
          <t>INHERENTE</t>
        </is>
      </c>
      <c r="F1797" t="inlineStr">
        <is>
          <t>ARUBA</t>
        </is>
      </c>
      <c r="G1797" t="inlineStr">
        <is>
          <t>AW</t>
        </is>
      </c>
      <c r="H1797" t="n">
        <v>3</v>
      </c>
      <c r="I1797" t="n">
        <v>3</v>
      </c>
      <c r="J1797" t="n">
        <v>3</v>
      </c>
      <c r="K1797" t="n">
        <v>9</v>
      </c>
      <c r="L1797" t="n">
        <v>9</v>
      </c>
      <c r="M1797" t="n">
        <v>9</v>
      </c>
      <c r="N1797" t="n">
        <v>9</v>
      </c>
      <c r="O1797" t="n">
        <v>15</v>
      </c>
      <c r="P1797" t="n">
        <v>3</v>
      </c>
      <c r="R1797" s="9" t="n">
        <v>0.03</v>
      </c>
      <c r="S1797" s="10" t="inlineStr">
        <is>
          <t>SÍ — integrante</t>
        </is>
      </c>
      <c r="T1797" s="11" t="inlineStr">
        <is>
          <t>B · INTEGRANTE</t>
        </is>
      </c>
      <c r="U1797" s="11" t="inlineStr">
        <is>
          <t>DEL BANCO (se hereda)</t>
        </is>
      </c>
      <c r="V1797" s="11" t="n"/>
      <c r="W1797" s="12" t="n"/>
      <c r="X1797" s="12" t="n"/>
    </row>
    <row r="1798" ht="15" customHeight="1">
      <c r="C1798" t="inlineStr">
        <is>
          <t xml:space="preserve">PAIS DE NACIMIENTO </t>
        </is>
      </c>
      <c r="D1798" t="inlineStr">
        <is>
          <t>F4</t>
        </is>
      </c>
      <c r="E1798" t="inlineStr">
        <is>
          <t>INHERENTE</t>
        </is>
      </c>
      <c r="F1798" t="inlineStr">
        <is>
          <t>ALAND</t>
        </is>
      </c>
      <c r="G1798" t="inlineStr">
        <is>
          <t>AX</t>
        </is>
      </c>
      <c r="H1798" t="n">
        <v>1</v>
      </c>
      <c r="I1798" t="n">
        <v>1</v>
      </c>
      <c r="J1798" t="n">
        <v>3</v>
      </c>
      <c r="K1798" t="n">
        <v>3</v>
      </c>
      <c r="L1798" t="n">
        <v>3</v>
      </c>
      <c r="M1798" t="n">
        <v>3</v>
      </c>
      <c r="N1798" t="n">
        <v>3</v>
      </c>
      <c r="O1798" t="n">
        <v>15</v>
      </c>
      <c r="P1798" t="n">
        <v>3</v>
      </c>
      <c r="R1798" s="9" t="n">
        <v>0.03</v>
      </c>
      <c r="S1798" s="10" t="inlineStr">
        <is>
          <t>SÍ — integrante</t>
        </is>
      </c>
      <c r="T1798" s="11" t="inlineStr">
        <is>
          <t>B · INTEGRANTE</t>
        </is>
      </c>
      <c r="U1798" s="11" t="inlineStr">
        <is>
          <t>DEL BANCO (se hereda)</t>
        </is>
      </c>
      <c r="V1798" s="11" t="n"/>
      <c r="W1798" s="12" t="n"/>
      <c r="X1798" s="12" t="n"/>
    </row>
    <row r="1799" ht="15" customHeight="1">
      <c r="C1799" t="inlineStr">
        <is>
          <t xml:space="preserve">PAIS DE NACIMIENTO </t>
        </is>
      </c>
      <c r="D1799" t="inlineStr">
        <is>
          <t>F4</t>
        </is>
      </c>
      <c r="E1799" t="inlineStr">
        <is>
          <t>INHERENTE</t>
        </is>
      </c>
      <c r="F1799" t="inlineStr">
        <is>
          <t>AZERBAIJAN</t>
        </is>
      </c>
      <c r="G1799" t="inlineStr">
        <is>
          <t>AZ</t>
        </is>
      </c>
      <c r="H1799" t="n">
        <v>3</v>
      </c>
      <c r="I1799" t="n">
        <v>3</v>
      </c>
      <c r="J1799" t="n">
        <v>3</v>
      </c>
      <c r="K1799" t="n">
        <v>9</v>
      </c>
      <c r="L1799" t="n">
        <v>9</v>
      </c>
      <c r="M1799" t="n">
        <v>9</v>
      </c>
      <c r="N1799" t="n">
        <v>9</v>
      </c>
      <c r="O1799" t="n">
        <v>15</v>
      </c>
      <c r="P1799" t="n">
        <v>3</v>
      </c>
      <c r="R1799" s="9" t="n">
        <v>0.03</v>
      </c>
      <c r="S1799" s="10" t="inlineStr">
        <is>
          <t>SÍ — integrante</t>
        </is>
      </c>
      <c r="T1799" s="11" t="inlineStr">
        <is>
          <t>B · INTEGRANTE</t>
        </is>
      </c>
      <c r="U1799" s="11" t="inlineStr">
        <is>
          <t>DEL BANCO (se hereda)</t>
        </is>
      </c>
      <c r="V1799" s="11" t="n"/>
      <c r="W1799" s="12" t="n"/>
      <c r="X1799" s="12" t="n"/>
    </row>
    <row r="1800" ht="15" customHeight="1">
      <c r="C1800" t="inlineStr">
        <is>
          <t xml:space="preserve">PAIS DE NACIMIENTO </t>
        </is>
      </c>
      <c r="D1800" t="inlineStr">
        <is>
          <t>F4</t>
        </is>
      </c>
      <c r="E1800" t="inlineStr">
        <is>
          <t>INHERENTE</t>
        </is>
      </c>
      <c r="F1800" t="inlineStr">
        <is>
          <t>BOSNIE-HERZ</t>
        </is>
      </c>
      <c r="G1800" t="inlineStr">
        <is>
          <t>BA</t>
        </is>
      </c>
      <c r="H1800" t="n">
        <v>2</v>
      </c>
      <c r="I1800" t="n">
        <v>2</v>
      </c>
      <c r="J1800" t="n">
        <v>3</v>
      </c>
      <c r="K1800" t="n">
        <v>6</v>
      </c>
      <c r="L1800" t="n">
        <v>6</v>
      </c>
      <c r="M1800" t="n">
        <v>6</v>
      </c>
      <c r="N1800" t="n">
        <v>6</v>
      </c>
      <c r="O1800" t="n">
        <v>15</v>
      </c>
      <c r="P1800" t="n">
        <v>3</v>
      </c>
      <c r="R1800" s="9" t="n">
        <v>0.03</v>
      </c>
      <c r="S1800" s="10" t="inlineStr">
        <is>
          <t>SÍ — integrante</t>
        </is>
      </c>
      <c r="T1800" s="11" t="inlineStr">
        <is>
          <t>B · INTEGRANTE</t>
        </is>
      </c>
      <c r="U1800" s="11" t="inlineStr">
        <is>
          <t>DEL BANCO (se hereda)</t>
        </is>
      </c>
      <c r="V1800" s="11" t="n"/>
      <c r="W1800" s="12" t="n"/>
      <c r="X1800" s="12" t="n"/>
    </row>
    <row r="1801" ht="15" customHeight="1">
      <c r="C1801" t="inlineStr">
        <is>
          <t xml:space="preserve">PAIS DE NACIMIENTO </t>
        </is>
      </c>
      <c r="D1801" t="inlineStr">
        <is>
          <t>F4</t>
        </is>
      </c>
      <c r="E1801" t="inlineStr">
        <is>
          <t>INHERENTE</t>
        </is>
      </c>
      <c r="F1801" t="inlineStr">
        <is>
          <t>BARBADOS</t>
        </is>
      </c>
      <c r="G1801" t="inlineStr">
        <is>
          <t>BB</t>
        </is>
      </c>
      <c r="H1801" t="n">
        <v>3</v>
      </c>
      <c r="I1801" t="n">
        <v>3</v>
      </c>
      <c r="J1801" t="n">
        <v>3</v>
      </c>
      <c r="K1801" t="n">
        <v>9</v>
      </c>
      <c r="L1801" t="n">
        <v>9</v>
      </c>
      <c r="M1801" t="n">
        <v>9</v>
      </c>
      <c r="N1801" t="n">
        <v>9</v>
      </c>
      <c r="O1801" t="n">
        <v>15</v>
      </c>
      <c r="P1801" t="n">
        <v>3</v>
      </c>
      <c r="R1801" s="9" t="n">
        <v>0.03</v>
      </c>
      <c r="S1801" s="10" t="inlineStr">
        <is>
          <t>SÍ — integrante</t>
        </is>
      </c>
      <c r="T1801" s="11" t="inlineStr">
        <is>
          <t>B · INTEGRANTE</t>
        </is>
      </c>
      <c r="U1801" s="11" t="inlineStr">
        <is>
          <t>DEL BANCO (se hereda)</t>
        </is>
      </c>
      <c r="V1801" s="11" t="n"/>
      <c r="W1801" s="12" t="n"/>
      <c r="X1801" s="12" t="n"/>
    </row>
    <row r="1802" ht="15" customHeight="1">
      <c r="C1802" t="inlineStr">
        <is>
          <t xml:space="preserve">PAIS DE NACIMIENTO </t>
        </is>
      </c>
      <c r="D1802" t="inlineStr">
        <is>
          <t>F4</t>
        </is>
      </c>
      <c r="E1802" t="inlineStr">
        <is>
          <t>INHERENTE</t>
        </is>
      </c>
      <c r="F1802" t="inlineStr">
        <is>
          <t>BANGLADESH</t>
        </is>
      </c>
      <c r="G1802" t="inlineStr">
        <is>
          <t>BD</t>
        </is>
      </c>
      <c r="H1802" t="n">
        <v>3</v>
      </c>
      <c r="I1802" t="n">
        <v>3</v>
      </c>
      <c r="J1802" t="n">
        <v>3</v>
      </c>
      <c r="K1802" t="n">
        <v>9</v>
      </c>
      <c r="L1802" t="n">
        <v>9</v>
      </c>
      <c r="M1802" t="n">
        <v>9</v>
      </c>
      <c r="N1802" t="n">
        <v>9</v>
      </c>
      <c r="O1802" t="n">
        <v>15</v>
      </c>
      <c r="P1802" t="n">
        <v>3</v>
      </c>
      <c r="R1802" s="9" t="n">
        <v>0.03</v>
      </c>
      <c r="S1802" s="10" t="inlineStr">
        <is>
          <t>SÍ — integrante</t>
        </is>
      </c>
      <c r="T1802" s="11" t="inlineStr">
        <is>
          <t>B · INTEGRANTE</t>
        </is>
      </c>
      <c r="U1802" s="11" t="inlineStr">
        <is>
          <t>DEL BANCO (se hereda)</t>
        </is>
      </c>
      <c r="V1802" s="11" t="n"/>
      <c r="W1802" s="12" t="n"/>
      <c r="X1802" s="12" t="n"/>
    </row>
    <row r="1803" ht="15" customHeight="1">
      <c r="C1803" t="inlineStr">
        <is>
          <t xml:space="preserve">PAIS DE NACIMIENTO </t>
        </is>
      </c>
      <c r="D1803" t="inlineStr">
        <is>
          <t>F4</t>
        </is>
      </c>
      <c r="E1803" t="inlineStr">
        <is>
          <t>INHERENTE</t>
        </is>
      </c>
      <c r="F1803" t="inlineStr">
        <is>
          <t>BELGICA</t>
        </is>
      </c>
      <c r="G1803" t="inlineStr">
        <is>
          <t>BE</t>
        </is>
      </c>
      <c r="H1803" t="n">
        <v>1</v>
      </c>
      <c r="I1803" t="n">
        <v>1</v>
      </c>
      <c r="J1803" t="n">
        <v>3</v>
      </c>
      <c r="K1803" t="n">
        <v>3</v>
      </c>
      <c r="L1803" t="n">
        <v>3</v>
      </c>
      <c r="M1803" t="n">
        <v>3</v>
      </c>
      <c r="N1803" t="n">
        <v>3</v>
      </c>
      <c r="O1803" t="n">
        <v>15</v>
      </c>
      <c r="P1803" t="n">
        <v>3</v>
      </c>
      <c r="R1803" s="9" t="n">
        <v>0.03</v>
      </c>
      <c r="S1803" s="10" t="inlineStr">
        <is>
          <t>SÍ — integrante</t>
        </is>
      </c>
      <c r="T1803" s="11" t="inlineStr">
        <is>
          <t>B · INTEGRANTE</t>
        </is>
      </c>
      <c r="U1803" s="11" t="inlineStr">
        <is>
          <t>DEL BANCO (se hereda)</t>
        </is>
      </c>
      <c r="V1803" s="11" t="n"/>
      <c r="W1803" s="12" t="n"/>
      <c r="X1803" s="12" t="n"/>
    </row>
    <row r="1804" ht="15" customHeight="1">
      <c r="C1804" t="inlineStr">
        <is>
          <t xml:space="preserve">PAIS DE NACIMIENTO </t>
        </is>
      </c>
      <c r="D1804" t="inlineStr">
        <is>
          <t>F4</t>
        </is>
      </c>
      <c r="E1804" t="inlineStr">
        <is>
          <t>INHERENTE</t>
        </is>
      </c>
      <c r="F1804" t="inlineStr">
        <is>
          <t>BURKINA FASO</t>
        </is>
      </c>
      <c r="G1804" t="inlineStr">
        <is>
          <t>BF</t>
        </is>
      </c>
      <c r="H1804" t="n">
        <v>3</v>
      </c>
      <c r="I1804" t="n">
        <v>3</v>
      </c>
      <c r="J1804" t="n">
        <v>3</v>
      </c>
      <c r="K1804" t="n">
        <v>9</v>
      </c>
      <c r="L1804" t="n">
        <v>9</v>
      </c>
      <c r="M1804" t="n">
        <v>9</v>
      </c>
      <c r="N1804" t="n">
        <v>9</v>
      </c>
      <c r="O1804" t="n">
        <v>15</v>
      </c>
      <c r="P1804" t="n">
        <v>3</v>
      </c>
      <c r="R1804" s="9" t="n">
        <v>0.03</v>
      </c>
      <c r="S1804" s="10" t="inlineStr">
        <is>
          <t>SÍ — integrante</t>
        </is>
      </c>
      <c r="T1804" s="11" t="inlineStr">
        <is>
          <t>B · INTEGRANTE</t>
        </is>
      </c>
      <c r="U1804" s="11" t="inlineStr">
        <is>
          <t>DEL BANCO (se hereda)</t>
        </is>
      </c>
      <c r="V1804" s="11" t="n"/>
      <c r="W1804" s="12" t="n"/>
      <c r="X1804" s="12" t="n"/>
    </row>
    <row r="1805" ht="15" customHeight="1">
      <c r="C1805" t="inlineStr">
        <is>
          <t xml:space="preserve">PAIS DE NACIMIENTO </t>
        </is>
      </c>
      <c r="D1805" t="inlineStr">
        <is>
          <t>F4</t>
        </is>
      </c>
      <c r="E1805" t="inlineStr">
        <is>
          <t>INHERENTE</t>
        </is>
      </c>
      <c r="F1805" t="inlineStr">
        <is>
          <t>BULGARIA</t>
        </is>
      </c>
      <c r="G1805" t="inlineStr">
        <is>
          <t>BG</t>
        </is>
      </c>
      <c r="H1805" t="n">
        <v>4</v>
      </c>
      <c r="I1805" t="n">
        <v>4</v>
      </c>
      <c r="J1805" t="n">
        <v>3</v>
      </c>
      <c r="K1805" t="n">
        <v>12</v>
      </c>
      <c r="L1805" t="n">
        <v>12</v>
      </c>
      <c r="M1805" t="n">
        <v>12</v>
      </c>
      <c r="N1805" t="n">
        <v>12</v>
      </c>
      <c r="O1805" t="n">
        <v>15</v>
      </c>
      <c r="P1805" t="n">
        <v>3</v>
      </c>
      <c r="Q1805" t="inlineStr">
        <is>
          <t>DETERMINANTE</t>
        </is>
      </c>
      <c r="R1805" s="9" t="n">
        <v>0.03</v>
      </c>
      <c r="S1805" s="10" t="inlineStr">
        <is>
          <t>SÍ — integrante</t>
        </is>
      </c>
      <c r="T1805" s="11" t="inlineStr">
        <is>
          <t>B · INTEGRANTE</t>
        </is>
      </c>
      <c r="U1805" s="11" t="inlineStr">
        <is>
          <t>DEL BANCO (se hereda)</t>
        </is>
      </c>
      <c r="V1805" s="11" t="n"/>
      <c r="W1805" s="12" t="n"/>
      <c r="X1805" s="12" t="n"/>
    </row>
    <row r="1806" ht="15" customHeight="1">
      <c r="C1806" t="inlineStr">
        <is>
          <t xml:space="preserve">PAIS DE NACIMIENTO </t>
        </is>
      </c>
      <c r="D1806" t="inlineStr">
        <is>
          <t>F4</t>
        </is>
      </c>
      <c r="E1806" t="inlineStr">
        <is>
          <t>INHERENTE</t>
        </is>
      </c>
      <c r="F1806" t="inlineStr">
        <is>
          <t>BAHREIN</t>
        </is>
      </c>
      <c r="G1806" t="inlineStr">
        <is>
          <t>BH</t>
        </is>
      </c>
      <c r="H1806" t="n">
        <v>3</v>
      </c>
      <c r="I1806" t="n">
        <v>3</v>
      </c>
      <c r="J1806" t="n">
        <v>3</v>
      </c>
      <c r="K1806" t="n">
        <v>9</v>
      </c>
      <c r="L1806" t="n">
        <v>9</v>
      </c>
      <c r="M1806" t="n">
        <v>9</v>
      </c>
      <c r="N1806" t="n">
        <v>9</v>
      </c>
      <c r="O1806" t="n">
        <v>15</v>
      </c>
      <c r="P1806" t="n">
        <v>3</v>
      </c>
      <c r="R1806" s="9" t="n">
        <v>0.03</v>
      </c>
      <c r="S1806" s="10" t="inlineStr">
        <is>
          <t>SÍ — integrante</t>
        </is>
      </c>
      <c r="T1806" s="11" t="inlineStr">
        <is>
          <t>B · INTEGRANTE</t>
        </is>
      </c>
      <c r="U1806" s="11" t="inlineStr">
        <is>
          <t>DEL BANCO (se hereda)</t>
        </is>
      </c>
      <c r="V1806" s="11" t="n"/>
      <c r="W1806" s="12" t="n"/>
      <c r="X1806" s="12" t="n"/>
    </row>
    <row r="1807" ht="15" customHeight="1">
      <c r="C1807" t="inlineStr">
        <is>
          <t xml:space="preserve">PAIS DE NACIMIENTO </t>
        </is>
      </c>
      <c r="D1807" t="inlineStr">
        <is>
          <t>F4</t>
        </is>
      </c>
      <c r="E1807" t="inlineStr">
        <is>
          <t>INHERENTE</t>
        </is>
      </c>
      <c r="F1807" t="inlineStr">
        <is>
          <t>BURUNDI</t>
        </is>
      </c>
      <c r="G1807" t="inlineStr">
        <is>
          <t>BI</t>
        </is>
      </c>
      <c r="H1807" t="n">
        <v>4</v>
      </c>
      <c r="I1807" t="n">
        <v>4</v>
      </c>
      <c r="J1807" t="n">
        <v>3</v>
      </c>
      <c r="K1807" t="n">
        <v>12</v>
      </c>
      <c r="L1807" t="n">
        <v>12</v>
      </c>
      <c r="M1807" t="n">
        <v>12</v>
      </c>
      <c r="N1807" t="n">
        <v>12</v>
      </c>
      <c r="O1807" t="n">
        <v>15</v>
      </c>
      <c r="P1807" t="n">
        <v>3</v>
      </c>
      <c r="R1807" s="9" t="n">
        <v>0.03</v>
      </c>
      <c r="S1807" s="10" t="inlineStr">
        <is>
          <t>SÍ — integrante</t>
        </is>
      </c>
      <c r="T1807" s="11" t="inlineStr">
        <is>
          <t>B · INTEGRANTE</t>
        </is>
      </c>
      <c r="U1807" s="11" t="inlineStr">
        <is>
          <t>DEL BANCO (se hereda)</t>
        </is>
      </c>
      <c r="V1807" s="11" t="n"/>
      <c r="W1807" s="12" t="n"/>
      <c r="X1807" s="12" t="n"/>
    </row>
    <row r="1808" ht="15" customHeight="1">
      <c r="C1808" t="inlineStr">
        <is>
          <t xml:space="preserve">PAIS DE NACIMIENTO </t>
        </is>
      </c>
      <c r="D1808" t="inlineStr">
        <is>
          <t>F4</t>
        </is>
      </c>
      <c r="E1808" t="inlineStr">
        <is>
          <t>INHERENTE</t>
        </is>
      </c>
      <c r="F1808" t="inlineStr">
        <is>
          <t>BENIN</t>
        </is>
      </c>
      <c r="G1808" t="inlineStr">
        <is>
          <t>BJ</t>
        </is>
      </c>
      <c r="H1808" t="n">
        <v>3</v>
      </c>
      <c r="I1808" t="n">
        <v>3</v>
      </c>
      <c r="J1808" t="n">
        <v>3</v>
      </c>
      <c r="K1808" t="n">
        <v>9</v>
      </c>
      <c r="L1808" t="n">
        <v>9</v>
      </c>
      <c r="M1808" t="n">
        <v>9</v>
      </c>
      <c r="N1808" t="n">
        <v>9</v>
      </c>
      <c r="O1808" t="n">
        <v>15</v>
      </c>
      <c r="P1808" t="n">
        <v>3</v>
      </c>
      <c r="R1808" s="9" t="n">
        <v>0.03</v>
      </c>
      <c r="S1808" s="10" t="inlineStr">
        <is>
          <t>SÍ — integrante</t>
        </is>
      </c>
      <c r="T1808" s="11" t="inlineStr">
        <is>
          <t>B · INTEGRANTE</t>
        </is>
      </c>
      <c r="U1808" s="11" t="inlineStr">
        <is>
          <t>DEL BANCO (se hereda)</t>
        </is>
      </c>
      <c r="V1808" s="11" t="n"/>
      <c r="W1808" s="12" t="n"/>
      <c r="X1808" s="12" t="n"/>
    </row>
    <row r="1809" ht="15" customHeight="1">
      <c r="C1809" t="inlineStr">
        <is>
          <t xml:space="preserve">PAIS DE NACIMIENTO </t>
        </is>
      </c>
      <c r="D1809" t="inlineStr">
        <is>
          <t>F4</t>
        </is>
      </c>
      <c r="E1809" t="inlineStr">
        <is>
          <t>INHERENTE</t>
        </is>
      </c>
      <c r="F1809" t="inlineStr">
        <is>
          <t>SAN BARTOLOME</t>
        </is>
      </c>
      <c r="G1809" t="inlineStr">
        <is>
          <t>BL</t>
        </is>
      </c>
      <c r="H1809" t="n">
        <v>1</v>
      </c>
      <c r="I1809" t="n">
        <v>1</v>
      </c>
      <c r="J1809" t="n">
        <v>3</v>
      </c>
      <c r="K1809" t="n">
        <v>3</v>
      </c>
      <c r="L1809" t="n">
        <v>3</v>
      </c>
      <c r="M1809" t="n">
        <v>3</v>
      </c>
      <c r="N1809" t="n">
        <v>3</v>
      </c>
      <c r="O1809" t="n">
        <v>15</v>
      </c>
      <c r="P1809" t="n">
        <v>3</v>
      </c>
      <c r="R1809" s="9" t="n">
        <v>0.03</v>
      </c>
      <c r="S1809" s="10" t="inlineStr">
        <is>
          <t>SÍ — integrante</t>
        </is>
      </c>
      <c r="T1809" s="11" t="inlineStr">
        <is>
          <t>B · INTEGRANTE</t>
        </is>
      </c>
      <c r="U1809" s="11" t="inlineStr">
        <is>
          <t>DEL BANCO (se hereda)</t>
        </is>
      </c>
      <c r="V1809" s="11" t="n"/>
      <c r="W1809" s="12" t="n"/>
      <c r="X1809" s="12" t="n"/>
    </row>
    <row r="1810" ht="15" customHeight="1">
      <c r="C1810" t="inlineStr">
        <is>
          <t xml:space="preserve">PAIS DE NACIMIENTO </t>
        </is>
      </c>
      <c r="D1810" t="inlineStr">
        <is>
          <t>F4</t>
        </is>
      </c>
      <c r="E1810" t="inlineStr">
        <is>
          <t>INHERENTE</t>
        </is>
      </c>
      <c r="F1810" t="inlineStr">
        <is>
          <t>BERMUDAS</t>
        </is>
      </c>
      <c r="G1810" t="inlineStr">
        <is>
          <t>BM</t>
        </is>
      </c>
      <c r="H1810" t="n">
        <v>3</v>
      </c>
      <c r="I1810" t="n">
        <v>3</v>
      </c>
      <c r="J1810" t="n">
        <v>3</v>
      </c>
      <c r="K1810" t="n">
        <v>9</v>
      </c>
      <c r="L1810" t="n">
        <v>9</v>
      </c>
      <c r="M1810" t="n">
        <v>9</v>
      </c>
      <c r="N1810" t="n">
        <v>9</v>
      </c>
      <c r="O1810" t="n">
        <v>15</v>
      </c>
      <c r="P1810" t="n">
        <v>3</v>
      </c>
      <c r="R1810" s="9" t="n">
        <v>0.03</v>
      </c>
      <c r="S1810" s="10" t="inlineStr">
        <is>
          <t>SÍ — integrante</t>
        </is>
      </c>
      <c r="T1810" s="11" t="inlineStr">
        <is>
          <t>B · INTEGRANTE</t>
        </is>
      </c>
      <c r="U1810" s="11" t="inlineStr">
        <is>
          <t>DEL BANCO (se hereda)</t>
        </is>
      </c>
      <c r="V1810" s="11" t="n"/>
      <c r="W1810" s="12" t="n"/>
      <c r="X1810" s="12" t="n"/>
    </row>
    <row r="1811" ht="15" customHeight="1">
      <c r="C1811" t="inlineStr">
        <is>
          <t xml:space="preserve">PAIS DE NACIMIENTO </t>
        </is>
      </c>
      <c r="D1811" t="inlineStr">
        <is>
          <t>F4</t>
        </is>
      </c>
      <c r="E1811" t="inlineStr">
        <is>
          <t>INHERENTE</t>
        </is>
      </c>
      <c r="F1811" t="inlineStr">
        <is>
          <t>BRUNEI</t>
        </is>
      </c>
      <c r="G1811" t="inlineStr">
        <is>
          <t>BN</t>
        </is>
      </c>
      <c r="H1811" t="n">
        <v>3</v>
      </c>
      <c r="I1811" t="n">
        <v>3</v>
      </c>
      <c r="J1811" t="n">
        <v>3</v>
      </c>
      <c r="K1811" t="n">
        <v>9</v>
      </c>
      <c r="L1811" t="n">
        <v>9</v>
      </c>
      <c r="M1811" t="n">
        <v>9</v>
      </c>
      <c r="N1811" t="n">
        <v>9</v>
      </c>
      <c r="O1811" t="n">
        <v>15</v>
      </c>
      <c r="P1811" t="n">
        <v>3</v>
      </c>
      <c r="R1811" s="9" t="n">
        <v>0.03</v>
      </c>
      <c r="S1811" s="10" t="inlineStr">
        <is>
          <t>SÍ — integrante</t>
        </is>
      </c>
      <c r="T1811" s="11" t="inlineStr">
        <is>
          <t>B · INTEGRANTE</t>
        </is>
      </c>
      <c r="U1811" s="11" t="inlineStr">
        <is>
          <t>DEL BANCO (se hereda)</t>
        </is>
      </c>
      <c r="V1811" s="11" t="n"/>
      <c r="W1811" s="12" t="n"/>
      <c r="X1811" s="12" t="n"/>
    </row>
    <row r="1812" ht="15" customHeight="1">
      <c r="C1812" t="inlineStr">
        <is>
          <t xml:space="preserve">PAIS DE NACIMIENTO </t>
        </is>
      </c>
      <c r="D1812" t="inlineStr">
        <is>
          <t>F4</t>
        </is>
      </c>
      <c r="E1812" t="inlineStr">
        <is>
          <t>INHERENTE</t>
        </is>
      </c>
      <c r="F1812" t="inlineStr">
        <is>
          <t>BOLIVIA</t>
        </is>
      </c>
      <c r="G1812" t="inlineStr">
        <is>
          <t>BO</t>
        </is>
      </c>
      <c r="H1812" t="n">
        <v>4</v>
      </c>
      <c r="I1812" t="n">
        <v>4</v>
      </c>
      <c r="J1812" t="n">
        <v>3</v>
      </c>
      <c r="K1812" t="n">
        <v>12</v>
      </c>
      <c r="L1812" t="n">
        <v>12</v>
      </c>
      <c r="M1812" t="n">
        <v>12</v>
      </c>
      <c r="N1812" t="n">
        <v>12</v>
      </c>
      <c r="O1812" t="n">
        <v>15</v>
      </c>
      <c r="P1812" t="n">
        <v>3</v>
      </c>
      <c r="Q1812" t="inlineStr">
        <is>
          <t>DETERMINANTE</t>
        </is>
      </c>
      <c r="R1812" s="9" t="n">
        <v>0.03</v>
      </c>
      <c r="S1812" s="10" t="inlineStr">
        <is>
          <t>SÍ — integrante</t>
        </is>
      </c>
      <c r="T1812" s="11" t="inlineStr">
        <is>
          <t>B · INTEGRANTE</t>
        </is>
      </c>
      <c r="U1812" s="11" t="inlineStr">
        <is>
          <t>DEL BANCO (se hereda)</t>
        </is>
      </c>
      <c r="V1812" s="11" t="n"/>
      <c r="W1812" s="12" t="n"/>
      <c r="X1812" s="12" t="n"/>
    </row>
    <row r="1813" ht="15" customHeight="1">
      <c r="C1813" t="inlineStr">
        <is>
          <t xml:space="preserve">PAIS DE NACIMIENTO </t>
        </is>
      </c>
      <c r="D1813" t="inlineStr">
        <is>
          <t>F4</t>
        </is>
      </c>
      <c r="E1813" t="inlineStr">
        <is>
          <t>INHERENTE</t>
        </is>
      </c>
      <c r="F1813" t="inlineStr">
        <is>
          <t>BRASIL</t>
        </is>
      </c>
      <c r="G1813" t="inlineStr">
        <is>
          <t>BR</t>
        </is>
      </c>
      <c r="H1813" t="n">
        <v>2</v>
      </c>
      <c r="I1813" t="n">
        <v>2</v>
      </c>
      <c r="J1813" t="n">
        <v>3</v>
      </c>
      <c r="K1813" t="n">
        <v>6</v>
      </c>
      <c r="L1813" t="n">
        <v>6</v>
      </c>
      <c r="M1813" t="n">
        <v>6</v>
      </c>
      <c r="N1813" t="n">
        <v>6</v>
      </c>
      <c r="O1813" t="n">
        <v>15</v>
      </c>
      <c r="P1813" t="n">
        <v>3</v>
      </c>
      <c r="R1813" s="9" t="n">
        <v>0.03</v>
      </c>
      <c r="S1813" s="10" t="inlineStr">
        <is>
          <t>SÍ — integrante</t>
        </is>
      </c>
      <c r="T1813" s="11" t="inlineStr">
        <is>
          <t>B · INTEGRANTE</t>
        </is>
      </c>
      <c r="U1813" s="11" t="inlineStr">
        <is>
          <t>DEL BANCO (se hereda)</t>
        </is>
      </c>
      <c r="V1813" s="11" t="n"/>
      <c r="W1813" s="12" t="n"/>
      <c r="X1813" s="12" t="n"/>
    </row>
    <row r="1814" ht="15" customHeight="1">
      <c r="C1814" t="inlineStr">
        <is>
          <t xml:space="preserve">PAIS DE NACIMIENTO </t>
        </is>
      </c>
      <c r="D1814" t="inlineStr">
        <is>
          <t>F4</t>
        </is>
      </c>
      <c r="E1814" t="inlineStr">
        <is>
          <t>INHERENTE</t>
        </is>
      </c>
      <c r="F1814" t="inlineStr">
        <is>
          <t>BAHAMAS</t>
        </is>
      </c>
      <c r="G1814" t="inlineStr">
        <is>
          <t>BS</t>
        </is>
      </c>
      <c r="H1814" t="n">
        <v>3</v>
      </c>
      <c r="I1814" t="n">
        <v>3</v>
      </c>
      <c r="J1814" t="n">
        <v>3</v>
      </c>
      <c r="K1814" t="n">
        <v>9</v>
      </c>
      <c r="L1814" t="n">
        <v>9</v>
      </c>
      <c r="M1814" t="n">
        <v>9</v>
      </c>
      <c r="N1814" t="n">
        <v>9</v>
      </c>
      <c r="O1814" t="n">
        <v>15</v>
      </c>
      <c r="P1814" t="n">
        <v>3</v>
      </c>
      <c r="R1814" s="9" t="n">
        <v>0.03</v>
      </c>
      <c r="S1814" s="10" t="inlineStr">
        <is>
          <t>SÍ — integrante</t>
        </is>
      </c>
      <c r="T1814" s="11" t="inlineStr">
        <is>
          <t>B · INTEGRANTE</t>
        </is>
      </c>
      <c r="U1814" s="11" t="inlineStr">
        <is>
          <t>DEL BANCO (se hereda)</t>
        </is>
      </c>
      <c r="V1814" s="11" t="n"/>
      <c r="W1814" s="12" t="n"/>
      <c r="X1814" s="12" t="n"/>
    </row>
    <row r="1815" ht="15" customHeight="1">
      <c r="C1815" t="inlineStr">
        <is>
          <t xml:space="preserve">PAIS DE NACIMIENTO </t>
        </is>
      </c>
      <c r="D1815" t="inlineStr">
        <is>
          <t>F4</t>
        </is>
      </c>
      <c r="E1815" t="inlineStr">
        <is>
          <t>INHERENTE</t>
        </is>
      </c>
      <c r="F1815" t="inlineStr">
        <is>
          <t>BHUTAN</t>
        </is>
      </c>
      <c r="G1815" t="inlineStr">
        <is>
          <t>BT</t>
        </is>
      </c>
      <c r="H1815" t="n">
        <v>1</v>
      </c>
      <c r="I1815" t="n">
        <v>1</v>
      </c>
      <c r="J1815" t="n">
        <v>3</v>
      </c>
      <c r="K1815" t="n">
        <v>3</v>
      </c>
      <c r="L1815" t="n">
        <v>3</v>
      </c>
      <c r="M1815" t="n">
        <v>3</v>
      </c>
      <c r="N1815" t="n">
        <v>3</v>
      </c>
      <c r="O1815" t="n">
        <v>15</v>
      </c>
      <c r="P1815" t="n">
        <v>3</v>
      </c>
      <c r="R1815" s="9" t="n">
        <v>0.03</v>
      </c>
      <c r="S1815" s="10" t="inlineStr">
        <is>
          <t>SÍ — integrante</t>
        </is>
      </c>
      <c r="T1815" s="11" t="inlineStr">
        <is>
          <t>B · INTEGRANTE</t>
        </is>
      </c>
      <c r="U1815" s="11" t="inlineStr">
        <is>
          <t>DEL BANCO (se hereda)</t>
        </is>
      </c>
      <c r="V1815" s="11" t="n"/>
      <c r="W1815" s="12" t="n"/>
      <c r="X1815" s="12" t="n"/>
    </row>
    <row r="1816" ht="15" customHeight="1">
      <c r="C1816" t="inlineStr">
        <is>
          <t xml:space="preserve">PAIS DE NACIMIENTO </t>
        </is>
      </c>
      <c r="D1816" t="inlineStr">
        <is>
          <t>F4</t>
        </is>
      </c>
      <c r="E1816" t="inlineStr">
        <is>
          <t>INHERENTE</t>
        </is>
      </c>
      <c r="F1816" t="inlineStr">
        <is>
          <t>ISLA BOUVET</t>
        </is>
      </c>
      <c r="G1816" t="inlineStr">
        <is>
          <t>BV</t>
        </is>
      </c>
      <c r="H1816" t="n">
        <v>1</v>
      </c>
      <c r="I1816" t="n">
        <v>1</v>
      </c>
      <c r="J1816" t="n">
        <v>3</v>
      </c>
      <c r="K1816" t="n">
        <v>3</v>
      </c>
      <c r="L1816" t="n">
        <v>3</v>
      </c>
      <c r="M1816" t="n">
        <v>3</v>
      </c>
      <c r="N1816" t="n">
        <v>3</v>
      </c>
      <c r="O1816" t="n">
        <v>15</v>
      </c>
      <c r="P1816" t="n">
        <v>3</v>
      </c>
      <c r="R1816" s="9" t="n">
        <v>0.03</v>
      </c>
      <c r="S1816" s="10" t="inlineStr">
        <is>
          <t>SÍ — integrante</t>
        </is>
      </c>
      <c r="T1816" s="11" t="inlineStr">
        <is>
          <t>B · INTEGRANTE</t>
        </is>
      </c>
      <c r="U1816" s="11" t="inlineStr">
        <is>
          <t>DEL BANCO (se hereda)</t>
        </is>
      </c>
      <c r="V1816" s="11" t="n"/>
      <c r="W1816" s="12" t="n"/>
      <c r="X1816" s="12" t="n"/>
    </row>
    <row r="1817" ht="15" customHeight="1">
      <c r="C1817" t="inlineStr">
        <is>
          <t xml:space="preserve">PAIS DE NACIMIENTO </t>
        </is>
      </c>
      <c r="D1817" t="inlineStr">
        <is>
          <t>F4</t>
        </is>
      </c>
      <c r="E1817" t="inlineStr">
        <is>
          <t>INHERENTE</t>
        </is>
      </c>
      <c r="F1817" t="inlineStr">
        <is>
          <t>BOTSWANA</t>
        </is>
      </c>
      <c r="G1817" t="inlineStr">
        <is>
          <t>BW</t>
        </is>
      </c>
      <c r="H1817" t="n">
        <v>1</v>
      </c>
      <c r="I1817" t="n">
        <v>1</v>
      </c>
      <c r="J1817" t="n">
        <v>3</v>
      </c>
      <c r="K1817" t="n">
        <v>3</v>
      </c>
      <c r="L1817" t="n">
        <v>3</v>
      </c>
      <c r="M1817" t="n">
        <v>3</v>
      </c>
      <c r="N1817" t="n">
        <v>3</v>
      </c>
      <c r="O1817" t="n">
        <v>15</v>
      </c>
      <c r="P1817" t="n">
        <v>3</v>
      </c>
      <c r="R1817" s="9" t="n">
        <v>0.03</v>
      </c>
      <c r="S1817" s="10" t="inlineStr">
        <is>
          <t>SÍ — integrante</t>
        </is>
      </c>
      <c r="T1817" s="11" t="inlineStr">
        <is>
          <t>B · INTEGRANTE</t>
        </is>
      </c>
      <c r="U1817" s="11" t="inlineStr">
        <is>
          <t>DEL BANCO (se hereda)</t>
        </is>
      </c>
      <c r="V1817" s="11" t="n"/>
      <c r="W1817" s="12" t="n"/>
      <c r="X1817" s="12" t="n"/>
    </row>
    <row r="1818" ht="15" customHeight="1">
      <c r="C1818" t="inlineStr">
        <is>
          <t xml:space="preserve">PAIS DE NACIMIENTO </t>
        </is>
      </c>
      <c r="D1818" t="inlineStr">
        <is>
          <t>F4</t>
        </is>
      </c>
      <c r="E1818" t="inlineStr">
        <is>
          <t>INHERENTE</t>
        </is>
      </c>
      <c r="F1818" t="inlineStr">
        <is>
          <t>BELARUS</t>
        </is>
      </c>
      <c r="G1818" t="inlineStr">
        <is>
          <t>BY</t>
        </is>
      </c>
      <c r="H1818" t="n">
        <v>4</v>
      </c>
      <c r="I1818" t="n">
        <v>4</v>
      </c>
      <c r="J1818" t="n">
        <v>3</v>
      </c>
      <c r="K1818" t="n">
        <v>12</v>
      </c>
      <c r="L1818" t="n">
        <v>12</v>
      </c>
      <c r="M1818" t="n">
        <v>12</v>
      </c>
      <c r="N1818" t="n">
        <v>12</v>
      </c>
      <c r="O1818" t="n">
        <v>15</v>
      </c>
      <c r="P1818" t="n">
        <v>3</v>
      </c>
      <c r="R1818" s="9" t="n">
        <v>0.03</v>
      </c>
      <c r="S1818" s="10" t="inlineStr">
        <is>
          <t>SÍ — integrante</t>
        </is>
      </c>
      <c r="T1818" s="11" t="inlineStr">
        <is>
          <t>B · INTEGRANTE</t>
        </is>
      </c>
      <c r="U1818" s="11" t="inlineStr">
        <is>
          <t>DEL BANCO (se hereda)</t>
        </is>
      </c>
      <c r="V1818" s="11" t="n"/>
      <c r="W1818" s="12" t="n"/>
      <c r="X1818" s="12" t="n"/>
    </row>
    <row r="1819" ht="15" customHeight="1">
      <c r="C1819" t="inlineStr">
        <is>
          <t xml:space="preserve">PAIS DE NACIMIENTO </t>
        </is>
      </c>
      <c r="D1819" t="inlineStr">
        <is>
          <t>F4</t>
        </is>
      </c>
      <c r="E1819" t="inlineStr">
        <is>
          <t>INHERENTE</t>
        </is>
      </c>
      <c r="F1819" t="inlineStr">
        <is>
          <t>BELICE</t>
        </is>
      </c>
      <c r="G1819" t="inlineStr">
        <is>
          <t>BZ</t>
        </is>
      </c>
      <c r="H1819" t="n">
        <v>3</v>
      </c>
      <c r="I1819" t="n">
        <v>3</v>
      </c>
      <c r="J1819" t="n">
        <v>3</v>
      </c>
      <c r="K1819" t="n">
        <v>9</v>
      </c>
      <c r="L1819" t="n">
        <v>9</v>
      </c>
      <c r="M1819" t="n">
        <v>9</v>
      </c>
      <c r="N1819" t="n">
        <v>9</v>
      </c>
      <c r="O1819" t="n">
        <v>15</v>
      </c>
      <c r="P1819" t="n">
        <v>3</v>
      </c>
      <c r="R1819" s="9" t="n">
        <v>0.03</v>
      </c>
      <c r="S1819" s="10" t="inlineStr">
        <is>
          <t>SÍ — integrante</t>
        </is>
      </c>
      <c r="T1819" s="11" t="inlineStr">
        <is>
          <t>B · INTEGRANTE</t>
        </is>
      </c>
      <c r="U1819" s="11" t="inlineStr">
        <is>
          <t>DEL BANCO (se hereda)</t>
        </is>
      </c>
      <c r="V1819" s="11" t="n"/>
      <c r="W1819" s="12" t="n"/>
      <c r="X1819" s="12" t="n"/>
    </row>
    <row r="1820" ht="15" customHeight="1">
      <c r="C1820" t="inlineStr">
        <is>
          <t xml:space="preserve">PAIS DE NACIMIENTO </t>
        </is>
      </c>
      <c r="D1820" t="inlineStr">
        <is>
          <t>F4</t>
        </is>
      </c>
      <c r="E1820" t="inlineStr">
        <is>
          <t>INHERENTE</t>
        </is>
      </c>
      <c r="F1820" t="inlineStr">
        <is>
          <t>CANADA</t>
        </is>
      </c>
      <c r="G1820" t="inlineStr">
        <is>
          <t>CA</t>
        </is>
      </c>
      <c r="H1820" t="n">
        <v>1</v>
      </c>
      <c r="I1820" t="n">
        <v>1</v>
      </c>
      <c r="J1820" t="n">
        <v>3</v>
      </c>
      <c r="K1820" t="n">
        <v>3</v>
      </c>
      <c r="L1820" t="n">
        <v>3</v>
      </c>
      <c r="M1820" t="n">
        <v>3</v>
      </c>
      <c r="N1820" t="n">
        <v>3</v>
      </c>
      <c r="O1820" t="n">
        <v>15</v>
      </c>
      <c r="P1820" t="n">
        <v>3</v>
      </c>
      <c r="R1820" s="9" t="n">
        <v>0.03</v>
      </c>
      <c r="S1820" s="10" t="inlineStr">
        <is>
          <t>SÍ — integrante</t>
        </is>
      </c>
      <c r="T1820" s="11" t="inlineStr">
        <is>
          <t>B · INTEGRANTE</t>
        </is>
      </c>
      <c r="U1820" s="11" t="inlineStr">
        <is>
          <t>DEL BANCO (se hereda)</t>
        </is>
      </c>
      <c r="V1820" s="11" t="n"/>
      <c r="W1820" s="12" t="n"/>
      <c r="X1820" s="12" t="n"/>
    </row>
    <row r="1821" ht="15" customHeight="1">
      <c r="C1821" t="inlineStr">
        <is>
          <t xml:space="preserve">PAIS DE NACIMIENTO </t>
        </is>
      </c>
      <c r="D1821" t="inlineStr">
        <is>
          <t>F4</t>
        </is>
      </c>
      <c r="E1821" t="inlineStr">
        <is>
          <t>INHERENTE</t>
        </is>
      </c>
      <c r="F1821" t="inlineStr">
        <is>
          <t>ISLAS COCOS O KELLIN</t>
        </is>
      </c>
      <c r="G1821" t="inlineStr">
        <is>
          <t>CC</t>
        </is>
      </c>
      <c r="H1821" t="n">
        <v>1</v>
      </c>
      <c r="I1821" t="n">
        <v>1</v>
      </c>
      <c r="J1821" t="n">
        <v>3</v>
      </c>
      <c r="K1821" t="n">
        <v>3</v>
      </c>
      <c r="L1821" t="n">
        <v>3</v>
      </c>
      <c r="M1821" t="n">
        <v>3</v>
      </c>
      <c r="N1821" t="n">
        <v>3</v>
      </c>
      <c r="O1821" t="n">
        <v>15</v>
      </c>
      <c r="P1821" t="n">
        <v>3</v>
      </c>
      <c r="R1821" s="9" t="n">
        <v>0.03</v>
      </c>
      <c r="S1821" s="10" t="inlineStr">
        <is>
          <t>SÍ — integrante</t>
        </is>
      </c>
      <c r="T1821" s="11" t="inlineStr">
        <is>
          <t>B · INTEGRANTE</t>
        </is>
      </c>
      <c r="U1821" s="11" t="inlineStr">
        <is>
          <t>DEL BANCO (se hereda)</t>
        </is>
      </c>
      <c r="V1821" s="11" t="n"/>
      <c r="W1821" s="12" t="n"/>
      <c r="X1821" s="12" t="n"/>
    </row>
    <row r="1822" ht="15" customHeight="1">
      <c r="C1822" t="inlineStr">
        <is>
          <t xml:space="preserve">PAIS DE NACIMIENTO </t>
        </is>
      </c>
      <c r="D1822" t="inlineStr">
        <is>
          <t>F4</t>
        </is>
      </c>
      <c r="E1822" t="inlineStr">
        <is>
          <t>INHERENTE</t>
        </is>
      </c>
      <c r="F1822" t="inlineStr">
        <is>
          <t>REP. DE CONGO</t>
        </is>
      </c>
      <c r="G1822" t="inlineStr">
        <is>
          <t>CD</t>
        </is>
      </c>
      <c r="H1822" t="n">
        <v>4</v>
      </c>
      <c r="I1822" t="n">
        <v>4</v>
      </c>
      <c r="J1822" t="n">
        <v>3</v>
      </c>
      <c r="K1822" t="n">
        <v>12</v>
      </c>
      <c r="L1822" t="n">
        <v>12</v>
      </c>
      <c r="M1822" t="n">
        <v>12</v>
      </c>
      <c r="N1822" t="n">
        <v>12</v>
      </c>
      <c r="O1822" t="n">
        <v>15</v>
      </c>
      <c r="P1822" t="n">
        <v>3</v>
      </c>
      <c r="Q1822" t="inlineStr">
        <is>
          <t>DETERMINANTE</t>
        </is>
      </c>
      <c r="R1822" s="9" t="n">
        <v>0.03</v>
      </c>
      <c r="S1822" s="10" t="inlineStr">
        <is>
          <t>SÍ — integrante</t>
        </is>
      </c>
      <c r="T1822" s="11" t="inlineStr">
        <is>
          <t>B · INTEGRANTE</t>
        </is>
      </c>
      <c r="U1822" s="11" t="inlineStr">
        <is>
          <t>DEL BANCO (se hereda)</t>
        </is>
      </c>
      <c r="V1822" s="11" t="n"/>
      <c r="W1822" s="12" t="n"/>
      <c r="X1822" s="12" t="n"/>
    </row>
    <row r="1823" ht="15" customHeight="1">
      <c r="C1823" t="inlineStr">
        <is>
          <t xml:space="preserve">PAIS DE NACIMIENTO </t>
        </is>
      </c>
      <c r="D1823" t="inlineStr">
        <is>
          <t>F4</t>
        </is>
      </c>
      <c r="E1823" t="inlineStr">
        <is>
          <t>INHERENTE</t>
        </is>
      </c>
      <c r="F1823" t="inlineStr">
        <is>
          <t>CENT AFR</t>
        </is>
      </c>
      <c r="G1823" t="inlineStr">
        <is>
          <t>CF</t>
        </is>
      </c>
      <c r="H1823" t="n">
        <v>4</v>
      </c>
      <c r="I1823" t="n">
        <v>4</v>
      </c>
      <c r="J1823" t="n">
        <v>3</v>
      </c>
      <c r="K1823" t="n">
        <v>12</v>
      </c>
      <c r="L1823" t="n">
        <v>12</v>
      </c>
      <c r="M1823" t="n">
        <v>12</v>
      </c>
      <c r="N1823" t="n">
        <v>12</v>
      </c>
      <c r="O1823" t="n">
        <v>15</v>
      </c>
      <c r="P1823" t="n">
        <v>3</v>
      </c>
      <c r="R1823" s="9" t="n">
        <v>0.03</v>
      </c>
      <c r="S1823" s="10" t="inlineStr">
        <is>
          <t>SÍ — integrante</t>
        </is>
      </c>
      <c r="T1823" s="11" t="inlineStr">
        <is>
          <t>B · INTEGRANTE</t>
        </is>
      </c>
      <c r="U1823" s="11" t="inlineStr">
        <is>
          <t>DEL BANCO (se hereda)</t>
        </is>
      </c>
      <c r="V1823" s="11" t="n"/>
      <c r="W1823" s="12" t="n"/>
      <c r="X1823" s="12" t="n"/>
    </row>
    <row r="1824" ht="15" customHeight="1">
      <c r="C1824" t="inlineStr">
        <is>
          <t xml:space="preserve">PAIS DE NACIMIENTO </t>
        </is>
      </c>
      <c r="D1824" t="inlineStr">
        <is>
          <t>F4</t>
        </is>
      </c>
      <c r="E1824" t="inlineStr">
        <is>
          <t>INHERENTE</t>
        </is>
      </c>
      <c r="F1824" t="inlineStr">
        <is>
          <t>CONGO</t>
        </is>
      </c>
      <c r="G1824" t="inlineStr">
        <is>
          <t>CG</t>
        </is>
      </c>
      <c r="H1824" t="n">
        <v>4</v>
      </c>
      <c r="I1824" t="n">
        <v>4</v>
      </c>
      <c r="J1824" t="n">
        <v>3</v>
      </c>
      <c r="K1824" t="n">
        <v>12</v>
      </c>
      <c r="L1824" t="n">
        <v>12</v>
      </c>
      <c r="M1824" t="n">
        <v>12</v>
      </c>
      <c r="N1824" t="n">
        <v>12</v>
      </c>
      <c r="O1824" t="n">
        <v>15</v>
      </c>
      <c r="P1824" t="n">
        <v>3</v>
      </c>
      <c r="R1824" s="9" t="n">
        <v>0.03</v>
      </c>
      <c r="S1824" s="10" t="inlineStr">
        <is>
          <t>SÍ — integrante</t>
        </is>
      </c>
      <c r="T1824" s="11" t="inlineStr">
        <is>
          <t>B · INTEGRANTE</t>
        </is>
      </c>
      <c r="U1824" s="11" t="inlineStr">
        <is>
          <t>DEL BANCO (se hereda)</t>
        </is>
      </c>
      <c r="V1824" s="11" t="n"/>
      <c r="W1824" s="12" t="n"/>
      <c r="X1824" s="12" t="n"/>
    </row>
    <row r="1825" ht="15" customHeight="1">
      <c r="C1825" t="inlineStr">
        <is>
          <t xml:space="preserve">PAIS DE NACIMIENTO </t>
        </is>
      </c>
      <c r="D1825" t="inlineStr">
        <is>
          <t>F4</t>
        </is>
      </c>
      <c r="E1825" t="inlineStr">
        <is>
          <t>INHERENTE</t>
        </is>
      </c>
      <c r="F1825" t="inlineStr">
        <is>
          <t>SUIZA</t>
        </is>
      </c>
      <c r="G1825" t="inlineStr">
        <is>
          <t>CH</t>
        </is>
      </c>
      <c r="H1825" t="n">
        <v>1</v>
      </c>
      <c r="I1825" t="n">
        <v>1</v>
      </c>
      <c r="J1825" t="n">
        <v>3</v>
      </c>
      <c r="K1825" t="n">
        <v>3</v>
      </c>
      <c r="L1825" t="n">
        <v>3</v>
      </c>
      <c r="M1825" t="n">
        <v>3</v>
      </c>
      <c r="N1825" t="n">
        <v>3</v>
      </c>
      <c r="O1825" t="n">
        <v>15</v>
      </c>
      <c r="P1825" t="n">
        <v>3</v>
      </c>
      <c r="R1825" s="9" t="n">
        <v>0.03</v>
      </c>
      <c r="S1825" s="10" t="inlineStr">
        <is>
          <t>SÍ — integrante</t>
        </is>
      </c>
      <c r="T1825" s="11" t="inlineStr">
        <is>
          <t>B · INTEGRANTE</t>
        </is>
      </c>
      <c r="U1825" s="11" t="inlineStr">
        <is>
          <t>DEL BANCO (se hereda)</t>
        </is>
      </c>
      <c r="V1825" s="11" t="n"/>
      <c r="W1825" s="12" t="n"/>
      <c r="X1825" s="12" t="n"/>
    </row>
    <row r="1826" ht="15" customHeight="1">
      <c r="C1826" t="inlineStr">
        <is>
          <t xml:space="preserve">PAIS DE NACIMIENTO </t>
        </is>
      </c>
      <c r="D1826" t="inlineStr">
        <is>
          <t>F4</t>
        </is>
      </c>
      <c r="E1826" t="inlineStr">
        <is>
          <t>INHERENTE</t>
        </is>
      </c>
      <c r="F1826" t="inlineStr">
        <is>
          <t>COSTA DE MARFIL</t>
        </is>
      </c>
      <c r="G1826" t="inlineStr">
        <is>
          <t>CI</t>
        </is>
      </c>
      <c r="H1826" t="n">
        <v>4</v>
      </c>
      <c r="I1826" t="n">
        <v>4</v>
      </c>
      <c r="J1826" t="n">
        <v>3</v>
      </c>
      <c r="K1826" t="n">
        <v>12</v>
      </c>
      <c r="L1826" t="n">
        <v>12</v>
      </c>
      <c r="M1826" t="n">
        <v>12</v>
      </c>
      <c r="N1826" t="n">
        <v>12</v>
      </c>
      <c r="O1826" t="n">
        <v>15</v>
      </c>
      <c r="P1826" t="n">
        <v>3</v>
      </c>
      <c r="Q1826" t="inlineStr">
        <is>
          <t>DETERMINANTE</t>
        </is>
      </c>
      <c r="R1826" s="9" t="n">
        <v>0.03</v>
      </c>
      <c r="S1826" s="10" t="inlineStr">
        <is>
          <t>SÍ — integrante</t>
        </is>
      </c>
      <c r="T1826" s="11" t="inlineStr">
        <is>
          <t>B · INTEGRANTE</t>
        </is>
      </c>
      <c r="U1826" s="11" t="inlineStr">
        <is>
          <t>DEL BANCO (se hereda)</t>
        </is>
      </c>
      <c r="V1826" s="11" t="n"/>
      <c r="W1826" s="12" t="n"/>
      <c r="X1826" s="12" t="n"/>
    </row>
    <row r="1827" ht="15" customHeight="1">
      <c r="C1827" t="inlineStr">
        <is>
          <t xml:space="preserve">PAIS DE NACIMIENTO </t>
        </is>
      </c>
      <c r="D1827" t="inlineStr">
        <is>
          <t>F4</t>
        </is>
      </c>
      <c r="E1827" t="inlineStr">
        <is>
          <t>INHERENTE</t>
        </is>
      </c>
      <c r="F1827" t="inlineStr">
        <is>
          <t>ISLAS COOK</t>
        </is>
      </c>
      <c r="G1827" t="inlineStr">
        <is>
          <t>CK</t>
        </is>
      </c>
      <c r="H1827" t="n">
        <v>3</v>
      </c>
      <c r="I1827" t="n">
        <v>3</v>
      </c>
      <c r="J1827" t="n">
        <v>3</v>
      </c>
      <c r="K1827" t="n">
        <v>9</v>
      </c>
      <c r="L1827" t="n">
        <v>9</v>
      </c>
      <c r="M1827" t="n">
        <v>9</v>
      </c>
      <c r="N1827" t="n">
        <v>9</v>
      </c>
      <c r="O1827" t="n">
        <v>15</v>
      </c>
      <c r="P1827" t="n">
        <v>3</v>
      </c>
      <c r="R1827" s="9" t="n">
        <v>0.03</v>
      </c>
      <c r="S1827" s="10" t="inlineStr">
        <is>
          <t>SÍ — integrante</t>
        </is>
      </c>
      <c r="T1827" s="11" t="inlineStr">
        <is>
          <t>B · INTEGRANTE</t>
        </is>
      </c>
      <c r="U1827" s="11" t="inlineStr">
        <is>
          <t>DEL BANCO (se hereda)</t>
        </is>
      </c>
      <c r="V1827" s="11" t="n"/>
      <c r="W1827" s="12" t="n"/>
      <c r="X1827" s="12" t="n"/>
    </row>
    <row r="1828" ht="15" customHeight="1">
      <c r="C1828" t="inlineStr">
        <is>
          <t xml:space="preserve">PAIS DE NACIMIENTO </t>
        </is>
      </c>
      <c r="D1828" t="inlineStr">
        <is>
          <t>F4</t>
        </is>
      </c>
      <c r="E1828" t="inlineStr">
        <is>
          <t>INHERENTE</t>
        </is>
      </c>
      <c r="F1828" t="inlineStr">
        <is>
          <t>CHILE</t>
        </is>
      </c>
      <c r="G1828" t="inlineStr">
        <is>
          <t>CL</t>
        </is>
      </c>
      <c r="H1828" t="n">
        <v>1</v>
      </c>
      <c r="I1828" t="n">
        <v>1</v>
      </c>
      <c r="J1828" t="n">
        <v>3</v>
      </c>
      <c r="K1828" t="n">
        <v>3</v>
      </c>
      <c r="L1828" t="n">
        <v>3</v>
      </c>
      <c r="M1828" t="n">
        <v>3</v>
      </c>
      <c r="N1828" t="n">
        <v>3</v>
      </c>
      <c r="O1828" t="n">
        <v>15</v>
      </c>
      <c r="P1828" t="n">
        <v>3</v>
      </c>
      <c r="R1828" s="9" t="n">
        <v>0.03</v>
      </c>
      <c r="S1828" s="10" t="inlineStr">
        <is>
          <t>SÍ — integrante</t>
        </is>
      </c>
      <c r="T1828" s="11" t="inlineStr">
        <is>
          <t>B · INTEGRANTE</t>
        </is>
      </c>
      <c r="U1828" s="11" t="inlineStr">
        <is>
          <t>DEL BANCO (se hereda)</t>
        </is>
      </c>
      <c r="V1828" s="11" t="n"/>
      <c r="W1828" s="12" t="n"/>
      <c r="X1828" s="12" t="n"/>
    </row>
    <row r="1829" ht="15" customHeight="1">
      <c r="C1829" t="inlineStr">
        <is>
          <t xml:space="preserve">PAIS DE NACIMIENTO </t>
        </is>
      </c>
      <c r="D1829" t="inlineStr">
        <is>
          <t>F4</t>
        </is>
      </c>
      <c r="E1829" t="inlineStr">
        <is>
          <t>INHERENTE</t>
        </is>
      </c>
      <c r="F1829" t="inlineStr">
        <is>
          <t>CAMERUN</t>
        </is>
      </c>
      <c r="G1829" t="inlineStr">
        <is>
          <t>CM</t>
        </is>
      </c>
      <c r="H1829" t="n">
        <v>4</v>
      </c>
      <c r="I1829" t="n">
        <v>4</v>
      </c>
      <c r="J1829" t="n">
        <v>3</v>
      </c>
      <c r="K1829" t="n">
        <v>12</v>
      </c>
      <c r="L1829" t="n">
        <v>12</v>
      </c>
      <c r="M1829" t="n">
        <v>12</v>
      </c>
      <c r="N1829" t="n">
        <v>12</v>
      </c>
      <c r="O1829" t="n">
        <v>15</v>
      </c>
      <c r="P1829" t="n">
        <v>3</v>
      </c>
      <c r="Q1829" t="inlineStr">
        <is>
          <t>DETERMINANTE</t>
        </is>
      </c>
      <c r="R1829" s="9" t="n">
        <v>0.03</v>
      </c>
      <c r="S1829" s="10" t="inlineStr">
        <is>
          <t>SÍ — integrante</t>
        </is>
      </c>
      <c r="T1829" s="11" t="inlineStr">
        <is>
          <t>B · INTEGRANTE</t>
        </is>
      </c>
      <c r="U1829" s="11" t="inlineStr">
        <is>
          <t>DEL BANCO (se hereda)</t>
        </is>
      </c>
      <c r="V1829" s="11" t="n"/>
      <c r="W1829" s="12" t="n"/>
      <c r="X1829" s="12" t="n"/>
    </row>
    <row r="1830" ht="15" customHeight="1">
      <c r="C1830" t="inlineStr">
        <is>
          <t xml:space="preserve">PAIS DE NACIMIENTO </t>
        </is>
      </c>
      <c r="D1830" t="inlineStr">
        <is>
          <t>F4</t>
        </is>
      </c>
      <c r="E1830" t="inlineStr">
        <is>
          <t>INHERENTE</t>
        </is>
      </c>
      <c r="F1830" t="inlineStr">
        <is>
          <t>CHINA</t>
        </is>
      </c>
      <c r="G1830" t="inlineStr">
        <is>
          <t>CN</t>
        </is>
      </c>
      <c r="H1830" t="n">
        <v>4</v>
      </c>
      <c r="I1830" t="n">
        <v>4</v>
      </c>
      <c r="J1830" t="n">
        <v>3</v>
      </c>
      <c r="K1830" t="n">
        <v>12</v>
      </c>
      <c r="L1830" t="n">
        <v>12</v>
      </c>
      <c r="M1830" t="n">
        <v>12</v>
      </c>
      <c r="N1830" t="n">
        <v>12</v>
      </c>
      <c r="O1830" t="n">
        <v>15</v>
      </c>
      <c r="P1830" t="n">
        <v>3</v>
      </c>
      <c r="R1830" s="9" t="n">
        <v>0.03</v>
      </c>
      <c r="S1830" s="10" t="inlineStr">
        <is>
          <t>SÍ — integrante</t>
        </is>
      </c>
      <c r="T1830" s="11" t="inlineStr">
        <is>
          <t>B · INTEGRANTE</t>
        </is>
      </c>
      <c r="U1830" s="11" t="inlineStr">
        <is>
          <t>DEL BANCO (se hereda)</t>
        </is>
      </c>
      <c r="V1830" s="11" t="n"/>
      <c r="W1830" s="12" t="n"/>
      <c r="X1830" s="12" t="n"/>
    </row>
    <row r="1831" ht="15" customHeight="1">
      <c r="C1831" t="inlineStr">
        <is>
          <t xml:space="preserve">PAIS DE NACIMIENTO </t>
        </is>
      </c>
      <c r="D1831" t="inlineStr">
        <is>
          <t>F4</t>
        </is>
      </c>
      <c r="E1831" t="inlineStr">
        <is>
          <t>INHERENTE</t>
        </is>
      </c>
      <c r="F1831" t="inlineStr">
        <is>
          <t>COLOMBIA</t>
        </is>
      </c>
      <c r="G1831" t="inlineStr">
        <is>
          <t>CO</t>
        </is>
      </c>
      <c r="H1831" t="n">
        <v>2</v>
      </c>
      <c r="I1831" t="n">
        <v>2</v>
      </c>
      <c r="J1831" t="n">
        <v>3</v>
      </c>
      <c r="K1831" t="n">
        <v>6</v>
      </c>
      <c r="L1831" t="n">
        <v>6</v>
      </c>
      <c r="M1831" t="n">
        <v>6</v>
      </c>
      <c r="N1831" t="n">
        <v>6</v>
      </c>
      <c r="O1831" t="n">
        <v>15</v>
      </c>
      <c r="P1831" t="n">
        <v>3</v>
      </c>
      <c r="R1831" s="9" t="n">
        <v>0.03</v>
      </c>
      <c r="S1831" s="10" t="inlineStr">
        <is>
          <t>SÍ — integrante</t>
        </is>
      </c>
      <c r="T1831" s="11" t="inlineStr">
        <is>
          <t>B · INTEGRANTE</t>
        </is>
      </c>
      <c r="U1831" s="11" t="inlineStr">
        <is>
          <t>DEL BANCO (se hereda)</t>
        </is>
      </c>
      <c r="V1831" s="11" t="n"/>
      <c r="W1831" s="12" t="n"/>
      <c r="X1831" s="12" t="n"/>
    </row>
    <row r="1832" ht="15" customHeight="1">
      <c r="C1832" t="inlineStr">
        <is>
          <t xml:space="preserve">PAIS DE NACIMIENTO </t>
        </is>
      </c>
      <c r="D1832" t="inlineStr">
        <is>
          <t>F4</t>
        </is>
      </c>
      <c r="E1832" t="inlineStr">
        <is>
          <t>INHERENTE</t>
        </is>
      </c>
      <c r="F1832" t="inlineStr">
        <is>
          <t>COSTA RICA</t>
        </is>
      </c>
      <c r="G1832" t="inlineStr">
        <is>
          <t>CR</t>
        </is>
      </c>
      <c r="H1832" t="n">
        <v>1</v>
      </c>
      <c r="I1832" t="n">
        <v>1</v>
      </c>
      <c r="J1832" t="n">
        <v>3</v>
      </c>
      <c r="K1832" t="n">
        <v>3</v>
      </c>
      <c r="L1832" t="n">
        <v>3</v>
      </c>
      <c r="M1832" t="n">
        <v>3</v>
      </c>
      <c r="N1832" t="n">
        <v>3</v>
      </c>
      <c r="O1832" t="n">
        <v>15</v>
      </c>
      <c r="P1832" t="n">
        <v>3</v>
      </c>
      <c r="R1832" s="9" t="n">
        <v>0.03</v>
      </c>
      <c r="S1832" s="10" t="inlineStr">
        <is>
          <t>SÍ — integrante</t>
        </is>
      </c>
      <c r="T1832" s="11" t="inlineStr">
        <is>
          <t>B · INTEGRANTE</t>
        </is>
      </c>
      <c r="U1832" s="11" t="inlineStr">
        <is>
          <t>DEL BANCO (se hereda)</t>
        </is>
      </c>
      <c r="V1832" s="11" t="n"/>
      <c r="W1832" s="12" t="n"/>
      <c r="X1832" s="12" t="n"/>
    </row>
    <row r="1833" ht="15" customHeight="1">
      <c r="C1833" t="inlineStr">
        <is>
          <t xml:space="preserve">PAIS DE NACIMIENTO </t>
        </is>
      </c>
      <c r="D1833" t="inlineStr">
        <is>
          <t>F4</t>
        </is>
      </c>
      <c r="E1833" t="inlineStr">
        <is>
          <t>INHERENTE</t>
        </is>
      </c>
      <c r="F1833" t="inlineStr">
        <is>
          <t>CUBA</t>
        </is>
      </c>
      <c r="G1833" t="inlineStr">
        <is>
          <t>CU</t>
        </is>
      </c>
      <c r="H1833" t="n">
        <v>4</v>
      </c>
      <c r="I1833" t="n">
        <v>4</v>
      </c>
      <c r="J1833" t="n">
        <v>3</v>
      </c>
      <c r="K1833" t="n">
        <v>12</v>
      </c>
      <c r="L1833" t="n">
        <v>12</v>
      </c>
      <c r="M1833" t="n">
        <v>12</v>
      </c>
      <c r="N1833" t="n">
        <v>12</v>
      </c>
      <c r="O1833" t="n">
        <v>15</v>
      </c>
      <c r="P1833" t="n">
        <v>3</v>
      </c>
      <c r="R1833" s="9" t="n">
        <v>0.03</v>
      </c>
      <c r="S1833" s="10" t="inlineStr">
        <is>
          <t>SÍ — integrante</t>
        </is>
      </c>
      <c r="T1833" s="11" t="inlineStr">
        <is>
          <t>B · INTEGRANTE</t>
        </is>
      </c>
      <c r="U1833" s="11" t="inlineStr">
        <is>
          <t>DEL BANCO (se hereda)</t>
        </is>
      </c>
      <c r="V1833" s="11" t="n"/>
      <c r="W1833" s="12" t="n"/>
      <c r="X1833" s="12" t="n"/>
    </row>
    <row r="1834" ht="15" customHeight="1">
      <c r="C1834" t="inlineStr">
        <is>
          <t xml:space="preserve">PAIS DE NACIMIENTO </t>
        </is>
      </c>
      <c r="D1834" t="inlineStr">
        <is>
          <t>F4</t>
        </is>
      </c>
      <c r="E1834" t="inlineStr">
        <is>
          <t>INHERENTE</t>
        </is>
      </c>
      <c r="F1834" t="inlineStr">
        <is>
          <t>CABO VERDE</t>
        </is>
      </c>
      <c r="G1834" t="inlineStr">
        <is>
          <t>CV</t>
        </is>
      </c>
      <c r="H1834" t="n">
        <v>2</v>
      </c>
      <c r="I1834" t="n">
        <v>2</v>
      </c>
      <c r="J1834" t="n">
        <v>3</v>
      </c>
      <c r="K1834" t="n">
        <v>6</v>
      </c>
      <c r="L1834" t="n">
        <v>6</v>
      </c>
      <c r="M1834" t="n">
        <v>6</v>
      </c>
      <c r="N1834" t="n">
        <v>6</v>
      </c>
      <c r="O1834" t="n">
        <v>15</v>
      </c>
      <c r="P1834" t="n">
        <v>3</v>
      </c>
      <c r="R1834" s="9" t="n">
        <v>0.03</v>
      </c>
      <c r="S1834" s="10" t="inlineStr">
        <is>
          <t>SÍ — integrante</t>
        </is>
      </c>
      <c r="T1834" s="11" t="inlineStr">
        <is>
          <t>B · INTEGRANTE</t>
        </is>
      </c>
      <c r="U1834" s="11" t="inlineStr">
        <is>
          <t>DEL BANCO (se hereda)</t>
        </is>
      </c>
      <c r="V1834" s="11" t="n"/>
      <c r="W1834" s="12" t="n"/>
      <c r="X1834" s="12" t="n"/>
    </row>
    <row r="1835" ht="15" customHeight="1">
      <c r="C1835" t="inlineStr">
        <is>
          <t xml:space="preserve">PAIS DE NACIMIENTO </t>
        </is>
      </c>
      <c r="D1835" t="inlineStr">
        <is>
          <t>F4</t>
        </is>
      </c>
      <c r="E1835" t="inlineStr">
        <is>
          <t>INHERENTE</t>
        </is>
      </c>
      <c r="F1835" t="inlineStr">
        <is>
          <t>CURACAO</t>
        </is>
      </c>
      <c r="G1835" t="inlineStr">
        <is>
          <t>CW</t>
        </is>
      </c>
      <c r="H1835" t="n">
        <v>3</v>
      </c>
      <c r="I1835" t="n">
        <v>3</v>
      </c>
      <c r="J1835" t="n">
        <v>3</v>
      </c>
      <c r="K1835" t="n">
        <v>9</v>
      </c>
      <c r="L1835" t="n">
        <v>9</v>
      </c>
      <c r="M1835" t="n">
        <v>9</v>
      </c>
      <c r="N1835" t="n">
        <v>9</v>
      </c>
      <c r="O1835" t="n">
        <v>15</v>
      </c>
      <c r="P1835" t="n">
        <v>3</v>
      </c>
      <c r="R1835" s="9" t="n">
        <v>0.03</v>
      </c>
      <c r="S1835" s="10" t="inlineStr">
        <is>
          <t>SÍ — integrante</t>
        </is>
      </c>
      <c r="T1835" s="11" t="inlineStr">
        <is>
          <t>B · INTEGRANTE</t>
        </is>
      </c>
      <c r="U1835" s="11" t="inlineStr">
        <is>
          <t>DEL BANCO (se hereda)</t>
        </is>
      </c>
      <c r="V1835" s="11" t="n"/>
      <c r="W1835" s="12" t="n"/>
      <c r="X1835" s="12" t="n"/>
    </row>
    <row r="1836" ht="15" customHeight="1">
      <c r="C1836" t="inlineStr">
        <is>
          <t xml:space="preserve">PAIS DE NACIMIENTO </t>
        </is>
      </c>
      <c r="D1836" t="inlineStr">
        <is>
          <t>F4</t>
        </is>
      </c>
      <c r="E1836" t="inlineStr">
        <is>
          <t>INHERENTE</t>
        </is>
      </c>
      <c r="F1836" t="inlineStr">
        <is>
          <t>ISLA CHRISTMAS</t>
        </is>
      </c>
      <c r="G1836" t="inlineStr">
        <is>
          <t>CX</t>
        </is>
      </c>
      <c r="H1836" t="n">
        <v>1</v>
      </c>
      <c r="I1836" t="n">
        <v>1</v>
      </c>
      <c r="J1836" t="n">
        <v>3</v>
      </c>
      <c r="K1836" t="n">
        <v>3</v>
      </c>
      <c r="L1836" t="n">
        <v>3</v>
      </c>
      <c r="M1836" t="n">
        <v>3</v>
      </c>
      <c r="N1836" t="n">
        <v>3</v>
      </c>
      <c r="O1836" t="n">
        <v>15</v>
      </c>
      <c r="P1836" t="n">
        <v>3</v>
      </c>
      <c r="R1836" s="9" t="n">
        <v>0.03</v>
      </c>
      <c r="S1836" s="10" t="inlineStr">
        <is>
          <t>SÍ — integrante</t>
        </is>
      </c>
      <c r="T1836" s="11" t="inlineStr">
        <is>
          <t>B · INTEGRANTE</t>
        </is>
      </c>
      <c r="U1836" s="11" t="inlineStr">
        <is>
          <t>DEL BANCO (se hereda)</t>
        </is>
      </c>
      <c r="V1836" s="11" t="n"/>
      <c r="W1836" s="12" t="n"/>
      <c r="X1836" s="12" t="n"/>
    </row>
    <row r="1837" ht="15" customHeight="1">
      <c r="C1837" t="inlineStr">
        <is>
          <t xml:space="preserve">PAIS DE NACIMIENTO </t>
        </is>
      </c>
      <c r="D1837" t="inlineStr">
        <is>
          <t>F4</t>
        </is>
      </c>
      <c r="E1837" t="inlineStr">
        <is>
          <t>INHERENTE</t>
        </is>
      </c>
      <c r="F1837" t="inlineStr">
        <is>
          <t>CHIPRE</t>
        </is>
      </c>
      <c r="G1837" t="inlineStr">
        <is>
          <t>CY</t>
        </is>
      </c>
      <c r="H1837" t="n">
        <v>1</v>
      </c>
      <c r="I1837" t="n">
        <v>1</v>
      </c>
      <c r="J1837" t="n">
        <v>3</v>
      </c>
      <c r="K1837" t="n">
        <v>3</v>
      </c>
      <c r="L1837" t="n">
        <v>3</v>
      </c>
      <c r="M1837" t="n">
        <v>3</v>
      </c>
      <c r="N1837" t="n">
        <v>3</v>
      </c>
      <c r="O1837" t="n">
        <v>15</v>
      </c>
      <c r="P1837" t="n">
        <v>3</v>
      </c>
      <c r="R1837" s="9" t="n">
        <v>0.03</v>
      </c>
      <c r="S1837" s="10" t="inlineStr">
        <is>
          <t>SÍ — integrante</t>
        </is>
      </c>
      <c r="T1837" s="11" t="inlineStr">
        <is>
          <t>B · INTEGRANTE</t>
        </is>
      </c>
      <c r="U1837" s="11" t="inlineStr">
        <is>
          <t>DEL BANCO (se hereda)</t>
        </is>
      </c>
      <c r="V1837" s="11" t="n"/>
      <c r="W1837" s="12" t="n"/>
      <c r="X1837" s="12" t="n"/>
    </row>
    <row r="1838" ht="15" customHeight="1">
      <c r="C1838" t="inlineStr">
        <is>
          <t xml:space="preserve">PAIS DE NACIMIENTO </t>
        </is>
      </c>
      <c r="D1838" t="inlineStr">
        <is>
          <t>F4</t>
        </is>
      </c>
      <c r="E1838" t="inlineStr">
        <is>
          <t>INHERENTE</t>
        </is>
      </c>
      <c r="F1838" t="inlineStr">
        <is>
          <t>REP CHECA, OSTRAVA</t>
        </is>
      </c>
      <c r="G1838" t="inlineStr">
        <is>
          <t>CZ</t>
        </is>
      </c>
      <c r="H1838" t="n">
        <v>1</v>
      </c>
      <c r="I1838" t="n">
        <v>1</v>
      </c>
      <c r="J1838" t="n">
        <v>3</v>
      </c>
      <c r="K1838" t="n">
        <v>3</v>
      </c>
      <c r="L1838" t="n">
        <v>3</v>
      </c>
      <c r="M1838" t="n">
        <v>3</v>
      </c>
      <c r="N1838" t="n">
        <v>3</v>
      </c>
      <c r="O1838" t="n">
        <v>15</v>
      </c>
      <c r="P1838" t="n">
        <v>3</v>
      </c>
      <c r="R1838" s="9" t="n">
        <v>0.03</v>
      </c>
      <c r="S1838" s="10" t="inlineStr">
        <is>
          <t>SÍ — integrante</t>
        </is>
      </c>
      <c r="T1838" s="11" t="inlineStr">
        <is>
          <t>B · INTEGRANTE</t>
        </is>
      </c>
      <c r="U1838" s="11" t="inlineStr">
        <is>
          <t>DEL BANCO (se hereda)</t>
        </is>
      </c>
      <c r="V1838" s="11" t="n"/>
      <c r="W1838" s="12" t="n"/>
      <c r="X1838" s="12" t="n"/>
    </row>
    <row r="1839" ht="15" customHeight="1">
      <c r="C1839" t="inlineStr">
        <is>
          <t xml:space="preserve">PAIS DE NACIMIENTO </t>
        </is>
      </c>
      <c r="D1839" t="inlineStr">
        <is>
          <t>F4</t>
        </is>
      </c>
      <c r="E1839" t="inlineStr">
        <is>
          <t>INHERENTE</t>
        </is>
      </c>
      <c r="F1839" t="inlineStr">
        <is>
          <t>ALEMANIA</t>
        </is>
      </c>
      <c r="G1839" t="inlineStr">
        <is>
          <t>DE</t>
        </is>
      </c>
      <c r="H1839" t="n">
        <v>1</v>
      </c>
      <c r="I1839" t="n">
        <v>1</v>
      </c>
      <c r="J1839" t="n">
        <v>3</v>
      </c>
      <c r="K1839" t="n">
        <v>3</v>
      </c>
      <c r="L1839" t="n">
        <v>3</v>
      </c>
      <c r="M1839" t="n">
        <v>3</v>
      </c>
      <c r="N1839" t="n">
        <v>3</v>
      </c>
      <c r="O1839" t="n">
        <v>15</v>
      </c>
      <c r="P1839" t="n">
        <v>3</v>
      </c>
      <c r="R1839" s="9" t="n">
        <v>0.03</v>
      </c>
      <c r="S1839" s="10" t="inlineStr">
        <is>
          <t>SÍ — integrante</t>
        </is>
      </c>
      <c r="T1839" s="11" t="inlineStr">
        <is>
          <t>B · INTEGRANTE</t>
        </is>
      </c>
      <c r="U1839" s="11" t="inlineStr">
        <is>
          <t>DEL BANCO (se hereda)</t>
        </is>
      </c>
      <c r="V1839" s="11" t="n"/>
      <c r="W1839" s="12" t="n"/>
      <c r="X1839" s="12" t="n"/>
    </row>
    <row r="1840" ht="15" customHeight="1">
      <c r="C1840" t="inlineStr">
        <is>
          <t xml:space="preserve">PAIS DE NACIMIENTO </t>
        </is>
      </c>
      <c r="D1840" t="inlineStr">
        <is>
          <t>F4</t>
        </is>
      </c>
      <c r="E1840" t="inlineStr">
        <is>
          <t>INHERENTE</t>
        </is>
      </c>
      <c r="F1840" t="inlineStr">
        <is>
          <t>DJIBOUTI</t>
        </is>
      </c>
      <c r="G1840" t="inlineStr">
        <is>
          <t>DJ</t>
        </is>
      </c>
      <c r="H1840" t="n">
        <v>4</v>
      </c>
      <c r="I1840" t="n">
        <v>4</v>
      </c>
      <c r="J1840" t="n">
        <v>3</v>
      </c>
      <c r="K1840" t="n">
        <v>12</v>
      </c>
      <c r="L1840" t="n">
        <v>12</v>
      </c>
      <c r="M1840" t="n">
        <v>12</v>
      </c>
      <c r="N1840" t="n">
        <v>12</v>
      </c>
      <c r="O1840" t="n">
        <v>15</v>
      </c>
      <c r="P1840" t="n">
        <v>3</v>
      </c>
      <c r="R1840" s="9" t="n">
        <v>0.03</v>
      </c>
      <c r="S1840" s="10" t="inlineStr">
        <is>
          <t>SÍ — integrante</t>
        </is>
      </c>
      <c r="T1840" s="11" t="inlineStr">
        <is>
          <t>B · INTEGRANTE</t>
        </is>
      </c>
      <c r="U1840" s="11" t="inlineStr">
        <is>
          <t>DEL BANCO (se hereda)</t>
        </is>
      </c>
      <c r="V1840" s="11" t="n"/>
      <c r="W1840" s="12" t="n"/>
      <c r="X1840" s="12" t="n"/>
    </row>
    <row r="1841" ht="15" customHeight="1">
      <c r="C1841" t="inlineStr">
        <is>
          <t xml:space="preserve">PAIS DE NACIMIENTO </t>
        </is>
      </c>
      <c r="D1841" t="inlineStr">
        <is>
          <t>F4</t>
        </is>
      </c>
      <c r="E1841" t="inlineStr">
        <is>
          <t>INHERENTE</t>
        </is>
      </c>
      <c r="F1841" t="inlineStr">
        <is>
          <t>DINAMARCA</t>
        </is>
      </c>
      <c r="G1841" t="inlineStr">
        <is>
          <t>DK</t>
        </is>
      </c>
      <c r="H1841" t="n">
        <v>1</v>
      </c>
      <c r="I1841" t="n">
        <v>1</v>
      </c>
      <c r="J1841" t="n">
        <v>3</v>
      </c>
      <c r="K1841" t="n">
        <v>3</v>
      </c>
      <c r="L1841" t="n">
        <v>3</v>
      </c>
      <c r="M1841" t="n">
        <v>3</v>
      </c>
      <c r="N1841" t="n">
        <v>3</v>
      </c>
      <c r="O1841" t="n">
        <v>15</v>
      </c>
      <c r="P1841" t="n">
        <v>3</v>
      </c>
      <c r="R1841" s="9" t="n">
        <v>0.03</v>
      </c>
      <c r="S1841" s="10" t="inlineStr">
        <is>
          <t>SÍ — integrante</t>
        </is>
      </c>
      <c r="T1841" s="11" t="inlineStr">
        <is>
          <t>B · INTEGRANTE</t>
        </is>
      </c>
      <c r="U1841" s="11" t="inlineStr">
        <is>
          <t>DEL BANCO (se hereda)</t>
        </is>
      </c>
      <c r="V1841" s="11" t="n"/>
      <c r="W1841" s="12" t="n"/>
      <c r="X1841" s="12" t="n"/>
    </row>
    <row r="1842" ht="15" customHeight="1">
      <c r="C1842" t="inlineStr">
        <is>
          <t xml:space="preserve">PAIS DE NACIMIENTO </t>
        </is>
      </c>
      <c r="D1842" t="inlineStr">
        <is>
          <t>F4</t>
        </is>
      </c>
      <c r="E1842" t="inlineStr">
        <is>
          <t>INHERENTE</t>
        </is>
      </c>
      <c r="F1842" t="inlineStr">
        <is>
          <t>DOMINICA</t>
        </is>
      </c>
      <c r="G1842" t="inlineStr">
        <is>
          <t>DM</t>
        </is>
      </c>
      <c r="H1842" t="n">
        <v>3</v>
      </c>
      <c r="I1842" t="n">
        <v>3</v>
      </c>
      <c r="J1842" t="n">
        <v>3</v>
      </c>
      <c r="K1842" t="n">
        <v>9</v>
      </c>
      <c r="L1842" t="n">
        <v>9</v>
      </c>
      <c r="M1842" t="n">
        <v>9</v>
      </c>
      <c r="N1842" t="n">
        <v>9</v>
      </c>
      <c r="O1842" t="n">
        <v>15</v>
      </c>
      <c r="P1842" t="n">
        <v>3</v>
      </c>
      <c r="R1842" s="9" t="n">
        <v>0.03</v>
      </c>
      <c r="S1842" s="10" t="inlineStr">
        <is>
          <t>SÍ — integrante</t>
        </is>
      </c>
      <c r="T1842" s="11" t="inlineStr">
        <is>
          <t>B · INTEGRANTE</t>
        </is>
      </c>
      <c r="U1842" s="11" t="inlineStr">
        <is>
          <t>DEL BANCO (se hereda)</t>
        </is>
      </c>
      <c r="V1842" s="11" t="n"/>
      <c r="W1842" s="12" t="n"/>
      <c r="X1842" s="12" t="n"/>
    </row>
    <row r="1843" ht="15" customHeight="1">
      <c r="C1843" t="inlineStr">
        <is>
          <t xml:space="preserve">PAIS DE NACIMIENTO </t>
        </is>
      </c>
      <c r="D1843" t="inlineStr">
        <is>
          <t>F4</t>
        </is>
      </c>
      <c r="E1843" t="inlineStr">
        <is>
          <t>INHERENTE</t>
        </is>
      </c>
      <c r="F1843" t="inlineStr">
        <is>
          <t>DOMINICANA</t>
        </is>
      </c>
      <c r="G1843" t="inlineStr">
        <is>
          <t>DO</t>
        </is>
      </c>
      <c r="H1843" t="n">
        <v>2</v>
      </c>
      <c r="I1843" t="n">
        <v>2</v>
      </c>
      <c r="J1843" t="n">
        <v>3</v>
      </c>
      <c r="K1843" t="n">
        <v>6</v>
      </c>
      <c r="L1843" t="n">
        <v>6</v>
      </c>
      <c r="M1843" t="n">
        <v>6</v>
      </c>
      <c r="N1843" t="n">
        <v>6</v>
      </c>
      <c r="O1843" t="n">
        <v>15</v>
      </c>
      <c r="P1843" t="n">
        <v>3</v>
      </c>
      <c r="R1843" s="9" t="n">
        <v>0.03</v>
      </c>
      <c r="S1843" s="10" t="inlineStr">
        <is>
          <t>SÍ — integrante</t>
        </is>
      </c>
      <c r="T1843" s="11" t="inlineStr">
        <is>
          <t>B · INTEGRANTE</t>
        </is>
      </c>
      <c r="U1843" s="11" t="inlineStr">
        <is>
          <t>DEL BANCO (se hereda)</t>
        </is>
      </c>
      <c r="V1843" s="11" t="n"/>
      <c r="W1843" s="12" t="n"/>
      <c r="X1843" s="12" t="n"/>
    </row>
    <row r="1844" ht="15" customHeight="1">
      <c r="C1844" t="inlineStr">
        <is>
          <t xml:space="preserve">PAIS DE NACIMIENTO </t>
        </is>
      </c>
      <c r="D1844" t="inlineStr">
        <is>
          <t>F4</t>
        </is>
      </c>
      <c r="E1844" t="inlineStr">
        <is>
          <t>INHERENTE</t>
        </is>
      </c>
      <c r="F1844" t="inlineStr">
        <is>
          <t>ARGELIA</t>
        </is>
      </c>
      <c r="G1844" t="inlineStr">
        <is>
          <t>DZ</t>
        </is>
      </c>
      <c r="H1844" t="n">
        <v>4</v>
      </c>
      <c r="I1844" t="n">
        <v>4</v>
      </c>
      <c r="J1844" t="n">
        <v>3</v>
      </c>
      <c r="K1844" t="n">
        <v>12</v>
      </c>
      <c r="L1844" t="n">
        <v>12</v>
      </c>
      <c r="M1844" t="n">
        <v>12</v>
      </c>
      <c r="N1844" t="n">
        <v>12</v>
      </c>
      <c r="O1844" t="n">
        <v>15</v>
      </c>
      <c r="P1844" t="n">
        <v>3</v>
      </c>
      <c r="Q1844" t="inlineStr">
        <is>
          <t>DETERMINANTE</t>
        </is>
      </c>
      <c r="R1844" s="9" t="n">
        <v>0.03</v>
      </c>
      <c r="S1844" s="10" t="inlineStr">
        <is>
          <t>SÍ — integrante</t>
        </is>
      </c>
      <c r="T1844" s="11" t="inlineStr">
        <is>
          <t>B · INTEGRANTE</t>
        </is>
      </c>
      <c r="U1844" s="11" t="inlineStr">
        <is>
          <t>DEL BANCO (se hereda)</t>
        </is>
      </c>
      <c r="V1844" s="11" t="n"/>
      <c r="W1844" s="12" t="n"/>
      <c r="X1844" s="12" t="n"/>
    </row>
    <row r="1845" ht="15" customHeight="1">
      <c r="C1845" t="inlineStr">
        <is>
          <t xml:space="preserve">PAIS DE NACIMIENTO </t>
        </is>
      </c>
      <c r="D1845" t="inlineStr">
        <is>
          <t>F4</t>
        </is>
      </c>
      <c r="E1845" t="inlineStr">
        <is>
          <t>INHERENTE</t>
        </is>
      </c>
      <c r="F1845" t="inlineStr">
        <is>
          <t>ECUADOR</t>
        </is>
      </c>
      <c r="G1845" t="inlineStr">
        <is>
          <t>EC</t>
        </is>
      </c>
      <c r="H1845" t="n">
        <v>2</v>
      </c>
      <c r="I1845" t="n">
        <v>2</v>
      </c>
      <c r="J1845" t="n">
        <v>3</v>
      </c>
      <c r="K1845" t="n">
        <v>6</v>
      </c>
      <c r="L1845" t="n">
        <v>6</v>
      </c>
      <c r="M1845" t="n">
        <v>6</v>
      </c>
      <c r="N1845" t="n">
        <v>6</v>
      </c>
      <c r="O1845" t="n">
        <v>15</v>
      </c>
      <c r="P1845" t="n">
        <v>3</v>
      </c>
      <c r="R1845" s="9" t="n">
        <v>0.03</v>
      </c>
      <c r="S1845" s="10" t="inlineStr">
        <is>
          <t>SÍ — integrante</t>
        </is>
      </c>
      <c r="T1845" s="11" t="inlineStr">
        <is>
          <t>B · INTEGRANTE</t>
        </is>
      </c>
      <c r="U1845" s="11" t="inlineStr">
        <is>
          <t>DEL BANCO (se hereda)</t>
        </is>
      </c>
      <c r="V1845" s="11" t="n"/>
      <c r="W1845" s="12" t="n"/>
      <c r="X1845" s="12" t="n"/>
    </row>
    <row r="1846" ht="15" customHeight="1">
      <c r="C1846" t="inlineStr">
        <is>
          <t xml:space="preserve">PAIS DE NACIMIENTO </t>
        </is>
      </c>
      <c r="D1846" t="inlineStr">
        <is>
          <t>F4</t>
        </is>
      </c>
      <c r="E1846" t="inlineStr">
        <is>
          <t>INHERENTE</t>
        </is>
      </c>
      <c r="F1846" t="inlineStr">
        <is>
          <t>ESTONIA</t>
        </is>
      </c>
      <c r="G1846" t="inlineStr">
        <is>
          <t>EE</t>
        </is>
      </c>
      <c r="H1846" t="n">
        <v>1</v>
      </c>
      <c r="I1846" t="n">
        <v>1</v>
      </c>
      <c r="J1846" t="n">
        <v>3</v>
      </c>
      <c r="K1846" t="n">
        <v>3</v>
      </c>
      <c r="L1846" t="n">
        <v>3</v>
      </c>
      <c r="M1846" t="n">
        <v>3</v>
      </c>
      <c r="N1846" t="n">
        <v>3</v>
      </c>
      <c r="O1846" t="n">
        <v>15</v>
      </c>
      <c r="P1846" t="n">
        <v>3</v>
      </c>
      <c r="R1846" s="9" t="n">
        <v>0.03</v>
      </c>
      <c r="S1846" s="10" t="inlineStr">
        <is>
          <t>SÍ — integrante</t>
        </is>
      </c>
      <c r="T1846" s="11" t="inlineStr">
        <is>
          <t>B · INTEGRANTE</t>
        </is>
      </c>
      <c r="U1846" s="11" t="inlineStr">
        <is>
          <t>DEL BANCO (se hereda)</t>
        </is>
      </c>
      <c r="V1846" s="11" t="n"/>
      <c r="W1846" s="12" t="n"/>
      <c r="X1846" s="12" t="n"/>
    </row>
    <row r="1847" ht="15" customHeight="1">
      <c r="C1847" t="inlineStr">
        <is>
          <t xml:space="preserve">PAIS DE NACIMIENTO </t>
        </is>
      </c>
      <c r="D1847" t="inlineStr">
        <is>
          <t>F4</t>
        </is>
      </c>
      <c r="E1847" t="inlineStr">
        <is>
          <t>INHERENTE</t>
        </is>
      </c>
      <c r="F1847" t="inlineStr">
        <is>
          <t>EGIPTO</t>
        </is>
      </c>
      <c r="G1847" t="inlineStr">
        <is>
          <t>EG</t>
        </is>
      </c>
      <c r="H1847" t="n">
        <v>2</v>
      </c>
      <c r="I1847" t="n">
        <v>2</v>
      </c>
      <c r="J1847" t="n">
        <v>3</v>
      </c>
      <c r="K1847" t="n">
        <v>6</v>
      </c>
      <c r="L1847" t="n">
        <v>6</v>
      </c>
      <c r="M1847" t="n">
        <v>6</v>
      </c>
      <c r="N1847" t="n">
        <v>6</v>
      </c>
      <c r="O1847" t="n">
        <v>15</v>
      </c>
      <c r="P1847" t="n">
        <v>3</v>
      </c>
      <c r="R1847" s="9" t="n">
        <v>0.03</v>
      </c>
      <c r="S1847" s="10" t="inlineStr">
        <is>
          <t>SÍ — integrante</t>
        </is>
      </c>
      <c r="T1847" s="11" t="inlineStr">
        <is>
          <t>B · INTEGRANTE</t>
        </is>
      </c>
      <c r="U1847" s="11" t="inlineStr">
        <is>
          <t>DEL BANCO (se hereda)</t>
        </is>
      </c>
      <c r="V1847" s="11" t="n"/>
      <c r="W1847" s="12" t="n"/>
      <c r="X1847" s="12" t="n"/>
    </row>
    <row r="1848" ht="15" customHeight="1">
      <c r="C1848" t="inlineStr">
        <is>
          <t xml:space="preserve">PAIS DE NACIMIENTO </t>
        </is>
      </c>
      <c r="D1848" t="inlineStr">
        <is>
          <t>F4</t>
        </is>
      </c>
      <c r="E1848" t="inlineStr">
        <is>
          <t>INHERENTE</t>
        </is>
      </c>
      <c r="F1848" t="inlineStr">
        <is>
          <t>SAHARA OCCIDENT</t>
        </is>
      </c>
      <c r="G1848" t="inlineStr">
        <is>
          <t>EH</t>
        </is>
      </c>
      <c r="H1848" t="n">
        <v>1</v>
      </c>
      <c r="I1848" t="n">
        <v>1</v>
      </c>
      <c r="J1848" t="n">
        <v>3</v>
      </c>
      <c r="K1848" t="n">
        <v>3</v>
      </c>
      <c r="L1848" t="n">
        <v>3</v>
      </c>
      <c r="M1848" t="n">
        <v>3</v>
      </c>
      <c r="N1848" t="n">
        <v>3</v>
      </c>
      <c r="O1848" t="n">
        <v>15</v>
      </c>
      <c r="P1848" t="n">
        <v>3</v>
      </c>
      <c r="R1848" s="9" t="n">
        <v>0.03</v>
      </c>
      <c r="S1848" s="10" t="inlineStr">
        <is>
          <t>SÍ — integrante</t>
        </is>
      </c>
      <c r="T1848" s="11" t="inlineStr">
        <is>
          <t>B · INTEGRANTE</t>
        </is>
      </c>
      <c r="U1848" s="11" t="inlineStr">
        <is>
          <t>DEL BANCO (se hereda)</t>
        </is>
      </c>
      <c r="V1848" s="11" t="n"/>
      <c r="W1848" s="12" t="n"/>
      <c r="X1848" s="12" t="n"/>
    </row>
    <row r="1849" ht="15" customHeight="1">
      <c r="C1849" t="inlineStr">
        <is>
          <t xml:space="preserve">PAIS DE NACIMIENTO </t>
        </is>
      </c>
      <c r="D1849" t="inlineStr">
        <is>
          <t>F4</t>
        </is>
      </c>
      <c r="E1849" t="inlineStr">
        <is>
          <t>INHERENTE</t>
        </is>
      </c>
      <c r="F1849" t="inlineStr">
        <is>
          <t>ERITREA</t>
        </is>
      </c>
      <c r="G1849" t="inlineStr">
        <is>
          <t>ER</t>
        </is>
      </c>
      <c r="H1849" t="n">
        <v>4</v>
      </c>
      <c r="I1849" t="n">
        <v>4</v>
      </c>
      <c r="J1849" t="n">
        <v>3</v>
      </c>
      <c r="K1849" t="n">
        <v>12</v>
      </c>
      <c r="L1849" t="n">
        <v>12</v>
      </c>
      <c r="M1849" t="n">
        <v>12</v>
      </c>
      <c r="N1849" t="n">
        <v>12</v>
      </c>
      <c r="O1849" t="n">
        <v>15</v>
      </c>
      <c r="P1849" t="n">
        <v>3</v>
      </c>
      <c r="R1849" s="9" t="n">
        <v>0.03</v>
      </c>
      <c r="S1849" s="10" t="inlineStr">
        <is>
          <t>SÍ — integrante</t>
        </is>
      </c>
      <c r="T1849" s="11" t="inlineStr">
        <is>
          <t>B · INTEGRANTE</t>
        </is>
      </c>
      <c r="U1849" s="11" t="inlineStr">
        <is>
          <t>DEL BANCO (se hereda)</t>
        </is>
      </c>
      <c r="V1849" s="11" t="n"/>
      <c r="W1849" s="12" t="n"/>
      <c r="X1849" s="12" t="n"/>
    </row>
    <row r="1850" ht="15" customHeight="1">
      <c r="C1850" t="inlineStr">
        <is>
          <t xml:space="preserve">PAIS DE NACIMIENTO </t>
        </is>
      </c>
      <c r="D1850" t="inlineStr">
        <is>
          <t>F4</t>
        </is>
      </c>
      <c r="E1850" t="inlineStr">
        <is>
          <t>INHERENTE</t>
        </is>
      </c>
      <c r="F1850" t="inlineStr">
        <is>
          <t>ESPANA</t>
        </is>
      </c>
      <c r="G1850" t="inlineStr">
        <is>
          <t>ES</t>
        </is>
      </c>
      <c r="H1850" t="n">
        <v>1</v>
      </c>
      <c r="I1850" t="n">
        <v>1</v>
      </c>
      <c r="J1850" t="n">
        <v>3</v>
      </c>
      <c r="K1850" t="n">
        <v>3</v>
      </c>
      <c r="L1850" t="n">
        <v>3</v>
      </c>
      <c r="M1850" t="n">
        <v>3</v>
      </c>
      <c r="N1850" t="n">
        <v>3</v>
      </c>
      <c r="O1850" t="n">
        <v>15</v>
      </c>
      <c r="P1850" t="n">
        <v>3</v>
      </c>
      <c r="R1850" s="9" t="n">
        <v>0.03</v>
      </c>
      <c r="S1850" s="10" t="inlineStr">
        <is>
          <t>SÍ — integrante</t>
        </is>
      </c>
      <c r="T1850" s="11" t="inlineStr">
        <is>
          <t>B · INTEGRANTE</t>
        </is>
      </c>
      <c r="U1850" s="11" t="inlineStr">
        <is>
          <t>DEL BANCO (se hereda)</t>
        </is>
      </c>
      <c r="V1850" s="11" t="n"/>
      <c r="W1850" s="12" t="n"/>
      <c r="X1850" s="12" t="n"/>
    </row>
    <row r="1851" ht="15" customHeight="1">
      <c r="C1851" t="inlineStr">
        <is>
          <t xml:space="preserve">PAIS DE NACIMIENTO </t>
        </is>
      </c>
      <c r="D1851" t="inlineStr">
        <is>
          <t>F4</t>
        </is>
      </c>
      <c r="E1851" t="inlineStr">
        <is>
          <t>INHERENTE</t>
        </is>
      </c>
      <c r="F1851" t="inlineStr">
        <is>
          <t>ETIOPIA</t>
        </is>
      </c>
      <c r="G1851" t="inlineStr">
        <is>
          <t>ET</t>
        </is>
      </c>
      <c r="H1851" t="n">
        <v>3</v>
      </c>
      <c r="I1851" t="n">
        <v>3</v>
      </c>
      <c r="J1851" t="n">
        <v>3</v>
      </c>
      <c r="K1851" t="n">
        <v>9</v>
      </c>
      <c r="L1851" t="n">
        <v>9</v>
      </c>
      <c r="M1851" t="n">
        <v>9</v>
      </c>
      <c r="N1851" t="n">
        <v>9</v>
      </c>
      <c r="O1851" t="n">
        <v>15</v>
      </c>
      <c r="P1851" t="n">
        <v>3</v>
      </c>
      <c r="R1851" s="9" t="n">
        <v>0.03</v>
      </c>
      <c r="S1851" s="10" t="inlineStr">
        <is>
          <t>SÍ — integrante</t>
        </is>
      </c>
      <c r="T1851" s="11" t="inlineStr">
        <is>
          <t>B · INTEGRANTE</t>
        </is>
      </c>
      <c r="U1851" s="11" t="inlineStr">
        <is>
          <t>DEL BANCO (se hereda)</t>
        </is>
      </c>
      <c r="V1851" s="11" t="n"/>
      <c r="W1851" s="12" t="n"/>
      <c r="X1851" s="12" t="n"/>
    </row>
    <row r="1852" ht="15" customHeight="1">
      <c r="C1852" t="inlineStr">
        <is>
          <t xml:space="preserve">PAIS DE NACIMIENTO </t>
        </is>
      </c>
      <c r="D1852" t="inlineStr">
        <is>
          <t>F4</t>
        </is>
      </c>
      <c r="E1852" t="inlineStr">
        <is>
          <t>INHERENTE</t>
        </is>
      </c>
      <c r="F1852" t="inlineStr">
        <is>
          <t>PAIES EUR</t>
        </is>
      </c>
      <c r="G1852" t="inlineStr">
        <is>
          <t>EU</t>
        </is>
      </c>
      <c r="H1852" t="n">
        <v>1</v>
      </c>
      <c r="I1852" t="n">
        <v>1</v>
      </c>
      <c r="J1852" t="n">
        <v>3</v>
      </c>
      <c r="K1852" t="n">
        <v>3</v>
      </c>
      <c r="L1852" t="n">
        <v>3</v>
      </c>
      <c r="M1852" t="n">
        <v>3</v>
      </c>
      <c r="N1852" t="n">
        <v>3</v>
      </c>
      <c r="O1852" t="n">
        <v>15</v>
      </c>
      <c r="P1852" t="n">
        <v>3</v>
      </c>
      <c r="R1852" s="9" t="n">
        <v>0.03</v>
      </c>
      <c r="S1852" s="10" t="inlineStr">
        <is>
          <t>SÍ — integrante</t>
        </is>
      </c>
      <c r="T1852" s="11" t="inlineStr">
        <is>
          <t>B · INTEGRANTE</t>
        </is>
      </c>
      <c r="U1852" s="11" t="inlineStr">
        <is>
          <t>DEL BANCO (se hereda)</t>
        </is>
      </c>
      <c r="V1852" s="11" t="n"/>
      <c r="W1852" s="12" t="n"/>
      <c r="X1852" s="12" t="n"/>
    </row>
    <row r="1853" ht="15" customHeight="1">
      <c r="C1853" t="inlineStr">
        <is>
          <t xml:space="preserve">PAIS DE NACIMIENTO </t>
        </is>
      </c>
      <c r="D1853" t="inlineStr">
        <is>
          <t>F4</t>
        </is>
      </c>
      <c r="E1853" t="inlineStr">
        <is>
          <t>INHERENTE</t>
        </is>
      </c>
      <c r="F1853" t="inlineStr">
        <is>
          <t>FINLANDIA</t>
        </is>
      </c>
      <c r="G1853" t="inlineStr">
        <is>
          <t>FI</t>
        </is>
      </c>
      <c r="H1853" t="n">
        <v>1</v>
      </c>
      <c r="I1853" t="n">
        <v>1</v>
      </c>
      <c r="J1853" t="n">
        <v>3</v>
      </c>
      <c r="K1853" t="n">
        <v>3</v>
      </c>
      <c r="L1853" t="n">
        <v>3</v>
      </c>
      <c r="M1853" t="n">
        <v>3</v>
      </c>
      <c r="N1853" t="n">
        <v>3</v>
      </c>
      <c r="O1853" t="n">
        <v>15</v>
      </c>
      <c r="P1853" t="n">
        <v>3</v>
      </c>
      <c r="R1853" s="9" t="n">
        <v>0.03</v>
      </c>
      <c r="S1853" s="10" t="inlineStr">
        <is>
          <t>SÍ — integrante</t>
        </is>
      </c>
      <c r="T1853" s="11" t="inlineStr">
        <is>
          <t>B · INTEGRANTE</t>
        </is>
      </c>
      <c r="U1853" s="11" t="inlineStr">
        <is>
          <t>DEL BANCO (se hereda)</t>
        </is>
      </c>
      <c r="V1853" s="11" t="n"/>
      <c r="W1853" s="12" t="n"/>
      <c r="X1853" s="12" t="n"/>
    </row>
    <row r="1854" ht="15" customHeight="1">
      <c r="C1854" t="inlineStr">
        <is>
          <t xml:space="preserve">PAIS DE NACIMIENTO </t>
        </is>
      </c>
      <c r="D1854" t="inlineStr">
        <is>
          <t>F4</t>
        </is>
      </c>
      <c r="E1854" t="inlineStr">
        <is>
          <t>INHERENTE</t>
        </is>
      </c>
      <c r="F1854" t="inlineStr">
        <is>
          <t>ISLAS FIDJI</t>
        </is>
      </c>
      <c r="G1854" t="inlineStr">
        <is>
          <t>FJ</t>
        </is>
      </c>
      <c r="H1854" t="n">
        <v>1</v>
      </c>
      <c r="I1854" t="n">
        <v>1</v>
      </c>
      <c r="J1854" t="n">
        <v>3</v>
      </c>
      <c r="K1854" t="n">
        <v>3</v>
      </c>
      <c r="L1854" t="n">
        <v>3</v>
      </c>
      <c r="M1854" t="n">
        <v>3</v>
      </c>
      <c r="N1854" t="n">
        <v>3</v>
      </c>
      <c r="O1854" t="n">
        <v>15</v>
      </c>
      <c r="P1854" t="n">
        <v>3</v>
      </c>
      <c r="R1854" s="9" t="n">
        <v>0.03</v>
      </c>
      <c r="S1854" s="10" t="inlineStr">
        <is>
          <t>SÍ — integrante</t>
        </is>
      </c>
      <c r="T1854" s="11" t="inlineStr">
        <is>
          <t>B · INTEGRANTE</t>
        </is>
      </c>
      <c r="U1854" s="11" t="inlineStr">
        <is>
          <t>DEL BANCO (se hereda)</t>
        </is>
      </c>
      <c r="V1854" s="11" t="n"/>
      <c r="W1854" s="12" t="n"/>
      <c r="X1854" s="12" t="n"/>
    </row>
    <row r="1855" ht="15" customHeight="1">
      <c r="C1855" t="inlineStr">
        <is>
          <t xml:space="preserve">PAIS DE NACIMIENTO </t>
        </is>
      </c>
      <c r="D1855" t="inlineStr">
        <is>
          <t>F4</t>
        </is>
      </c>
      <c r="E1855" t="inlineStr">
        <is>
          <t>INHERENTE</t>
        </is>
      </c>
      <c r="F1855" t="inlineStr">
        <is>
          <t>ISLAS MALVINAS</t>
        </is>
      </c>
      <c r="G1855" t="inlineStr">
        <is>
          <t>FK</t>
        </is>
      </c>
      <c r="H1855" t="n">
        <v>1</v>
      </c>
      <c r="I1855" t="n">
        <v>1</v>
      </c>
      <c r="J1855" t="n">
        <v>3</v>
      </c>
      <c r="K1855" t="n">
        <v>3</v>
      </c>
      <c r="L1855" t="n">
        <v>3</v>
      </c>
      <c r="M1855" t="n">
        <v>3</v>
      </c>
      <c r="N1855" t="n">
        <v>3</v>
      </c>
      <c r="O1855" t="n">
        <v>15</v>
      </c>
      <c r="P1855" t="n">
        <v>3</v>
      </c>
      <c r="R1855" s="9" t="n">
        <v>0.03</v>
      </c>
      <c r="S1855" s="10" t="inlineStr">
        <is>
          <t>SÍ — integrante</t>
        </is>
      </c>
      <c r="T1855" s="11" t="inlineStr">
        <is>
          <t>B · INTEGRANTE</t>
        </is>
      </c>
      <c r="U1855" s="11" t="inlineStr">
        <is>
          <t>DEL BANCO (se hereda)</t>
        </is>
      </c>
      <c r="V1855" s="11" t="n"/>
      <c r="W1855" s="12" t="n"/>
      <c r="X1855" s="12" t="n"/>
    </row>
    <row r="1856" ht="15" customHeight="1">
      <c r="C1856" t="inlineStr">
        <is>
          <t xml:space="preserve">PAIS DE NACIMIENTO </t>
        </is>
      </c>
      <c r="D1856" t="inlineStr">
        <is>
          <t>F4</t>
        </is>
      </c>
      <c r="E1856" t="inlineStr">
        <is>
          <t>INHERENTE</t>
        </is>
      </c>
      <c r="F1856" t="inlineStr">
        <is>
          <t>MICRONESIA</t>
        </is>
      </c>
      <c r="G1856" t="inlineStr">
        <is>
          <t>FM</t>
        </is>
      </c>
      <c r="H1856" t="n">
        <v>1</v>
      </c>
      <c r="I1856" t="n">
        <v>1</v>
      </c>
      <c r="J1856" t="n">
        <v>3</v>
      </c>
      <c r="K1856" t="n">
        <v>3</v>
      </c>
      <c r="L1856" t="n">
        <v>3</v>
      </c>
      <c r="M1856" t="n">
        <v>3</v>
      </c>
      <c r="N1856" t="n">
        <v>3</v>
      </c>
      <c r="O1856" t="n">
        <v>15</v>
      </c>
      <c r="P1856" t="n">
        <v>3</v>
      </c>
      <c r="R1856" s="9" t="n">
        <v>0.03</v>
      </c>
      <c r="S1856" s="10" t="inlineStr">
        <is>
          <t>SÍ — integrante</t>
        </is>
      </c>
      <c r="T1856" s="11" t="inlineStr">
        <is>
          <t>B · INTEGRANTE</t>
        </is>
      </c>
      <c r="U1856" s="11" t="inlineStr">
        <is>
          <t>DEL BANCO (se hereda)</t>
        </is>
      </c>
      <c r="V1856" s="11" t="n"/>
      <c r="W1856" s="12" t="n"/>
      <c r="X1856" s="12" t="n"/>
    </row>
    <row r="1857" ht="15" customHeight="1">
      <c r="C1857" t="inlineStr">
        <is>
          <t xml:space="preserve">PAIS DE NACIMIENTO </t>
        </is>
      </c>
      <c r="D1857" t="inlineStr">
        <is>
          <t>F4</t>
        </is>
      </c>
      <c r="E1857" t="inlineStr">
        <is>
          <t>INHERENTE</t>
        </is>
      </c>
      <c r="F1857" t="inlineStr">
        <is>
          <t>ISLAS PACIFICO</t>
        </is>
      </c>
      <c r="G1857" t="inlineStr">
        <is>
          <t>FO</t>
        </is>
      </c>
      <c r="H1857" t="n">
        <v>1</v>
      </c>
      <c r="I1857" t="n">
        <v>1</v>
      </c>
      <c r="J1857" t="n">
        <v>3</v>
      </c>
      <c r="K1857" t="n">
        <v>3</v>
      </c>
      <c r="L1857" t="n">
        <v>3</v>
      </c>
      <c r="M1857" t="n">
        <v>3</v>
      </c>
      <c r="N1857" t="n">
        <v>3</v>
      </c>
      <c r="O1857" t="n">
        <v>15</v>
      </c>
      <c r="P1857" t="n">
        <v>3</v>
      </c>
      <c r="R1857" s="9" t="n">
        <v>0.03</v>
      </c>
      <c r="S1857" s="10" t="inlineStr">
        <is>
          <t>SÍ — integrante</t>
        </is>
      </c>
      <c r="T1857" s="11" t="inlineStr">
        <is>
          <t>B · INTEGRANTE</t>
        </is>
      </c>
      <c r="U1857" s="11" t="inlineStr">
        <is>
          <t>DEL BANCO (se hereda)</t>
        </is>
      </c>
      <c r="V1857" s="11" t="n"/>
      <c r="W1857" s="12" t="n"/>
      <c r="X1857" s="12" t="n"/>
    </row>
    <row r="1858" ht="15" customHeight="1">
      <c r="C1858" t="inlineStr">
        <is>
          <t xml:space="preserve">PAIS DE NACIMIENTO </t>
        </is>
      </c>
      <c r="D1858" t="inlineStr">
        <is>
          <t>F4</t>
        </is>
      </c>
      <c r="E1858" t="inlineStr">
        <is>
          <t>INHERENTE</t>
        </is>
      </c>
      <c r="F1858" t="inlineStr">
        <is>
          <t>FRANCIA</t>
        </is>
      </c>
      <c r="G1858" t="inlineStr">
        <is>
          <t>FR</t>
        </is>
      </c>
      <c r="H1858" t="n">
        <v>1</v>
      </c>
      <c r="I1858" t="n">
        <v>1</v>
      </c>
      <c r="J1858" t="n">
        <v>3</v>
      </c>
      <c r="K1858" t="n">
        <v>3</v>
      </c>
      <c r="L1858" t="n">
        <v>3</v>
      </c>
      <c r="M1858" t="n">
        <v>3</v>
      </c>
      <c r="N1858" t="n">
        <v>3</v>
      </c>
      <c r="O1858" t="n">
        <v>15</v>
      </c>
      <c r="P1858" t="n">
        <v>3</v>
      </c>
      <c r="R1858" s="9" t="n">
        <v>0.03</v>
      </c>
      <c r="S1858" s="10" t="inlineStr">
        <is>
          <t>SÍ — integrante</t>
        </is>
      </c>
      <c r="T1858" s="11" t="inlineStr">
        <is>
          <t>B · INTEGRANTE</t>
        </is>
      </c>
      <c r="U1858" s="11" t="inlineStr">
        <is>
          <t>DEL BANCO (se hereda)</t>
        </is>
      </c>
      <c r="V1858" s="11" t="n"/>
      <c r="W1858" s="12" t="n"/>
      <c r="X1858" s="12" t="n"/>
    </row>
    <row r="1859" ht="15" customHeight="1">
      <c r="C1859" t="inlineStr">
        <is>
          <t xml:space="preserve">PAIS DE NACIMIENTO </t>
        </is>
      </c>
      <c r="D1859" t="inlineStr">
        <is>
          <t>F4</t>
        </is>
      </c>
      <c r="E1859" t="inlineStr">
        <is>
          <t>INHERENTE</t>
        </is>
      </c>
      <c r="F1859" t="inlineStr">
        <is>
          <t>GABON</t>
        </is>
      </c>
      <c r="G1859" t="inlineStr">
        <is>
          <t>GA</t>
        </is>
      </c>
      <c r="H1859" t="n">
        <v>4</v>
      </c>
      <c r="I1859" t="n">
        <v>4</v>
      </c>
      <c r="J1859" t="n">
        <v>3</v>
      </c>
      <c r="K1859" t="n">
        <v>12</v>
      </c>
      <c r="L1859" t="n">
        <v>12</v>
      </c>
      <c r="M1859" t="n">
        <v>12</v>
      </c>
      <c r="N1859" t="n">
        <v>12</v>
      </c>
      <c r="O1859" t="n">
        <v>15</v>
      </c>
      <c r="P1859" t="n">
        <v>3</v>
      </c>
      <c r="R1859" s="9" t="n">
        <v>0.03</v>
      </c>
      <c r="S1859" s="10" t="inlineStr">
        <is>
          <t>SÍ — integrante</t>
        </is>
      </c>
      <c r="T1859" s="11" t="inlineStr">
        <is>
          <t>B · INTEGRANTE</t>
        </is>
      </c>
      <c r="U1859" s="11" t="inlineStr">
        <is>
          <t>DEL BANCO (se hereda)</t>
        </is>
      </c>
      <c r="V1859" s="11" t="n"/>
      <c r="W1859" s="12" t="n"/>
      <c r="X1859" s="12" t="n"/>
    </row>
    <row r="1860" ht="15" customHeight="1">
      <c r="C1860" t="inlineStr">
        <is>
          <t xml:space="preserve">PAIS DE NACIMIENTO </t>
        </is>
      </c>
      <c r="D1860" t="inlineStr">
        <is>
          <t>F4</t>
        </is>
      </c>
      <c r="E1860" t="inlineStr">
        <is>
          <t>INHERENTE</t>
        </is>
      </c>
      <c r="F1860" t="inlineStr">
        <is>
          <t>GRAN BRETANA</t>
        </is>
      </c>
      <c r="G1860" t="inlineStr">
        <is>
          <t>GB</t>
        </is>
      </c>
      <c r="H1860" t="n">
        <v>1</v>
      </c>
      <c r="I1860" t="n">
        <v>1</v>
      </c>
      <c r="J1860" t="n">
        <v>3</v>
      </c>
      <c r="K1860" t="n">
        <v>3</v>
      </c>
      <c r="L1860" t="n">
        <v>3</v>
      </c>
      <c r="M1860" t="n">
        <v>3</v>
      </c>
      <c r="N1860" t="n">
        <v>3</v>
      </c>
      <c r="O1860" t="n">
        <v>15</v>
      </c>
      <c r="P1860" t="n">
        <v>3</v>
      </c>
      <c r="R1860" s="9" t="n">
        <v>0.03</v>
      </c>
      <c r="S1860" s="10" t="inlineStr">
        <is>
          <t>SÍ — integrante</t>
        </is>
      </c>
      <c r="T1860" s="11" t="inlineStr">
        <is>
          <t>B · INTEGRANTE</t>
        </is>
      </c>
      <c r="U1860" s="11" t="inlineStr">
        <is>
          <t>DEL BANCO (se hereda)</t>
        </is>
      </c>
      <c r="V1860" s="11" t="n"/>
      <c r="W1860" s="12" t="n"/>
      <c r="X1860" s="12" t="n"/>
    </row>
    <row r="1861" ht="15" customHeight="1">
      <c r="C1861" t="inlineStr">
        <is>
          <t xml:space="preserve">PAIS DE NACIMIENTO </t>
        </is>
      </c>
      <c r="D1861" t="inlineStr">
        <is>
          <t>F4</t>
        </is>
      </c>
      <c r="E1861" t="inlineStr">
        <is>
          <t>INHERENTE</t>
        </is>
      </c>
      <c r="F1861" t="inlineStr">
        <is>
          <t>GIBRALTAR</t>
        </is>
      </c>
      <c r="G1861" t="inlineStr">
        <is>
          <t>GC</t>
        </is>
      </c>
      <c r="H1861" t="n">
        <v>1</v>
      </c>
      <c r="I1861" t="n">
        <v>1</v>
      </c>
      <c r="J1861" t="n">
        <v>3</v>
      </c>
      <c r="K1861" t="n">
        <v>3</v>
      </c>
      <c r="L1861" t="n">
        <v>3</v>
      </c>
      <c r="M1861" t="n">
        <v>3</v>
      </c>
      <c r="N1861" t="n">
        <v>3</v>
      </c>
      <c r="O1861" t="n">
        <v>15</v>
      </c>
      <c r="P1861" t="n">
        <v>3</v>
      </c>
      <c r="R1861" s="9" t="n">
        <v>0.03</v>
      </c>
      <c r="S1861" s="10" t="inlineStr">
        <is>
          <t>SÍ — integrante</t>
        </is>
      </c>
      <c r="T1861" s="11" t="inlineStr">
        <is>
          <t>B · INTEGRANTE</t>
        </is>
      </c>
      <c r="U1861" s="11" t="inlineStr">
        <is>
          <t>DEL BANCO (se hereda)</t>
        </is>
      </c>
      <c r="V1861" s="11" t="n"/>
      <c r="W1861" s="12" t="n"/>
      <c r="X1861" s="12" t="n"/>
    </row>
    <row r="1862" ht="15" customHeight="1">
      <c r="C1862" t="inlineStr">
        <is>
          <t xml:space="preserve">PAIS DE NACIMIENTO </t>
        </is>
      </c>
      <c r="D1862" t="inlineStr">
        <is>
          <t>F4</t>
        </is>
      </c>
      <c r="E1862" t="inlineStr">
        <is>
          <t>INHERENTE</t>
        </is>
      </c>
      <c r="F1862" t="inlineStr">
        <is>
          <t>GRANADA</t>
        </is>
      </c>
      <c r="G1862" t="inlineStr">
        <is>
          <t>GD</t>
        </is>
      </c>
      <c r="H1862" t="n">
        <v>3</v>
      </c>
      <c r="I1862" t="n">
        <v>3</v>
      </c>
      <c r="J1862" t="n">
        <v>3</v>
      </c>
      <c r="K1862" t="n">
        <v>9</v>
      </c>
      <c r="L1862" t="n">
        <v>9</v>
      </c>
      <c r="M1862" t="n">
        <v>9</v>
      </c>
      <c r="N1862" t="n">
        <v>9</v>
      </c>
      <c r="O1862" t="n">
        <v>15</v>
      </c>
      <c r="P1862" t="n">
        <v>3</v>
      </c>
      <c r="R1862" s="9" t="n">
        <v>0.03</v>
      </c>
      <c r="S1862" s="10" t="inlineStr">
        <is>
          <t>SÍ — integrante</t>
        </is>
      </c>
      <c r="T1862" s="11" t="inlineStr">
        <is>
          <t>B · INTEGRANTE</t>
        </is>
      </c>
      <c r="U1862" s="11" t="inlineStr">
        <is>
          <t>DEL BANCO (se hereda)</t>
        </is>
      </c>
      <c r="V1862" s="11" t="n"/>
      <c r="W1862" s="12" t="n"/>
      <c r="X1862" s="12" t="n"/>
    </row>
    <row r="1863" ht="15" customHeight="1">
      <c r="C1863" t="inlineStr">
        <is>
          <t xml:space="preserve">PAIS DE NACIMIENTO </t>
        </is>
      </c>
      <c r="D1863" t="inlineStr">
        <is>
          <t>F4</t>
        </is>
      </c>
      <c r="E1863" t="inlineStr">
        <is>
          <t>INHERENTE</t>
        </is>
      </c>
      <c r="F1863" t="inlineStr">
        <is>
          <t>GEORGIA</t>
        </is>
      </c>
      <c r="G1863" t="inlineStr">
        <is>
          <t>GE</t>
        </is>
      </c>
      <c r="H1863" t="n">
        <v>1</v>
      </c>
      <c r="I1863" t="n">
        <v>1</v>
      </c>
      <c r="J1863" t="n">
        <v>3</v>
      </c>
      <c r="K1863" t="n">
        <v>3</v>
      </c>
      <c r="L1863" t="n">
        <v>3</v>
      </c>
      <c r="M1863" t="n">
        <v>3</v>
      </c>
      <c r="N1863" t="n">
        <v>3</v>
      </c>
      <c r="O1863" t="n">
        <v>15</v>
      </c>
      <c r="P1863" t="n">
        <v>3</v>
      </c>
      <c r="R1863" s="9" t="n">
        <v>0.03</v>
      </c>
      <c r="S1863" s="10" t="inlineStr">
        <is>
          <t>SÍ — integrante</t>
        </is>
      </c>
      <c r="T1863" s="11" t="inlineStr">
        <is>
          <t>B · INTEGRANTE</t>
        </is>
      </c>
      <c r="U1863" s="11" t="inlineStr">
        <is>
          <t>DEL BANCO (se hereda)</t>
        </is>
      </c>
      <c r="V1863" s="11" t="n"/>
      <c r="W1863" s="12" t="n"/>
      <c r="X1863" s="12" t="n"/>
    </row>
    <row r="1864" ht="15" customHeight="1">
      <c r="C1864" t="inlineStr">
        <is>
          <t xml:space="preserve">PAIS DE NACIMIENTO </t>
        </is>
      </c>
      <c r="D1864" t="inlineStr">
        <is>
          <t>F4</t>
        </is>
      </c>
      <c r="E1864" t="inlineStr">
        <is>
          <t>INHERENTE</t>
        </is>
      </c>
      <c r="F1864" t="inlineStr">
        <is>
          <t>GUYANA FRANCESA</t>
        </is>
      </c>
      <c r="G1864" t="inlineStr">
        <is>
          <t>GF</t>
        </is>
      </c>
      <c r="H1864" t="n">
        <v>1</v>
      </c>
      <c r="I1864" t="n">
        <v>1</v>
      </c>
      <c r="J1864" t="n">
        <v>3</v>
      </c>
      <c r="K1864" t="n">
        <v>3</v>
      </c>
      <c r="L1864" t="n">
        <v>3</v>
      </c>
      <c r="M1864" t="n">
        <v>3</v>
      </c>
      <c r="N1864" t="n">
        <v>3</v>
      </c>
      <c r="O1864" t="n">
        <v>15</v>
      </c>
      <c r="P1864" t="n">
        <v>3</v>
      </c>
      <c r="R1864" s="9" t="n">
        <v>0.03</v>
      </c>
      <c r="S1864" s="10" t="inlineStr">
        <is>
          <t>SÍ — integrante</t>
        </is>
      </c>
      <c r="T1864" s="11" t="inlineStr">
        <is>
          <t>B · INTEGRANTE</t>
        </is>
      </c>
      <c r="U1864" s="11" t="inlineStr">
        <is>
          <t>DEL BANCO (se hereda)</t>
        </is>
      </c>
      <c r="V1864" s="11" t="n"/>
      <c r="W1864" s="12" t="n"/>
      <c r="X1864" s="12" t="n"/>
    </row>
    <row r="1865" ht="15" customHeight="1">
      <c r="C1865" t="inlineStr">
        <is>
          <t xml:space="preserve">PAIS DE NACIMIENTO </t>
        </is>
      </c>
      <c r="D1865" t="inlineStr">
        <is>
          <t>F4</t>
        </is>
      </c>
      <c r="E1865" t="inlineStr">
        <is>
          <t>INHERENTE</t>
        </is>
      </c>
      <c r="F1865" t="inlineStr">
        <is>
          <t>ISLAS CHANNEL</t>
        </is>
      </c>
      <c r="G1865" t="inlineStr">
        <is>
          <t>GG</t>
        </is>
      </c>
      <c r="H1865" t="n">
        <v>1</v>
      </c>
      <c r="I1865" t="n">
        <v>1</v>
      </c>
      <c r="J1865" t="n">
        <v>3</v>
      </c>
      <c r="K1865" t="n">
        <v>3</v>
      </c>
      <c r="L1865" t="n">
        <v>3</v>
      </c>
      <c r="M1865" t="n">
        <v>3</v>
      </c>
      <c r="N1865" t="n">
        <v>3</v>
      </c>
      <c r="O1865" t="n">
        <v>15</v>
      </c>
      <c r="P1865" t="n">
        <v>3</v>
      </c>
      <c r="R1865" s="9" t="n">
        <v>0.03</v>
      </c>
      <c r="S1865" s="10" t="inlineStr">
        <is>
          <t>SÍ — integrante</t>
        </is>
      </c>
      <c r="T1865" s="11" t="inlineStr">
        <is>
          <t>B · INTEGRANTE</t>
        </is>
      </c>
      <c r="U1865" s="11" t="inlineStr">
        <is>
          <t>DEL BANCO (se hereda)</t>
        </is>
      </c>
      <c r="V1865" s="11" t="n"/>
      <c r="W1865" s="12" t="n"/>
      <c r="X1865" s="12" t="n"/>
    </row>
    <row r="1866" ht="15" customHeight="1">
      <c r="C1866" t="inlineStr">
        <is>
          <t xml:space="preserve">PAIS DE NACIMIENTO </t>
        </is>
      </c>
      <c r="D1866" t="inlineStr">
        <is>
          <t>F4</t>
        </is>
      </c>
      <c r="E1866" t="inlineStr">
        <is>
          <t>INHERENTE</t>
        </is>
      </c>
      <c r="F1866" t="inlineStr">
        <is>
          <t>GHANA</t>
        </is>
      </c>
      <c r="G1866" t="inlineStr">
        <is>
          <t>GH</t>
        </is>
      </c>
      <c r="H1866" t="n">
        <v>2</v>
      </c>
      <c r="I1866" t="n">
        <v>2</v>
      </c>
      <c r="J1866" t="n">
        <v>3</v>
      </c>
      <c r="K1866" t="n">
        <v>6</v>
      </c>
      <c r="L1866" t="n">
        <v>6</v>
      </c>
      <c r="M1866" t="n">
        <v>6</v>
      </c>
      <c r="N1866" t="n">
        <v>6</v>
      </c>
      <c r="O1866" t="n">
        <v>15</v>
      </c>
      <c r="P1866" t="n">
        <v>3</v>
      </c>
      <c r="R1866" s="9" t="n">
        <v>0.03</v>
      </c>
      <c r="S1866" s="10" t="inlineStr">
        <is>
          <t>SÍ — integrante</t>
        </is>
      </c>
      <c r="T1866" s="11" t="inlineStr">
        <is>
          <t>B · INTEGRANTE</t>
        </is>
      </c>
      <c r="U1866" s="11" t="inlineStr">
        <is>
          <t>DEL BANCO (se hereda)</t>
        </is>
      </c>
      <c r="V1866" s="11" t="n"/>
      <c r="W1866" s="12" t="n"/>
      <c r="X1866" s="12" t="n"/>
    </row>
    <row r="1867" ht="15" customHeight="1">
      <c r="C1867" t="inlineStr">
        <is>
          <t xml:space="preserve">PAIS DE NACIMIENTO </t>
        </is>
      </c>
      <c r="D1867" t="inlineStr">
        <is>
          <t>F4</t>
        </is>
      </c>
      <c r="E1867" t="inlineStr">
        <is>
          <t>INHERENTE</t>
        </is>
      </c>
      <c r="F1867" t="inlineStr">
        <is>
          <t>GUERNESEY</t>
        </is>
      </c>
      <c r="G1867" t="inlineStr">
        <is>
          <t>GI</t>
        </is>
      </c>
      <c r="H1867" t="n">
        <v>1</v>
      </c>
      <c r="I1867" t="n">
        <v>1</v>
      </c>
      <c r="J1867" t="n">
        <v>3</v>
      </c>
      <c r="K1867" t="n">
        <v>3</v>
      </c>
      <c r="L1867" t="n">
        <v>3</v>
      </c>
      <c r="M1867" t="n">
        <v>3</v>
      </c>
      <c r="N1867" t="n">
        <v>3</v>
      </c>
      <c r="O1867" t="n">
        <v>15</v>
      </c>
      <c r="P1867" t="n">
        <v>3</v>
      </c>
      <c r="R1867" s="9" t="n">
        <v>0.03</v>
      </c>
      <c r="S1867" s="10" t="inlineStr">
        <is>
          <t>SÍ — integrante</t>
        </is>
      </c>
      <c r="T1867" s="11" t="inlineStr">
        <is>
          <t>B · INTEGRANTE</t>
        </is>
      </c>
      <c r="U1867" s="11" t="inlineStr">
        <is>
          <t>DEL BANCO (se hereda)</t>
        </is>
      </c>
      <c r="V1867" s="11" t="n"/>
      <c r="W1867" s="12" t="n"/>
      <c r="X1867" s="12" t="n"/>
    </row>
    <row r="1868" ht="15" customHeight="1">
      <c r="C1868" t="inlineStr">
        <is>
          <t xml:space="preserve">PAIS DE NACIMIENTO </t>
        </is>
      </c>
      <c r="D1868" t="inlineStr">
        <is>
          <t>F4</t>
        </is>
      </c>
      <c r="E1868" t="inlineStr">
        <is>
          <t>INHERENTE</t>
        </is>
      </c>
      <c r="F1868" t="inlineStr">
        <is>
          <t>GROENLANDIA</t>
        </is>
      </c>
      <c r="G1868" t="inlineStr">
        <is>
          <t>GL</t>
        </is>
      </c>
      <c r="H1868" t="n">
        <v>1</v>
      </c>
      <c r="I1868" t="n">
        <v>1</v>
      </c>
      <c r="J1868" t="n">
        <v>3</v>
      </c>
      <c r="K1868" t="n">
        <v>3</v>
      </c>
      <c r="L1868" t="n">
        <v>3</v>
      </c>
      <c r="M1868" t="n">
        <v>3</v>
      </c>
      <c r="N1868" t="n">
        <v>3</v>
      </c>
      <c r="O1868" t="n">
        <v>15</v>
      </c>
      <c r="P1868" t="n">
        <v>3</v>
      </c>
      <c r="R1868" s="9" t="n">
        <v>0.03</v>
      </c>
      <c r="S1868" s="10" t="inlineStr">
        <is>
          <t>SÍ — integrante</t>
        </is>
      </c>
      <c r="T1868" s="11" t="inlineStr">
        <is>
          <t>B · INTEGRANTE</t>
        </is>
      </c>
      <c r="U1868" s="11" t="inlineStr">
        <is>
          <t>DEL BANCO (se hereda)</t>
        </is>
      </c>
      <c r="V1868" s="11" t="n"/>
      <c r="W1868" s="12" t="n"/>
      <c r="X1868" s="12" t="n"/>
    </row>
    <row r="1869" ht="15" customHeight="1">
      <c r="C1869" t="inlineStr">
        <is>
          <t xml:space="preserve">PAIS DE NACIMIENTO </t>
        </is>
      </c>
      <c r="D1869" t="inlineStr">
        <is>
          <t>F4</t>
        </is>
      </c>
      <c r="E1869" t="inlineStr">
        <is>
          <t>INHERENTE</t>
        </is>
      </c>
      <c r="F1869" t="inlineStr">
        <is>
          <t>GAMBIA</t>
        </is>
      </c>
      <c r="G1869" t="inlineStr">
        <is>
          <t>GM</t>
        </is>
      </c>
      <c r="H1869" t="n">
        <v>3</v>
      </c>
      <c r="I1869" t="n">
        <v>3</v>
      </c>
      <c r="J1869" t="n">
        <v>3</v>
      </c>
      <c r="K1869" t="n">
        <v>9</v>
      </c>
      <c r="L1869" t="n">
        <v>9</v>
      </c>
      <c r="M1869" t="n">
        <v>9</v>
      </c>
      <c r="N1869" t="n">
        <v>9</v>
      </c>
      <c r="O1869" t="n">
        <v>15</v>
      </c>
      <c r="P1869" t="n">
        <v>3</v>
      </c>
      <c r="R1869" s="9" t="n">
        <v>0.03</v>
      </c>
      <c r="S1869" s="10" t="inlineStr">
        <is>
          <t>SÍ — integrante</t>
        </is>
      </c>
      <c r="T1869" s="11" t="inlineStr">
        <is>
          <t>B · INTEGRANTE</t>
        </is>
      </c>
      <c r="U1869" s="11" t="inlineStr">
        <is>
          <t>DEL BANCO (se hereda)</t>
        </is>
      </c>
      <c r="V1869" s="11" t="n"/>
      <c r="W1869" s="12" t="n"/>
      <c r="X1869" s="12" t="n"/>
    </row>
    <row r="1870" ht="15" customHeight="1">
      <c r="C1870" t="inlineStr">
        <is>
          <t xml:space="preserve">PAIS DE NACIMIENTO </t>
        </is>
      </c>
      <c r="D1870" t="inlineStr">
        <is>
          <t>F4</t>
        </is>
      </c>
      <c r="E1870" t="inlineStr">
        <is>
          <t>INHERENTE</t>
        </is>
      </c>
      <c r="F1870" t="inlineStr">
        <is>
          <t>GUINEA</t>
        </is>
      </c>
      <c r="G1870" t="inlineStr">
        <is>
          <t>GN</t>
        </is>
      </c>
      <c r="H1870" t="n">
        <v>3</v>
      </c>
      <c r="I1870" t="n">
        <v>3</v>
      </c>
      <c r="J1870" t="n">
        <v>3</v>
      </c>
      <c r="K1870" t="n">
        <v>9</v>
      </c>
      <c r="L1870" t="n">
        <v>9</v>
      </c>
      <c r="M1870" t="n">
        <v>9</v>
      </c>
      <c r="N1870" t="n">
        <v>9</v>
      </c>
      <c r="O1870" t="n">
        <v>15</v>
      </c>
      <c r="P1870" t="n">
        <v>3</v>
      </c>
      <c r="R1870" s="9" t="n">
        <v>0.03</v>
      </c>
      <c r="S1870" s="10" t="inlineStr">
        <is>
          <t>SÍ — integrante</t>
        </is>
      </c>
      <c r="T1870" s="11" t="inlineStr">
        <is>
          <t>B · INTEGRANTE</t>
        </is>
      </c>
      <c r="U1870" s="11" t="inlineStr">
        <is>
          <t>DEL BANCO (se hereda)</t>
        </is>
      </c>
      <c r="V1870" s="11" t="n"/>
      <c r="W1870" s="12" t="n"/>
      <c r="X1870" s="12" t="n"/>
    </row>
    <row r="1871" ht="15" customHeight="1">
      <c r="C1871" t="inlineStr">
        <is>
          <t xml:space="preserve">PAIS DE NACIMIENTO </t>
        </is>
      </c>
      <c r="D1871" t="inlineStr">
        <is>
          <t>F4</t>
        </is>
      </c>
      <c r="E1871" t="inlineStr">
        <is>
          <t>INHERENTE</t>
        </is>
      </c>
      <c r="F1871" t="inlineStr">
        <is>
          <t>GUADALUPE</t>
        </is>
      </c>
      <c r="G1871" t="inlineStr">
        <is>
          <t>GP</t>
        </is>
      </c>
      <c r="H1871" t="n">
        <v>1</v>
      </c>
      <c r="I1871" t="n">
        <v>1</v>
      </c>
      <c r="J1871" t="n">
        <v>3</v>
      </c>
      <c r="K1871" t="n">
        <v>3</v>
      </c>
      <c r="L1871" t="n">
        <v>3</v>
      </c>
      <c r="M1871" t="n">
        <v>3</v>
      </c>
      <c r="N1871" t="n">
        <v>3</v>
      </c>
      <c r="O1871" t="n">
        <v>15</v>
      </c>
      <c r="P1871" t="n">
        <v>3</v>
      </c>
      <c r="R1871" s="9" t="n">
        <v>0.03</v>
      </c>
      <c r="S1871" s="10" t="inlineStr">
        <is>
          <t>SÍ — integrante</t>
        </is>
      </c>
      <c r="T1871" s="11" t="inlineStr">
        <is>
          <t>B · INTEGRANTE</t>
        </is>
      </c>
      <c r="U1871" s="11" t="inlineStr">
        <is>
          <t>DEL BANCO (se hereda)</t>
        </is>
      </c>
      <c r="V1871" s="11" t="n"/>
      <c r="W1871" s="12" t="n"/>
      <c r="X1871" s="12" t="n"/>
    </row>
    <row r="1872" ht="15" customHeight="1">
      <c r="C1872" t="inlineStr">
        <is>
          <t xml:space="preserve">PAIS DE NACIMIENTO </t>
        </is>
      </c>
      <c r="D1872" t="inlineStr">
        <is>
          <t>F4</t>
        </is>
      </c>
      <c r="E1872" t="inlineStr">
        <is>
          <t>INHERENTE</t>
        </is>
      </c>
      <c r="F1872" t="inlineStr">
        <is>
          <t>GUINEA ECU.</t>
        </is>
      </c>
      <c r="G1872" t="inlineStr">
        <is>
          <t>GQ</t>
        </is>
      </c>
      <c r="H1872" t="n">
        <v>4</v>
      </c>
      <c r="I1872" t="n">
        <v>4</v>
      </c>
      <c r="J1872" t="n">
        <v>3</v>
      </c>
      <c r="K1872" t="n">
        <v>12</v>
      </c>
      <c r="L1872" t="n">
        <v>12</v>
      </c>
      <c r="M1872" t="n">
        <v>12</v>
      </c>
      <c r="N1872" t="n">
        <v>12</v>
      </c>
      <c r="O1872" t="n">
        <v>15</v>
      </c>
      <c r="P1872" t="n">
        <v>3</v>
      </c>
      <c r="R1872" s="9" t="n">
        <v>0.03</v>
      </c>
      <c r="S1872" s="10" t="inlineStr">
        <is>
          <t>SÍ — integrante</t>
        </is>
      </c>
      <c r="T1872" s="11" t="inlineStr">
        <is>
          <t>B · INTEGRANTE</t>
        </is>
      </c>
      <c r="U1872" s="11" t="inlineStr">
        <is>
          <t>DEL BANCO (se hereda)</t>
        </is>
      </c>
      <c r="V1872" s="11" t="n"/>
      <c r="W1872" s="12" t="n"/>
      <c r="X1872" s="12" t="n"/>
    </row>
    <row r="1873" ht="15" customHeight="1">
      <c r="C1873" t="inlineStr">
        <is>
          <t xml:space="preserve">PAIS DE NACIMIENTO </t>
        </is>
      </c>
      <c r="D1873" t="inlineStr">
        <is>
          <t>F4</t>
        </is>
      </c>
      <c r="E1873" t="inlineStr">
        <is>
          <t>INHERENTE</t>
        </is>
      </c>
      <c r="F1873" t="inlineStr">
        <is>
          <t>GRECIA</t>
        </is>
      </c>
      <c r="G1873" t="inlineStr">
        <is>
          <t>GR</t>
        </is>
      </c>
      <c r="H1873" t="n">
        <v>1</v>
      </c>
      <c r="I1873" t="n">
        <v>1</v>
      </c>
      <c r="J1873" t="n">
        <v>3</v>
      </c>
      <c r="K1873" t="n">
        <v>3</v>
      </c>
      <c r="L1873" t="n">
        <v>3</v>
      </c>
      <c r="M1873" t="n">
        <v>3</v>
      </c>
      <c r="N1873" t="n">
        <v>3</v>
      </c>
      <c r="O1873" t="n">
        <v>15</v>
      </c>
      <c r="P1873" t="n">
        <v>3</v>
      </c>
      <c r="R1873" s="9" t="n">
        <v>0.03</v>
      </c>
      <c r="S1873" s="10" t="inlineStr">
        <is>
          <t>SÍ — integrante</t>
        </is>
      </c>
      <c r="T1873" s="11" t="inlineStr">
        <is>
          <t>B · INTEGRANTE</t>
        </is>
      </c>
      <c r="U1873" s="11" t="inlineStr">
        <is>
          <t>DEL BANCO (se hereda)</t>
        </is>
      </c>
      <c r="V1873" s="11" t="n"/>
      <c r="W1873" s="12" t="n"/>
      <c r="X1873" s="12" t="n"/>
    </row>
    <row r="1874" ht="15" customHeight="1">
      <c r="C1874" t="inlineStr">
        <is>
          <t xml:space="preserve">PAIS DE NACIMIENTO </t>
        </is>
      </c>
      <c r="D1874" t="inlineStr">
        <is>
          <t>F4</t>
        </is>
      </c>
      <c r="E1874" t="inlineStr">
        <is>
          <t>INHERENTE</t>
        </is>
      </c>
      <c r="F1874" t="inlineStr">
        <is>
          <t>ISLAS GEORGIA</t>
        </is>
      </c>
      <c r="G1874" t="inlineStr">
        <is>
          <t>GS</t>
        </is>
      </c>
      <c r="H1874" t="n">
        <v>1</v>
      </c>
      <c r="I1874" t="n">
        <v>1</v>
      </c>
      <c r="J1874" t="n">
        <v>3</v>
      </c>
      <c r="K1874" t="n">
        <v>3</v>
      </c>
      <c r="L1874" t="n">
        <v>3</v>
      </c>
      <c r="M1874" t="n">
        <v>3</v>
      </c>
      <c r="N1874" t="n">
        <v>3</v>
      </c>
      <c r="O1874" t="n">
        <v>15</v>
      </c>
      <c r="P1874" t="n">
        <v>3</v>
      </c>
      <c r="R1874" s="9" t="n">
        <v>0.03</v>
      </c>
      <c r="S1874" s="10" t="inlineStr">
        <is>
          <t>SÍ — integrante</t>
        </is>
      </c>
      <c r="T1874" s="11" t="inlineStr">
        <is>
          <t>B · INTEGRANTE</t>
        </is>
      </c>
      <c r="U1874" s="11" t="inlineStr">
        <is>
          <t>DEL BANCO (se hereda)</t>
        </is>
      </c>
      <c r="V1874" s="11" t="n"/>
      <c r="W1874" s="12" t="n"/>
      <c r="X1874" s="12" t="n"/>
    </row>
    <row r="1875" ht="15" customHeight="1">
      <c r="C1875" t="inlineStr">
        <is>
          <t xml:space="preserve">PAIS DE NACIMIENTO </t>
        </is>
      </c>
      <c r="D1875" t="inlineStr">
        <is>
          <t>F4</t>
        </is>
      </c>
      <c r="E1875" t="inlineStr">
        <is>
          <t>INHERENTE</t>
        </is>
      </c>
      <c r="F1875" t="inlineStr">
        <is>
          <t>GUATEMALA</t>
        </is>
      </c>
      <c r="G1875" t="inlineStr">
        <is>
          <t>GT</t>
        </is>
      </c>
      <c r="H1875" t="n">
        <v>3</v>
      </c>
      <c r="I1875" t="n">
        <v>3</v>
      </c>
      <c r="J1875" t="n">
        <v>3</v>
      </c>
      <c r="K1875" t="n">
        <v>9</v>
      </c>
      <c r="L1875" t="n">
        <v>9</v>
      </c>
      <c r="M1875" t="n">
        <v>9</v>
      </c>
      <c r="N1875" t="n">
        <v>9</v>
      </c>
      <c r="O1875" t="n">
        <v>15</v>
      </c>
      <c r="P1875" t="n">
        <v>3</v>
      </c>
      <c r="R1875" s="9" t="n">
        <v>0.03</v>
      </c>
      <c r="S1875" s="10" t="inlineStr">
        <is>
          <t>SÍ — integrante</t>
        </is>
      </c>
      <c r="T1875" s="11" t="inlineStr">
        <is>
          <t>B · INTEGRANTE</t>
        </is>
      </c>
      <c r="U1875" s="11" t="inlineStr">
        <is>
          <t>DEL BANCO (se hereda)</t>
        </is>
      </c>
      <c r="V1875" s="11" t="n"/>
      <c r="W1875" s="12" t="n"/>
      <c r="X1875" s="12" t="n"/>
    </row>
    <row r="1876" ht="15" customHeight="1">
      <c r="C1876" t="inlineStr">
        <is>
          <t xml:space="preserve">PAIS DE NACIMIENTO </t>
        </is>
      </c>
      <c r="D1876" t="inlineStr">
        <is>
          <t>F4</t>
        </is>
      </c>
      <c r="E1876" t="inlineStr">
        <is>
          <t>INHERENTE</t>
        </is>
      </c>
      <c r="F1876" t="inlineStr">
        <is>
          <t>GUAM</t>
        </is>
      </c>
      <c r="G1876" t="inlineStr">
        <is>
          <t>GU</t>
        </is>
      </c>
      <c r="H1876" t="n">
        <v>1</v>
      </c>
      <c r="I1876" t="n">
        <v>1</v>
      </c>
      <c r="J1876" t="n">
        <v>3</v>
      </c>
      <c r="K1876" t="n">
        <v>3</v>
      </c>
      <c r="L1876" t="n">
        <v>3</v>
      </c>
      <c r="M1876" t="n">
        <v>3</v>
      </c>
      <c r="N1876" t="n">
        <v>3</v>
      </c>
      <c r="O1876" t="n">
        <v>15</v>
      </c>
      <c r="P1876" t="n">
        <v>3</v>
      </c>
      <c r="R1876" s="9" t="n">
        <v>0.03</v>
      </c>
      <c r="S1876" s="10" t="inlineStr">
        <is>
          <t>SÍ — integrante</t>
        </is>
      </c>
      <c r="T1876" s="11" t="inlineStr">
        <is>
          <t>B · INTEGRANTE</t>
        </is>
      </c>
      <c r="U1876" s="11" t="inlineStr">
        <is>
          <t>DEL BANCO (se hereda)</t>
        </is>
      </c>
      <c r="V1876" s="11" t="n"/>
      <c r="W1876" s="12" t="n"/>
      <c r="X1876" s="12" t="n"/>
    </row>
    <row r="1877" ht="15" customHeight="1">
      <c r="C1877" t="inlineStr">
        <is>
          <t xml:space="preserve">PAIS DE NACIMIENTO </t>
        </is>
      </c>
      <c r="D1877" t="inlineStr">
        <is>
          <t>F4</t>
        </is>
      </c>
      <c r="E1877" t="inlineStr">
        <is>
          <t>INHERENTE</t>
        </is>
      </c>
      <c r="F1877" t="inlineStr">
        <is>
          <t>GUINEA-BISSAU</t>
        </is>
      </c>
      <c r="G1877" t="inlineStr">
        <is>
          <t>GW</t>
        </is>
      </c>
      <c r="H1877" t="n">
        <v>4</v>
      </c>
      <c r="I1877" t="n">
        <v>4</v>
      </c>
      <c r="J1877" t="n">
        <v>3</v>
      </c>
      <c r="K1877" t="n">
        <v>12</v>
      </c>
      <c r="L1877" t="n">
        <v>12</v>
      </c>
      <c r="M1877" t="n">
        <v>12</v>
      </c>
      <c r="N1877" t="n">
        <v>12</v>
      </c>
      <c r="O1877" t="n">
        <v>15</v>
      </c>
      <c r="P1877" t="n">
        <v>3</v>
      </c>
      <c r="R1877" s="9" t="n">
        <v>0.03</v>
      </c>
      <c r="S1877" s="10" t="inlineStr">
        <is>
          <t>SÍ — integrante</t>
        </is>
      </c>
      <c r="T1877" s="11" t="inlineStr">
        <is>
          <t>B · INTEGRANTE</t>
        </is>
      </c>
      <c r="U1877" s="11" t="inlineStr">
        <is>
          <t>DEL BANCO (se hereda)</t>
        </is>
      </c>
      <c r="V1877" s="11" t="n"/>
      <c r="W1877" s="12" t="n"/>
      <c r="X1877" s="12" t="n"/>
    </row>
    <row r="1878" ht="15" customHeight="1">
      <c r="C1878" t="inlineStr">
        <is>
          <t xml:space="preserve">PAIS DE NACIMIENTO </t>
        </is>
      </c>
      <c r="D1878" t="inlineStr">
        <is>
          <t>F4</t>
        </is>
      </c>
      <c r="E1878" t="inlineStr">
        <is>
          <t>INHERENTE</t>
        </is>
      </c>
      <c r="F1878" t="inlineStr">
        <is>
          <t>GUYANA</t>
        </is>
      </c>
      <c r="G1878" t="inlineStr">
        <is>
          <t>GY</t>
        </is>
      </c>
      <c r="H1878" t="n">
        <v>2</v>
      </c>
      <c r="I1878" t="n">
        <v>2</v>
      </c>
      <c r="J1878" t="n">
        <v>3</v>
      </c>
      <c r="K1878" t="n">
        <v>6</v>
      </c>
      <c r="L1878" t="n">
        <v>6</v>
      </c>
      <c r="M1878" t="n">
        <v>6</v>
      </c>
      <c r="N1878" t="n">
        <v>6</v>
      </c>
      <c r="O1878" t="n">
        <v>15</v>
      </c>
      <c r="P1878" t="n">
        <v>3</v>
      </c>
      <c r="R1878" s="9" t="n">
        <v>0.03</v>
      </c>
      <c r="S1878" s="10" t="inlineStr">
        <is>
          <t>SÍ — integrante</t>
        </is>
      </c>
      <c r="T1878" s="11" t="inlineStr">
        <is>
          <t>B · INTEGRANTE</t>
        </is>
      </c>
      <c r="U1878" s="11" t="inlineStr">
        <is>
          <t>DEL BANCO (se hereda)</t>
        </is>
      </c>
      <c r="V1878" s="11" t="n"/>
      <c r="W1878" s="12" t="n"/>
      <c r="X1878" s="12" t="n"/>
    </row>
    <row r="1879" ht="15" customHeight="1">
      <c r="C1879" t="inlineStr">
        <is>
          <t xml:space="preserve">PAIS DE NACIMIENTO </t>
        </is>
      </c>
      <c r="D1879" t="inlineStr">
        <is>
          <t>F4</t>
        </is>
      </c>
      <c r="E1879" t="inlineStr">
        <is>
          <t>INHERENTE</t>
        </is>
      </c>
      <c r="F1879" t="inlineStr">
        <is>
          <t>HONG KONG</t>
        </is>
      </c>
      <c r="G1879" t="inlineStr">
        <is>
          <t>HK</t>
        </is>
      </c>
      <c r="H1879" t="n">
        <v>3</v>
      </c>
      <c r="I1879" t="n">
        <v>3</v>
      </c>
      <c r="J1879" t="n">
        <v>3</v>
      </c>
      <c r="K1879" t="n">
        <v>9</v>
      </c>
      <c r="L1879" t="n">
        <v>9</v>
      </c>
      <c r="M1879" t="n">
        <v>9</v>
      </c>
      <c r="N1879" t="n">
        <v>9</v>
      </c>
      <c r="O1879" t="n">
        <v>15</v>
      </c>
      <c r="P1879" t="n">
        <v>3</v>
      </c>
      <c r="R1879" s="9" t="n">
        <v>0.03</v>
      </c>
      <c r="S1879" s="10" t="inlineStr">
        <is>
          <t>SÍ — integrante</t>
        </is>
      </c>
      <c r="T1879" s="11" t="inlineStr">
        <is>
          <t>B · INTEGRANTE</t>
        </is>
      </c>
      <c r="U1879" s="11" t="inlineStr">
        <is>
          <t>DEL BANCO (se hereda)</t>
        </is>
      </c>
      <c r="V1879" s="11" t="n"/>
      <c r="W1879" s="12" t="n"/>
      <c r="X1879" s="12" t="n"/>
    </row>
    <row r="1880" ht="15" customHeight="1">
      <c r="C1880" t="inlineStr">
        <is>
          <t xml:space="preserve">PAIS DE NACIMIENTO </t>
        </is>
      </c>
      <c r="D1880" t="inlineStr">
        <is>
          <t>F4</t>
        </is>
      </c>
      <c r="E1880" t="inlineStr">
        <is>
          <t>INHERENTE</t>
        </is>
      </c>
      <c r="F1880" t="inlineStr">
        <is>
          <t>HEARD .MCDONALD</t>
        </is>
      </c>
      <c r="G1880" t="inlineStr">
        <is>
          <t>HM</t>
        </is>
      </c>
      <c r="H1880" t="n">
        <v>1</v>
      </c>
      <c r="I1880" t="n">
        <v>1</v>
      </c>
      <c r="J1880" t="n">
        <v>3</v>
      </c>
      <c r="K1880" t="n">
        <v>3</v>
      </c>
      <c r="L1880" t="n">
        <v>3</v>
      </c>
      <c r="M1880" t="n">
        <v>3</v>
      </c>
      <c r="N1880" t="n">
        <v>3</v>
      </c>
      <c r="O1880" t="n">
        <v>15</v>
      </c>
      <c r="P1880" t="n">
        <v>3</v>
      </c>
      <c r="R1880" s="9" t="n">
        <v>0.03</v>
      </c>
      <c r="S1880" s="10" t="inlineStr">
        <is>
          <t>SÍ — integrante</t>
        </is>
      </c>
      <c r="T1880" s="11" t="inlineStr">
        <is>
          <t>B · INTEGRANTE</t>
        </is>
      </c>
      <c r="U1880" s="11" t="inlineStr">
        <is>
          <t>DEL BANCO (se hereda)</t>
        </is>
      </c>
      <c r="V1880" s="11" t="n"/>
      <c r="W1880" s="12" t="n"/>
      <c r="X1880" s="12" t="n"/>
    </row>
    <row r="1881" ht="15" customHeight="1">
      <c r="C1881" t="inlineStr">
        <is>
          <t xml:space="preserve">PAIS DE NACIMIENTO </t>
        </is>
      </c>
      <c r="D1881" t="inlineStr">
        <is>
          <t>F4</t>
        </is>
      </c>
      <c r="E1881" t="inlineStr">
        <is>
          <t>INHERENTE</t>
        </is>
      </c>
      <c r="F1881" t="inlineStr">
        <is>
          <t>HONDURAS</t>
        </is>
      </c>
      <c r="G1881" t="inlineStr">
        <is>
          <t>HN</t>
        </is>
      </c>
      <c r="H1881" t="n">
        <v>3</v>
      </c>
      <c r="I1881" t="n">
        <v>3</v>
      </c>
      <c r="J1881" t="n">
        <v>3</v>
      </c>
      <c r="K1881" t="n">
        <v>9</v>
      </c>
      <c r="L1881" t="n">
        <v>9</v>
      </c>
      <c r="M1881" t="n">
        <v>9</v>
      </c>
      <c r="N1881" t="n">
        <v>9</v>
      </c>
      <c r="O1881" t="n">
        <v>15</v>
      </c>
      <c r="P1881" t="n">
        <v>3</v>
      </c>
      <c r="R1881" s="9" t="n">
        <v>0.03</v>
      </c>
      <c r="S1881" s="10" t="inlineStr">
        <is>
          <t>SÍ — integrante</t>
        </is>
      </c>
      <c r="T1881" s="11" t="inlineStr">
        <is>
          <t>B · INTEGRANTE</t>
        </is>
      </c>
      <c r="U1881" s="11" t="inlineStr">
        <is>
          <t>DEL BANCO (se hereda)</t>
        </is>
      </c>
      <c r="V1881" s="11" t="n"/>
      <c r="W1881" s="12" t="n"/>
      <c r="X1881" s="12" t="n"/>
    </row>
    <row r="1882" ht="15" customHeight="1">
      <c r="C1882" t="inlineStr">
        <is>
          <t xml:space="preserve">PAIS DE NACIMIENTO </t>
        </is>
      </c>
      <c r="D1882" t="inlineStr">
        <is>
          <t>F4</t>
        </is>
      </c>
      <c r="E1882" t="inlineStr">
        <is>
          <t>INHERENTE</t>
        </is>
      </c>
      <c r="F1882" t="inlineStr">
        <is>
          <t>CROACIA</t>
        </is>
      </c>
      <c r="G1882" t="inlineStr">
        <is>
          <t>HR</t>
        </is>
      </c>
      <c r="H1882" t="n">
        <v>1</v>
      </c>
      <c r="I1882" t="n">
        <v>1</v>
      </c>
      <c r="J1882" t="n">
        <v>3</v>
      </c>
      <c r="K1882" t="n">
        <v>3</v>
      </c>
      <c r="L1882" t="n">
        <v>3</v>
      </c>
      <c r="M1882" t="n">
        <v>3</v>
      </c>
      <c r="N1882" t="n">
        <v>3</v>
      </c>
      <c r="O1882" t="n">
        <v>15</v>
      </c>
      <c r="P1882" t="n">
        <v>3</v>
      </c>
      <c r="R1882" s="9" t="n">
        <v>0.03</v>
      </c>
      <c r="S1882" s="10" t="inlineStr">
        <is>
          <t>SÍ — integrante</t>
        </is>
      </c>
      <c r="T1882" s="11" t="inlineStr">
        <is>
          <t>B · INTEGRANTE</t>
        </is>
      </c>
      <c r="U1882" s="11" t="inlineStr">
        <is>
          <t>DEL BANCO (se hereda)</t>
        </is>
      </c>
      <c r="V1882" s="11" t="n"/>
      <c r="W1882" s="12" t="n"/>
      <c r="X1882" s="12" t="n"/>
    </row>
    <row r="1883" ht="15" customHeight="1">
      <c r="C1883" t="inlineStr">
        <is>
          <t xml:space="preserve">PAIS DE NACIMIENTO </t>
        </is>
      </c>
      <c r="D1883" t="inlineStr">
        <is>
          <t>F4</t>
        </is>
      </c>
      <c r="E1883" t="inlineStr">
        <is>
          <t>INHERENTE</t>
        </is>
      </c>
      <c r="F1883" t="inlineStr">
        <is>
          <t>HAITI</t>
        </is>
      </c>
      <c r="G1883" t="inlineStr">
        <is>
          <t>HT</t>
        </is>
      </c>
      <c r="H1883" t="n">
        <v>4</v>
      </c>
      <c r="I1883" t="n">
        <v>4</v>
      </c>
      <c r="J1883" t="n">
        <v>3</v>
      </c>
      <c r="K1883" t="n">
        <v>12</v>
      </c>
      <c r="L1883" t="n">
        <v>12</v>
      </c>
      <c r="M1883" t="n">
        <v>12</v>
      </c>
      <c r="N1883" t="n">
        <v>12</v>
      </c>
      <c r="O1883" t="n">
        <v>15</v>
      </c>
      <c r="P1883" t="n">
        <v>3</v>
      </c>
      <c r="Q1883" t="inlineStr">
        <is>
          <t>DETERMINANTE</t>
        </is>
      </c>
      <c r="R1883" s="9" t="n">
        <v>0.03</v>
      </c>
      <c r="S1883" s="10" t="inlineStr">
        <is>
          <t>SÍ — integrante</t>
        </is>
      </c>
      <c r="T1883" s="11" t="inlineStr">
        <is>
          <t>B · INTEGRANTE</t>
        </is>
      </c>
      <c r="U1883" s="11" t="inlineStr">
        <is>
          <t>DEL BANCO (se hereda)</t>
        </is>
      </c>
      <c r="V1883" s="11" t="n"/>
      <c r="W1883" s="12" t="n"/>
      <c r="X1883" s="12" t="n"/>
    </row>
    <row r="1884" ht="15" customHeight="1">
      <c r="C1884" t="inlineStr">
        <is>
          <t xml:space="preserve">PAIS DE NACIMIENTO </t>
        </is>
      </c>
      <c r="D1884" t="inlineStr">
        <is>
          <t>F4</t>
        </is>
      </c>
      <c r="E1884" t="inlineStr">
        <is>
          <t>INHERENTE</t>
        </is>
      </c>
      <c r="F1884" t="inlineStr">
        <is>
          <t>HUNGRIA</t>
        </is>
      </c>
      <c r="G1884" t="inlineStr">
        <is>
          <t>HU</t>
        </is>
      </c>
      <c r="H1884" t="n">
        <v>2</v>
      </c>
      <c r="I1884" t="n">
        <v>2</v>
      </c>
      <c r="J1884" t="n">
        <v>3</v>
      </c>
      <c r="K1884" t="n">
        <v>6</v>
      </c>
      <c r="L1884" t="n">
        <v>6</v>
      </c>
      <c r="M1884" t="n">
        <v>6</v>
      </c>
      <c r="N1884" t="n">
        <v>6</v>
      </c>
      <c r="O1884" t="n">
        <v>15</v>
      </c>
      <c r="P1884" t="n">
        <v>3</v>
      </c>
      <c r="R1884" s="9" t="n">
        <v>0.03</v>
      </c>
      <c r="S1884" s="10" t="inlineStr">
        <is>
          <t>SÍ — integrante</t>
        </is>
      </c>
      <c r="T1884" s="11" t="inlineStr">
        <is>
          <t>B · INTEGRANTE</t>
        </is>
      </c>
      <c r="U1884" s="11" t="inlineStr">
        <is>
          <t>DEL BANCO (se hereda)</t>
        </is>
      </c>
      <c r="V1884" s="11" t="n"/>
      <c r="W1884" s="12" t="n"/>
      <c r="X1884" s="12" t="n"/>
    </row>
    <row r="1885" ht="15" customHeight="1">
      <c r="C1885" t="inlineStr">
        <is>
          <t xml:space="preserve">PAIS DE NACIMIENTO </t>
        </is>
      </c>
      <c r="D1885" t="inlineStr">
        <is>
          <t>F4</t>
        </is>
      </c>
      <c r="E1885" t="inlineStr">
        <is>
          <t>INHERENTE</t>
        </is>
      </c>
      <c r="F1885" t="inlineStr">
        <is>
          <t>ISLAS DEL CANAL</t>
        </is>
      </c>
      <c r="G1885" t="inlineStr">
        <is>
          <t>IC</t>
        </is>
      </c>
      <c r="H1885" t="n">
        <v>1</v>
      </c>
      <c r="I1885" t="n">
        <v>1</v>
      </c>
      <c r="J1885" t="n">
        <v>3</v>
      </c>
      <c r="K1885" t="n">
        <v>3</v>
      </c>
      <c r="L1885" t="n">
        <v>3</v>
      </c>
      <c r="M1885" t="n">
        <v>3</v>
      </c>
      <c r="N1885" t="n">
        <v>3</v>
      </c>
      <c r="O1885" t="n">
        <v>15</v>
      </c>
      <c r="P1885" t="n">
        <v>3</v>
      </c>
      <c r="R1885" s="9" t="n">
        <v>0.03</v>
      </c>
      <c r="S1885" s="10" t="inlineStr">
        <is>
          <t>SÍ — integrante</t>
        </is>
      </c>
      <c r="T1885" s="11" t="inlineStr">
        <is>
          <t>B · INTEGRANTE</t>
        </is>
      </c>
      <c r="U1885" s="11" t="inlineStr">
        <is>
          <t>DEL BANCO (se hereda)</t>
        </is>
      </c>
      <c r="V1885" s="11" t="n"/>
      <c r="W1885" s="12" t="n"/>
      <c r="X1885" s="12" t="n"/>
    </row>
    <row r="1886" ht="15" customHeight="1">
      <c r="C1886" t="inlineStr">
        <is>
          <t xml:space="preserve">PAIS DE NACIMIENTO </t>
        </is>
      </c>
      <c r="D1886" t="inlineStr">
        <is>
          <t>F4</t>
        </is>
      </c>
      <c r="E1886" t="inlineStr">
        <is>
          <t>INHERENTE</t>
        </is>
      </c>
      <c r="F1886" t="inlineStr">
        <is>
          <t>INDONESIA</t>
        </is>
      </c>
      <c r="G1886" t="inlineStr">
        <is>
          <t>ID</t>
        </is>
      </c>
      <c r="H1886" t="n">
        <v>3</v>
      </c>
      <c r="I1886" t="n">
        <v>3</v>
      </c>
      <c r="J1886" t="n">
        <v>3</v>
      </c>
      <c r="K1886" t="n">
        <v>9</v>
      </c>
      <c r="L1886" t="n">
        <v>9</v>
      </c>
      <c r="M1886" t="n">
        <v>9</v>
      </c>
      <c r="N1886" t="n">
        <v>9</v>
      </c>
      <c r="O1886" t="n">
        <v>15</v>
      </c>
      <c r="P1886" t="n">
        <v>3</v>
      </c>
      <c r="R1886" s="9" t="n">
        <v>0.03</v>
      </c>
      <c r="S1886" s="10" t="inlineStr">
        <is>
          <t>SÍ — integrante</t>
        </is>
      </c>
      <c r="T1886" s="11" t="inlineStr">
        <is>
          <t>B · INTEGRANTE</t>
        </is>
      </c>
      <c r="U1886" s="11" t="inlineStr">
        <is>
          <t>DEL BANCO (se hereda)</t>
        </is>
      </c>
      <c r="V1886" s="11" t="n"/>
      <c r="W1886" s="12" t="n"/>
      <c r="X1886" s="12" t="n"/>
    </row>
    <row r="1887" ht="15" customHeight="1">
      <c r="C1887" t="inlineStr">
        <is>
          <t xml:space="preserve">PAIS DE NACIMIENTO </t>
        </is>
      </c>
      <c r="D1887" t="inlineStr">
        <is>
          <t>F4</t>
        </is>
      </c>
      <c r="E1887" t="inlineStr">
        <is>
          <t>INHERENTE</t>
        </is>
      </c>
      <c r="F1887" t="inlineStr">
        <is>
          <t>IRLANDA</t>
        </is>
      </c>
      <c r="G1887" t="inlineStr">
        <is>
          <t>IE</t>
        </is>
      </c>
      <c r="H1887" t="n">
        <v>1</v>
      </c>
      <c r="I1887" t="n">
        <v>1</v>
      </c>
      <c r="J1887" t="n">
        <v>3</v>
      </c>
      <c r="K1887" t="n">
        <v>3</v>
      </c>
      <c r="L1887" t="n">
        <v>3</v>
      </c>
      <c r="M1887" t="n">
        <v>3</v>
      </c>
      <c r="N1887" t="n">
        <v>3</v>
      </c>
      <c r="O1887" t="n">
        <v>15</v>
      </c>
      <c r="P1887" t="n">
        <v>3</v>
      </c>
      <c r="R1887" s="9" t="n">
        <v>0.03</v>
      </c>
      <c r="S1887" s="10" t="inlineStr">
        <is>
          <t>SÍ — integrante</t>
        </is>
      </c>
      <c r="T1887" s="11" t="inlineStr">
        <is>
          <t>B · INTEGRANTE</t>
        </is>
      </c>
      <c r="U1887" s="11" t="inlineStr">
        <is>
          <t>DEL BANCO (se hereda)</t>
        </is>
      </c>
      <c r="V1887" s="11" t="n"/>
      <c r="W1887" s="12" t="n"/>
      <c r="X1887" s="12" t="n"/>
    </row>
    <row r="1888" ht="15" customHeight="1">
      <c r="C1888" t="inlineStr">
        <is>
          <t xml:space="preserve">PAIS DE NACIMIENTO </t>
        </is>
      </c>
      <c r="D1888" t="inlineStr">
        <is>
          <t>F4</t>
        </is>
      </c>
      <c r="E1888" t="inlineStr">
        <is>
          <t>INHERENTE</t>
        </is>
      </c>
      <c r="F1888" t="inlineStr">
        <is>
          <t>ISRAEL</t>
        </is>
      </c>
      <c r="G1888" t="inlineStr">
        <is>
          <t>IL</t>
        </is>
      </c>
      <c r="H1888" t="n">
        <v>1</v>
      </c>
      <c r="I1888" t="n">
        <v>1</v>
      </c>
      <c r="J1888" t="n">
        <v>3</v>
      </c>
      <c r="K1888" t="n">
        <v>3</v>
      </c>
      <c r="L1888" t="n">
        <v>3</v>
      </c>
      <c r="M1888" t="n">
        <v>3</v>
      </c>
      <c r="N1888" t="n">
        <v>3</v>
      </c>
      <c r="O1888" t="n">
        <v>15</v>
      </c>
      <c r="P1888" t="n">
        <v>3</v>
      </c>
      <c r="R1888" s="9" t="n">
        <v>0.03</v>
      </c>
      <c r="S1888" s="10" t="inlineStr">
        <is>
          <t>SÍ — integrante</t>
        </is>
      </c>
      <c r="T1888" s="11" t="inlineStr">
        <is>
          <t>B · INTEGRANTE</t>
        </is>
      </c>
      <c r="U1888" s="11" t="inlineStr">
        <is>
          <t>DEL BANCO (se hereda)</t>
        </is>
      </c>
      <c r="V1888" s="11" t="n"/>
      <c r="W1888" s="12" t="n"/>
      <c r="X1888" s="12" t="n"/>
    </row>
    <row r="1889" ht="15" customHeight="1">
      <c r="C1889" t="inlineStr">
        <is>
          <t xml:space="preserve">PAIS DE NACIMIENTO </t>
        </is>
      </c>
      <c r="D1889" t="inlineStr">
        <is>
          <t>F4</t>
        </is>
      </c>
      <c r="E1889" t="inlineStr">
        <is>
          <t>INHERENTE</t>
        </is>
      </c>
      <c r="F1889" t="inlineStr">
        <is>
          <t>ISLA DE MAN</t>
        </is>
      </c>
      <c r="G1889" t="inlineStr">
        <is>
          <t>IM</t>
        </is>
      </c>
      <c r="H1889" t="n">
        <v>1</v>
      </c>
      <c r="I1889" t="n">
        <v>1</v>
      </c>
      <c r="J1889" t="n">
        <v>3</v>
      </c>
      <c r="K1889" t="n">
        <v>3</v>
      </c>
      <c r="L1889" t="n">
        <v>3</v>
      </c>
      <c r="M1889" t="n">
        <v>3</v>
      </c>
      <c r="N1889" t="n">
        <v>3</v>
      </c>
      <c r="O1889" t="n">
        <v>15</v>
      </c>
      <c r="P1889" t="n">
        <v>3</v>
      </c>
      <c r="R1889" s="9" t="n">
        <v>0.03</v>
      </c>
      <c r="S1889" s="10" t="inlineStr">
        <is>
          <t>SÍ — integrante</t>
        </is>
      </c>
      <c r="T1889" s="11" t="inlineStr">
        <is>
          <t>B · INTEGRANTE</t>
        </is>
      </c>
      <c r="U1889" s="11" t="inlineStr">
        <is>
          <t>DEL BANCO (se hereda)</t>
        </is>
      </c>
      <c r="V1889" s="11" t="n"/>
      <c r="W1889" s="12" t="n"/>
      <c r="X1889" s="12" t="n"/>
    </row>
    <row r="1890" ht="15" customHeight="1">
      <c r="C1890" t="inlineStr">
        <is>
          <t xml:space="preserve">PAIS DE NACIMIENTO </t>
        </is>
      </c>
      <c r="D1890" t="inlineStr">
        <is>
          <t>F4</t>
        </is>
      </c>
      <c r="E1890" t="inlineStr">
        <is>
          <t>INHERENTE</t>
        </is>
      </c>
      <c r="F1890" t="inlineStr">
        <is>
          <t>INDIA</t>
        </is>
      </c>
      <c r="G1890" t="inlineStr">
        <is>
          <t>IN</t>
        </is>
      </c>
      <c r="H1890" t="n">
        <v>3</v>
      </c>
      <c r="I1890" t="n">
        <v>3</v>
      </c>
      <c r="J1890" t="n">
        <v>3</v>
      </c>
      <c r="K1890" t="n">
        <v>9</v>
      </c>
      <c r="L1890" t="n">
        <v>9</v>
      </c>
      <c r="M1890" t="n">
        <v>9</v>
      </c>
      <c r="N1890" t="n">
        <v>9</v>
      </c>
      <c r="O1890" t="n">
        <v>15</v>
      </c>
      <c r="P1890" t="n">
        <v>3</v>
      </c>
      <c r="R1890" s="9" t="n">
        <v>0.03</v>
      </c>
      <c r="S1890" s="10" t="inlineStr">
        <is>
          <t>SÍ — integrante</t>
        </is>
      </c>
      <c r="T1890" s="11" t="inlineStr">
        <is>
          <t>B · INTEGRANTE</t>
        </is>
      </c>
      <c r="U1890" s="11" t="inlineStr">
        <is>
          <t>DEL BANCO (se hereda)</t>
        </is>
      </c>
      <c r="V1890" s="11" t="n"/>
      <c r="W1890" s="12" t="n"/>
      <c r="X1890" s="12" t="n"/>
    </row>
    <row r="1891" ht="15" customHeight="1">
      <c r="C1891" t="inlineStr">
        <is>
          <t xml:space="preserve">PAIS DE NACIMIENTO </t>
        </is>
      </c>
      <c r="D1891" t="inlineStr">
        <is>
          <t>F4</t>
        </is>
      </c>
      <c r="E1891" t="inlineStr">
        <is>
          <t>INHERENTE</t>
        </is>
      </c>
      <c r="F1891" t="inlineStr">
        <is>
          <t>TERRITORIO BRIT</t>
        </is>
      </c>
      <c r="G1891" t="inlineStr">
        <is>
          <t>IO</t>
        </is>
      </c>
      <c r="H1891" t="n">
        <v>1</v>
      </c>
      <c r="I1891" t="n">
        <v>1</v>
      </c>
      <c r="J1891" t="n">
        <v>3</v>
      </c>
      <c r="K1891" t="n">
        <v>3</v>
      </c>
      <c r="L1891" t="n">
        <v>3</v>
      </c>
      <c r="M1891" t="n">
        <v>3</v>
      </c>
      <c r="N1891" t="n">
        <v>3</v>
      </c>
      <c r="O1891" t="n">
        <v>15</v>
      </c>
      <c r="P1891" t="n">
        <v>3</v>
      </c>
      <c r="R1891" s="9" t="n">
        <v>0.03</v>
      </c>
      <c r="S1891" s="10" t="inlineStr">
        <is>
          <t>SÍ — integrante</t>
        </is>
      </c>
      <c r="T1891" s="11" t="inlineStr">
        <is>
          <t>B · INTEGRANTE</t>
        </is>
      </c>
      <c r="U1891" s="11" t="inlineStr">
        <is>
          <t>DEL BANCO (se hereda)</t>
        </is>
      </c>
      <c r="V1891" s="11" t="n"/>
      <c r="W1891" s="12" t="n"/>
      <c r="X1891" s="12" t="n"/>
    </row>
    <row r="1892" ht="15" customHeight="1">
      <c r="C1892" t="inlineStr">
        <is>
          <t xml:space="preserve">PAIS DE NACIMIENTO </t>
        </is>
      </c>
      <c r="D1892" t="inlineStr">
        <is>
          <t>F4</t>
        </is>
      </c>
      <c r="E1892" t="inlineStr">
        <is>
          <t>INHERENTE</t>
        </is>
      </c>
      <c r="F1892" t="inlineStr">
        <is>
          <t>IRAK (GFG)</t>
        </is>
      </c>
      <c r="G1892" t="inlineStr">
        <is>
          <t>IQ</t>
        </is>
      </c>
      <c r="H1892" t="n">
        <v>3</v>
      </c>
      <c r="I1892" t="n">
        <v>3</v>
      </c>
      <c r="J1892" t="n">
        <v>3</v>
      </c>
      <c r="K1892" t="n">
        <v>9</v>
      </c>
      <c r="L1892" t="n">
        <v>9</v>
      </c>
      <c r="M1892" t="n">
        <v>9</v>
      </c>
      <c r="N1892" t="n">
        <v>9</v>
      </c>
      <c r="O1892" t="n">
        <v>15</v>
      </c>
      <c r="P1892" t="n">
        <v>3</v>
      </c>
      <c r="R1892" s="9" t="n">
        <v>0.03</v>
      </c>
      <c r="S1892" s="10" t="inlineStr">
        <is>
          <t>SÍ — integrante</t>
        </is>
      </c>
      <c r="T1892" s="11" t="inlineStr">
        <is>
          <t>B · INTEGRANTE</t>
        </is>
      </c>
      <c r="U1892" s="11" t="inlineStr">
        <is>
          <t>DEL BANCO (se hereda)</t>
        </is>
      </c>
      <c r="V1892" s="11" t="n"/>
      <c r="W1892" s="12" t="n"/>
      <c r="X1892" s="12" t="n"/>
    </row>
    <row r="1893" ht="15" customHeight="1">
      <c r="C1893" t="inlineStr">
        <is>
          <t xml:space="preserve">PAIS DE NACIMIENTO </t>
        </is>
      </c>
      <c r="D1893" t="inlineStr">
        <is>
          <t>F4</t>
        </is>
      </c>
      <c r="E1893" t="inlineStr">
        <is>
          <t>INHERENTE</t>
        </is>
      </c>
      <c r="F1893" t="inlineStr">
        <is>
          <t>IRAN</t>
        </is>
      </c>
      <c r="G1893" t="inlineStr">
        <is>
          <t>IR</t>
        </is>
      </c>
      <c r="H1893" t="n">
        <v>5</v>
      </c>
      <c r="I1893" t="n">
        <v>5</v>
      </c>
      <c r="J1893" t="n">
        <v>3</v>
      </c>
      <c r="K1893" t="n">
        <v>15</v>
      </c>
      <c r="L1893" t="n">
        <v>15</v>
      </c>
      <c r="M1893" t="n">
        <v>15</v>
      </c>
      <c r="N1893" t="n">
        <v>15</v>
      </c>
      <c r="O1893" t="n">
        <v>15</v>
      </c>
      <c r="P1893" t="n">
        <v>3</v>
      </c>
      <c r="Q1893" t="inlineStr">
        <is>
          <t>PROHIBITIVO</t>
        </is>
      </c>
      <c r="R1893" s="9" t="n">
        <v>0.03</v>
      </c>
      <c r="S1893" s="10" t="inlineStr">
        <is>
          <t>SÍ — integrante</t>
        </is>
      </c>
      <c r="T1893" s="11" t="inlineStr">
        <is>
          <t>B · INTEGRANTE</t>
        </is>
      </c>
      <c r="U1893" s="11" t="inlineStr">
        <is>
          <t>DEL BANCO (se hereda)</t>
        </is>
      </c>
      <c r="V1893" s="11" t="n"/>
      <c r="W1893" s="12" t="n"/>
      <c r="X1893" s="12" t="n"/>
    </row>
    <row r="1894" ht="15" customHeight="1">
      <c r="C1894" t="inlineStr">
        <is>
          <t xml:space="preserve">PAIS DE NACIMIENTO </t>
        </is>
      </c>
      <c r="D1894" t="inlineStr">
        <is>
          <t>F4</t>
        </is>
      </c>
      <c r="E1894" t="inlineStr">
        <is>
          <t>INHERENTE</t>
        </is>
      </c>
      <c r="F1894" t="inlineStr">
        <is>
          <t>ISLANDIA</t>
        </is>
      </c>
      <c r="G1894" t="inlineStr">
        <is>
          <t>IS</t>
        </is>
      </c>
      <c r="H1894" t="n">
        <v>1</v>
      </c>
      <c r="I1894" t="n">
        <v>1</v>
      </c>
      <c r="J1894" t="n">
        <v>3</v>
      </c>
      <c r="K1894" t="n">
        <v>3</v>
      </c>
      <c r="L1894" t="n">
        <v>3</v>
      </c>
      <c r="M1894" t="n">
        <v>3</v>
      </c>
      <c r="N1894" t="n">
        <v>3</v>
      </c>
      <c r="O1894" t="n">
        <v>15</v>
      </c>
      <c r="P1894" t="n">
        <v>3</v>
      </c>
      <c r="R1894" s="9" t="n">
        <v>0.03</v>
      </c>
      <c r="S1894" s="10" t="inlineStr">
        <is>
          <t>SÍ — integrante</t>
        </is>
      </c>
      <c r="T1894" s="11" t="inlineStr">
        <is>
          <t>B · INTEGRANTE</t>
        </is>
      </c>
      <c r="U1894" s="11" t="inlineStr">
        <is>
          <t>DEL BANCO (se hereda)</t>
        </is>
      </c>
      <c r="V1894" s="11" t="n"/>
      <c r="W1894" s="12" t="n"/>
      <c r="X1894" s="12" t="n"/>
    </row>
    <row r="1895" ht="15" customHeight="1">
      <c r="C1895" t="inlineStr">
        <is>
          <t xml:space="preserve">PAIS DE NACIMIENTO </t>
        </is>
      </c>
      <c r="D1895" t="inlineStr">
        <is>
          <t>F4</t>
        </is>
      </c>
      <c r="E1895" t="inlineStr">
        <is>
          <t>INHERENTE</t>
        </is>
      </c>
      <c r="F1895" t="inlineStr">
        <is>
          <t>ITALIA</t>
        </is>
      </c>
      <c r="G1895" t="inlineStr">
        <is>
          <t>IT</t>
        </is>
      </c>
      <c r="H1895" t="n">
        <v>1</v>
      </c>
      <c r="I1895" t="n">
        <v>1</v>
      </c>
      <c r="J1895" t="n">
        <v>3</v>
      </c>
      <c r="K1895" t="n">
        <v>3</v>
      </c>
      <c r="L1895" t="n">
        <v>3</v>
      </c>
      <c r="M1895" t="n">
        <v>3</v>
      </c>
      <c r="N1895" t="n">
        <v>3</v>
      </c>
      <c r="O1895" t="n">
        <v>15</v>
      </c>
      <c r="P1895" t="n">
        <v>3</v>
      </c>
      <c r="R1895" s="9" t="n">
        <v>0.03</v>
      </c>
      <c r="S1895" s="10" t="inlineStr">
        <is>
          <t>SÍ — integrante</t>
        </is>
      </c>
      <c r="T1895" s="11" t="inlineStr">
        <is>
          <t>B · INTEGRANTE</t>
        </is>
      </c>
      <c r="U1895" s="11" t="inlineStr">
        <is>
          <t>DEL BANCO (se hereda)</t>
        </is>
      </c>
      <c r="V1895" s="11" t="n"/>
      <c r="W1895" s="12" t="n"/>
      <c r="X1895" s="12" t="n"/>
    </row>
    <row r="1896" ht="15" customHeight="1">
      <c r="C1896" t="inlineStr">
        <is>
          <t xml:space="preserve">PAIS DE NACIMIENTO </t>
        </is>
      </c>
      <c r="D1896" t="inlineStr">
        <is>
          <t>F4</t>
        </is>
      </c>
      <c r="E1896" t="inlineStr">
        <is>
          <t>INHERENTE</t>
        </is>
      </c>
      <c r="F1896" t="inlineStr">
        <is>
          <t>ISLAS VIRGENES BRITA</t>
        </is>
      </c>
      <c r="G1896" t="inlineStr">
        <is>
          <t>IV</t>
        </is>
      </c>
      <c r="H1896" t="n">
        <v>4</v>
      </c>
      <c r="I1896" t="n">
        <v>4</v>
      </c>
      <c r="J1896" t="n">
        <v>3</v>
      </c>
      <c r="K1896" t="n">
        <v>12</v>
      </c>
      <c r="L1896" t="n">
        <v>12</v>
      </c>
      <c r="M1896" t="n">
        <v>12</v>
      </c>
      <c r="N1896" t="n">
        <v>12</v>
      </c>
      <c r="O1896" t="n">
        <v>15</v>
      </c>
      <c r="P1896" t="n">
        <v>3</v>
      </c>
      <c r="Q1896" t="inlineStr">
        <is>
          <t>DETERMINANTE</t>
        </is>
      </c>
      <c r="R1896" s="9" t="n">
        <v>0.03</v>
      </c>
      <c r="S1896" s="10" t="inlineStr">
        <is>
          <t>SÍ — integrante</t>
        </is>
      </c>
      <c r="T1896" s="11" t="inlineStr">
        <is>
          <t>B · INTEGRANTE</t>
        </is>
      </c>
      <c r="U1896" s="11" t="inlineStr">
        <is>
          <t>DEL BANCO (se hereda)</t>
        </is>
      </c>
      <c r="V1896" s="11" t="n"/>
      <c r="W1896" s="12" t="n"/>
      <c r="X1896" s="12" t="n"/>
    </row>
    <row r="1897" ht="15" customHeight="1">
      <c r="C1897" t="inlineStr">
        <is>
          <t xml:space="preserve">PAIS DE NACIMIENTO </t>
        </is>
      </c>
      <c r="D1897" t="inlineStr">
        <is>
          <t>F4</t>
        </is>
      </c>
      <c r="E1897" t="inlineStr">
        <is>
          <t>INHERENTE</t>
        </is>
      </c>
      <c r="F1897" t="inlineStr">
        <is>
          <t>ISLA DE JERSEY</t>
        </is>
      </c>
      <c r="G1897" t="inlineStr">
        <is>
          <t>JE</t>
        </is>
      </c>
      <c r="H1897" t="n">
        <v>1</v>
      </c>
      <c r="I1897" t="n">
        <v>1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15</v>
      </c>
      <c r="P1897" t="n">
        <v>3</v>
      </c>
      <c r="R1897" s="9" t="n">
        <v>0.03</v>
      </c>
      <c r="S1897" s="10" t="inlineStr">
        <is>
          <t>SÍ — integrante</t>
        </is>
      </c>
      <c r="T1897" s="11" t="inlineStr">
        <is>
          <t>B · INTEGRANTE</t>
        </is>
      </c>
      <c r="U1897" s="11" t="inlineStr">
        <is>
          <t>DEL BANCO (se hereda)</t>
        </is>
      </c>
      <c r="V1897" s="11" t="n"/>
      <c r="W1897" s="12" t="n"/>
      <c r="X1897" s="12" t="n"/>
    </row>
    <row r="1898" ht="15" customHeight="1">
      <c r="C1898" t="inlineStr">
        <is>
          <t xml:space="preserve">PAIS DE NACIMIENTO </t>
        </is>
      </c>
      <c r="D1898" t="inlineStr">
        <is>
          <t>F4</t>
        </is>
      </c>
      <c r="E1898" t="inlineStr">
        <is>
          <t>INHERENTE</t>
        </is>
      </c>
      <c r="F1898" t="inlineStr">
        <is>
          <t>JAMAICA</t>
        </is>
      </c>
      <c r="G1898" t="inlineStr">
        <is>
          <t>JM</t>
        </is>
      </c>
      <c r="H1898" t="n">
        <v>3</v>
      </c>
      <c r="I1898" t="n">
        <v>3</v>
      </c>
      <c r="J1898" t="n">
        <v>3</v>
      </c>
      <c r="K1898" t="n">
        <v>9</v>
      </c>
      <c r="L1898" t="n">
        <v>9</v>
      </c>
      <c r="M1898" t="n">
        <v>9</v>
      </c>
      <c r="N1898" t="n">
        <v>9</v>
      </c>
      <c r="O1898" t="n">
        <v>15</v>
      </c>
      <c r="P1898" t="n">
        <v>3</v>
      </c>
      <c r="R1898" s="9" t="n">
        <v>0.03</v>
      </c>
      <c r="S1898" s="10" t="inlineStr">
        <is>
          <t>SÍ — integrante</t>
        </is>
      </c>
      <c r="T1898" s="11" t="inlineStr">
        <is>
          <t>B · INTEGRANTE</t>
        </is>
      </c>
      <c r="U1898" s="11" t="inlineStr">
        <is>
          <t>DEL BANCO (se hereda)</t>
        </is>
      </c>
      <c r="V1898" s="11" t="n"/>
      <c r="W1898" s="12" t="n"/>
      <c r="X1898" s="12" t="n"/>
    </row>
    <row r="1899" ht="15" customHeight="1">
      <c r="C1899" t="inlineStr">
        <is>
          <t xml:space="preserve">PAIS DE NACIMIENTO </t>
        </is>
      </c>
      <c r="D1899" t="inlineStr">
        <is>
          <t>F4</t>
        </is>
      </c>
      <c r="E1899" t="inlineStr">
        <is>
          <t>INHERENTE</t>
        </is>
      </c>
      <c r="F1899" t="inlineStr">
        <is>
          <t>JORDANIA</t>
        </is>
      </c>
      <c r="G1899" t="inlineStr">
        <is>
          <t>JO</t>
        </is>
      </c>
      <c r="H1899" t="n">
        <v>2</v>
      </c>
      <c r="I1899" t="n">
        <v>2</v>
      </c>
      <c r="J1899" t="n">
        <v>3</v>
      </c>
      <c r="K1899" t="n">
        <v>6</v>
      </c>
      <c r="L1899" t="n">
        <v>6</v>
      </c>
      <c r="M1899" t="n">
        <v>6</v>
      </c>
      <c r="N1899" t="n">
        <v>6</v>
      </c>
      <c r="O1899" t="n">
        <v>15</v>
      </c>
      <c r="P1899" t="n">
        <v>3</v>
      </c>
      <c r="R1899" s="9" t="n">
        <v>0.03</v>
      </c>
      <c r="S1899" s="10" t="inlineStr">
        <is>
          <t>SÍ — integrante</t>
        </is>
      </c>
      <c r="T1899" s="11" t="inlineStr">
        <is>
          <t>B · INTEGRANTE</t>
        </is>
      </c>
      <c r="U1899" s="11" t="inlineStr">
        <is>
          <t>DEL BANCO (se hereda)</t>
        </is>
      </c>
      <c r="V1899" s="11" t="n"/>
      <c r="W1899" s="12" t="n"/>
      <c r="X1899" s="12" t="n"/>
    </row>
    <row r="1900" ht="15" customHeight="1">
      <c r="C1900" t="inlineStr">
        <is>
          <t xml:space="preserve">PAIS DE NACIMIENTO </t>
        </is>
      </c>
      <c r="D1900" t="inlineStr">
        <is>
          <t>F4</t>
        </is>
      </c>
      <c r="E1900" t="inlineStr">
        <is>
          <t>INHERENTE</t>
        </is>
      </c>
      <c r="F1900" t="inlineStr">
        <is>
          <t>JAPON</t>
        </is>
      </c>
      <c r="G1900" t="inlineStr">
        <is>
          <t>JP</t>
        </is>
      </c>
      <c r="H1900" t="n">
        <v>1</v>
      </c>
      <c r="I1900" t="n">
        <v>1</v>
      </c>
      <c r="J1900" t="n">
        <v>3</v>
      </c>
      <c r="K1900" t="n">
        <v>3</v>
      </c>
      <c r="L1900" t="n">
        <v>3</v>
      </c>
      <c r="M1900" t="n">
        <v>3</v>
      </c>
      <c r="N1900" t="n">
        <v>3</v>
      </c>
      <c r="O1900" t="n">
        <v>15</v>
      </c>
      <c r="P1900" t="n">
        <v>3</v>
      </c>
      <c r="R1900" s="9" t="n">
        <v>0.03</v>
      </c>
      <c r="S1900" s="10" t="inlineStr">
        <is>
          <t>SÍ — integrante</t>
        </is>
      </c>
      <c r="T1900" s="11" t="inlineStr">
        <is>
          <t>B · INTEGRANTE</t>
        </is>
      </c>
      <c r="U1900" s="11" t="inlineStr">
        <is>
          <t>DEL BANCO (se hereda)</t>
        </is>
      </c>
      <c r="V1900" s="11" t="n"/>
      <c r="W1900" s="12" t="n"/>
      <c r="X1900" s="12" t="n"/>
    </row>
    <row r="1901" ht="15" customHeight="1">
      <c r="C1901" t="inlineStr">
        <is>
          <t xml:space="preserve">PAIS DE NACIMIENTO </t>
        </is>
      </c>
      <c r="D1901" t="inlineStr">
        <is>
          <t>F4</t>
        </is>
      </c>
      <c r="E1901" t="inlineStr">
        <is>
          <t>INHERENTE</t>
        </is>
      </c>
      <c r="F1901" t="inlineStr">
        <is>
          <t>KENYA</t>
        </is>
      </c>
      <c r="G1901" t="inlineStr">
        <is>
          <t>KE</t>
        </is>
      </c>
      <c r="H1901" t="n">
        <v>4</v>
      </c>
      <c r="I1901" t="n">
        <v>4</v>
      </c>
      <c r="J1901" t="n">
        <v>3</v>
      </c>
      <c r="K1901" t="n">
        <v>12</v>
      </c>
      <c r="L1901" t="n">
        <v>12</v>
      </c>
      <c r="M1901" t="n">
        <v>12</v>
      </c>
      <c r="N1901" t="n">
        <v>12</v>
      </c>
      <c r="O1901" t="n">
        <v>15</v>
      </c>
      <c r="P1901" t="n">
        <v>3</v>
      </c>
      <c r="Q1901" t="inlineStr">
        <is>
          <t>DETERMINANTE</t>
        </is>
      </c>
      <c r="R1901" s="9" t="n">
        <v>0.03</v>
      </c>
      <c r="S1901" s="10" t="inlineStr">
        <is>
          <t>SÍ — integrante</t>
        </is>
      </c>
      <c r="T1901" s="11" t="inlineStr">
        <is>
          <t>B · INTEGRANTE</t>
        </is>
      </c>
      <c r="U1901" s="11" t="inlineStr">
        <is>
          <t>DEL BANCO (se hereda)</t>
        </is>
      </c>
      <c r="V1901" s="11" t="n"/>
      <c r="W1901" s="12" t="n"/>
      <c r="X1901" s="12" t="n"/>
    </row>
    <row r="1902" ht="15" customHeight="1">
      <c r="C1902" t="inlineStr">
        <is>
          <t xml:space="preserve">PAIS DE NACIMIENTO </t>
        </is>
      </c>
      <c r="D1902" t="inlineStr">
        <is>
          <t>F4</t>
        </is>
      </c>
      <c r="E1902" t="inlineStr">
        <is>
          <t>INHERENTE</t>
        </is>
      </c>
      <c r="F1902" t="inlineStr">
        <is>
          <t>KYRGYZSTAN</t>
        </is>
      </c>
      <c r="G1902" t="inlineStr">
        <is>
          <t>KG</t>
        </is>
      </c>
      <c r="H1902" t="n">
        <v>3</v>
      </c>
      <c r="I1902" t="n">
        <v>3</v>
      </c>
      <c r="J1902" t="n">
        <v>3</v>
      </c>
      <c r="K1902" t="n">
        <v>9</v>
      </c>
      <c r="L1902" t="n">
        <v>9</v>
      </c>
      <c r="M1902" t="n">
        <v>9</v>
      </c>
      <c r="N1902" t="n">
        <v>9</v>
      </c>
      <c r="O1902" t="n">
        <v>15</v>
      </c>
      <c r="P1902" t="n">
        <v>3</v>
      </c>
      <c r="R1902" s="9" t="n">
        <v>0.03</v>
      </c>
      <c r="S1902" s="10" t="inlineStr">
        <is>
          <t>SÍ — integrante</t>
        </is>
      </c>
      <c r="T1902" s="11" t="inlineStr">
        <is>
          <t>B · INTEGRANTE</t>
        </is>
      </c>
      <c r="U1902" s="11" t="inlineStr">
        <is>
          <t>DEL BANCO (se hereda)</t>
        </is>
      </c>
      <c r="V1902" s="11" t="n"/>
      <c r="W1902" s="12" t="n"/>
      <c r="X1902" s="12" t="n"/>
    </row>
    <row r="1903" ht="15" customHeight="1">
      <c r="C1903" t="inlineStr">
        <is>
          <t xml:space="preserve">PAIS DE NACIMIENTO </t>
        </is>
      </c>
      <c r="D1903" t="inlineStr">
        <is>
          <t>F4</t>
        </is>
      </c>
      <c r="E1903" t="inlineStr">
        <is>
          <t>INHERENTE</t>
        </is>
      </c>
      <c r="F1903" t="inlineStr">
        <is>
          <t>CAMBOYA</t>
        </is>
      </c>
      <c r="G1903" t="inlineStr">
        <is>
          <t>KH</t>
        </is>
      </c>
      <c r="H1903" t="n">
        <v>4</v>
      </c>
      <c r="I1903" t="n">
        <v>4</v>
      </c>
      <c r="J1903" t="n">
        <v>3</v>
      </c>
      <c r="K1903" t="n">
        <v>12</v>
      </c>
      <c r="L1903" t="n">
        <v>12</v>
      </c>
      <c r="M1903" t="n">
        <v>12</v>
      </c>
      <c r="N1903" t="n">
        <v>12</v>
      </c>
      <c r="O1903" t="n">
        <v>15</v>
      </c>
      <c r="P1903" t="n">
        <v>3</v>
      </c>
      <c r="R1903" s="9" t="n">
        <v>0.03</v>
      </c>
      <c r="S1903" s="10" t="inlineStr">
        <is>
          <t>SÍ — integrante</t>
        </is>
      </c>
      <c r="T1903" s="11" t="inlineStr">
        <is>
          <t>B · INTEGRANTE</t>
        </is>
      </c>
      <c r="U1903" s="11" t="inlineStr">
        <is>
          <t>DEL BANCO (se hereda)</t>
        </is>
      </c>
      <c r="V1903" s="11" t="n"/>
      <c r="W1903" s="12" t="n"/>
      <c r="X1903" s="12" t="n"/>
    </row>
    <row r="1904" ht="15" customHeight="1">
      <c r="C1904" t="inlineStr">
        <is>
          <t xml:space="preserve">PAIS DE NACIMIENTO </t>
        </is>
      </c>
      <c r="D1904" t="inlineStr">
        <is>
          <t>F4</t>
        </is>
      </c>
      <c r="E1904" t="inlineStr">
        <is>
          <t>INHERENTE</t>
        </is>
      </c>
      <c r="F1904" t="inlineStr">
        <is>
          <t>KIRIBATI</t>
        </is>
      </c>
      <c r="G1904" t="inlineStr">
        <is>
          <t>KI</t>
        </is>
      </c>
      <c r="H1904" t="n">
        <v>1</v>
      </c>
      <c r="I1904" t="n">
        <v>1</v>
      </c>
      <c r="J1904" t="n">
        <v>3</v>
      </c>
      <c r="K1904" t="n">
        <v>3</v>
      </c>
      <c r="L1904" t="n">
        <v>3</v>
      </c>
      <c r="M1904" t="n">
        <v>3</v>
      </c>
      <c r="N1904" t="n">
        <v>3</v>
      </c>
      <c r="O1904" t="n">
        <v>15</v>
      </c>
      <c r="P1904" t="n">
        <v>3</v>
      </c>
      <c r="R1904" s="9" t="n">
        <v>0.03</v>
      </c>
      <c r="S1904" s="10" t="inlineStr">
        <is>
          <t>SÍ — integrante</t>
        </is>
      </c>
      <c r="T1904" s="11" t="inlineStr">
        <is>
          <t>B · INTEGRANTE</t>
        </is>
      </c>
      <c r="U1904" s="11" t="inlineStr">
        <is>
          <t>DEL BANCO (se hereda)</t>
        </is>
      </c>
      <c r="V1904" s="11" t="n"/>
      <c r="W1904" s="12" t="n"/>
      <c r="X1904" s="12" t="n"/>
    </row>
    <row r="1905" ht="15" customHeight="1">
      <c r="C1905" t="inlineStr">
        <is>
          <t xml:space="preserve">PAIS DE NACIMIENTO </t>
        </is>
      </c>
      <c r="D1905" t="inlineStr">
        <is>
          <t>F4</t>
        </is>
      </c>
      <c r="E1905" t="inlineStr">
        <is>
          <t>INHERENTE</t>
        </is>
      </c>
      <c r="F1905" t="inlineStr">
        <is>
          <t>COMORES</t>
        </is>
      </c>
      <c r="G1905" t="inlineStr">
        <is>
          <t>KM</t>
        </is>
      </c>
      <c r="H1905" t="n">
        <v>4</v>
      </c>
      <c r="I1905" t="n">
        <v>4</v>
      </c>
      <c r="J1905" t="n">
        <v>3</v>
      </c>
      <c r="K1905" t="n">
        <v>12</v>
      </c>
      <c r="L1905" t="n">
        <v>12</v>
      </c>
      <c r="M1905" t="n">
        <v>12</v>
      </c>
      <c r="N1905" t="n">
        <v>12</v>
      </c>
      <c r="O1905" t="n">
        <v>15</v>
      </c>
      <c r="P1905" t="n">
        <v>3</v>
      </c>
      <c r="R1905" s="9" t="n">
        <v>0.03</v>
      </c>
      <c r="S1905" s="10" t="inlineStr">
        <is>
          <t>SÍ — integrante</t>
        </is>
      </c>
      <c r="T1905" s="11" t="inlineStr">
        <is>
          <t>B · INTEGRANTE</t>
        </is>
      </c>
      <c r="U1905" s="11" t="inlineStr">
        <is>
          <t>DEL BANCO (se hereda)</t>
        </is>
      </c>
      <c r="V1905" s="11" t="n"/>
      <c r="W1905" s="12" t="n"/>
      <c r="X1905" s="12" t="n"/>
    </row>
    <row r="1906" ht="15" customHeight="1">
      <c r="C1906" t="inlineStr">
        <is>
          <t xml:space="preserve">PAIS DE NACIMIENTO </t>
        </is>
      </c>
      <c r="D1906" t="inlineStr">
        <is>
          <t>F4</t>
        </is>
      </c>
      <c r="E1906" t="inlineStr">
        <is>
          <t>INHERENTE</t>
        </is>
      </c>
      <c r="F1906" t="inlineStr">
        <is>
          <t>SAINT KITTS AND NEVI</t>
        </is>
      </c>
      <c r="G1906" t="inlineStr">
        <is>
          <t>KN</t>
        </is>
      </c>
      <c r="H1906" t="n">
        <v>3</v>
      </c>
      <c r="I1906" t="n">
        <v>3</v>
      </c>
      <c r="J1906" t="n">
        <v>3</v>
      </c>
      <c r="K1906" t="n">
        <v>9</v>
      </c>
      <c r="L1906" t="n">
        <v>9</v>
      </c>
      <c r="M1906" t="n">
        <v>9</v>
      </c>
      <c r="N1906" t="n">
        <v>9</v>
      </c>
      <c r="O1906" t="n">
        <v>15</v>
      </c>
      <c r="P1906" t="n">
        <v>3</v>
      </c>
      <c r="R1906" s="9" t="n">
        <v>0.03</v>
      </c>
      <c r="S1906" s="10" t="inlineStr">
        <is>
          <t>SÍ — integrante</t>
        </is>
      </c>
      <c r="T1906" s="11" t="inlineStr">
        <is>
          <t>B · INTEGRANTE</t>
        </is>
      </c>
      <c r="U1906" s="11" t="inlineStr">
        <is>
          <t>DEL BANCO (se hereda)</t>
        </is>
      </c>
      <c r="V1906" s="11" t="n"/>
      <c r="W1906" s="12" t="n"/>
      <c r="X1906" s="12" t="n"/>
    </row>
    <row r="1907" ht="15" customHeight="1">
      <c r="C1907" t="inlineStr">
        <is>
          <t xml:space="preserve">PAIS DE NACIMIENTO </t>
        </is>
      </c>
      <c r="D1907" t="inlineStr">
        <is>
          <t>F4</t>
        </is>
      </c>
      <c r="E1907" t="inlineStr">
        <is>
          <t>INHERENTE</t>
        </is>
      </c>
      <c r="F1907" t="inlineStr">
        <is>
          <t>COREA DEL NORTE</t>
        </is>
      </c>
      <c r="G1907" t="inlineStr">
        <is>
          <t>KP</t>
        </is>
      </c>
      <c r="H1907" t="n">
        <v>5</v>
      </c>
      <c r="I1907" t="n">
        <v>5</v>
      </c>
      <c r="J1907" t="n">
        <v>3</v>
      </c>
      <c r="K1907" t="n">
        <v>15</v>
      </c>
      <c r="L1907" t="n">
        <v>15</v>
      </c>
      <c r="M1907" t="n">
        <v>15</v>
      </c>
      <c r="N1907" t="n">
        <v>15</v>
      </c>
      <c r="O1907" t="n">
        <v>15</v>
      </c>
      <c r="P1907" t="n">
        <v>3</v>
      </c>
      <c r="Q1907" t="inlineStr">
        <is>
          <t>PROHIBITIVO</t>
        </is>
      </c>
      <c r="R1907" s="9" t="n">
        <v>0.03</v>
      </c>
      <c r="S1907" s="10" t="inlineStr">
        <is>
          <t>SÍ — integrante</t>
        </is>
      </c>
      <c r="T1907" s="11" t="inlineStr">
        <is>
          <t>B · INTEGRANTE</t>
        </is>
      </c>
      <c r="U1907" s="11" t="inlineStr">
        <is>
          <t>DEL BANCO (se hereda)</t>
        </is>
      </c>
      <c r="V1907" s="11" t="n"/>
      <c r="W1907" s="12" t="n"/>
      <c r="X1907" s="12" t="n"/>
    </row>
    <row r="1908" ht="15" customHeight="1">
      <c r="C1908" t="inlineStr">
        <is>
          <t xml:space="preserve">PAIS DE NACIMIENTO </t>
        </is>
      </c>
      <c r="D1908" t="inlineStr">
        <is>
          <t>F4</t>
        </is>
      </c>
      <c r="E1908" t="inlineStr">
        <is>
          <t>INHERENTE</t>
        </is>
      </c>
      <c r="F1908" t="inlineStr">
        <is>
          <t>COREA DEL SUR</t>
        </is>
      </c>
      <c r="G1908" t="inlineStr">
        <is>
          <t>KR</t>
        </is>
      </c>
      <c r="H1908" t="n">
        <v>1</v>
      </c>
      <c r="I1908" t="n">
        <v>1</v>
      </c>
      <c r="J1908" t="n">
        <v>3</v>
      </c>
      <c r="K1908" t="n">
        <v>3</v>
      </c>
      <c r="L1908" t="n">
        <v>3</v>
      </c>
      <c r="M1908" t="n">
        <v>3</v>
      </c>
      <c r="N1908" t="n">
        <v>3</v>
      </c>
      <c r="O1908" t="n">
        <v>15</v>
      </c>
      <c r="P1908" t="n">
        <v>3</v>
      </c>
      <c r="R1908" s="9" t="n">
        <v>0.03</v>
      </c>
      <c r="S1908" s="10" t="inlineStr">
        <is>
          <t>SÍ — integrante</t>
        </is>
      </c>
      <c r="T1908" s="11" t="inlineStr">
        <is>
          <t>B · INTEGRANTE</t>
        </is>
      </c>
      <c r="U1908" s="11" t="inlineStr">
        <is>
          <t>DEL BANCO (se hereda)</t>
        </is>
      </c>
      <c r="V1908" s="11" t="n"/>
      <c r="W1908" s="12" t="n"/>
      <c r="X1908" s="12" t="n"/>
    </row>
    <row r="1909" ht="15" customHeight="1">
      <c r="C1909" t="inlineStr">
        <is>
          <t xml:space="preserve">PAIS DE NACIMIENTO </t>
        </is>
      </c>
      <c r="D1909" t="inlineStr">
        <is>
          <t>F4</t>
        </is>
      </c>
      <c r="E1909" t="inlineStr">
        <is>
          <t>INHERENTE</t>
        </is>
      </c>
      <c r="F1909" t="inlineStr">
        <is>
          <t>KUWAIT</t>
        </is>
      </c>
      <c r="G1909" t="inlineStr">
        <is>
          <t>KW</t>
        </is>
      </c>
      <c r="H1909" t="n">
        <v>4</v>
      </c>
      <c r="I1909" t="n">
        <v>4</v>
      </c>
      <c r="J1909" t="n">
        <v>3</v>
      </c>
      <c r="K1909" t="n">
        <v>12</v>
      </c>
      <c r="L1909" t="n">
        <v>12</v>
      </c>
      <c r="M1909" t="n">
        <v>12</v>
      </c>
      <c r="N1909" t="n">
        <v>12</v>
      </c>
      <c r="O1909" t="n">
        <v>15</v>
      </c>
      <c r="P1909" t="n">
        <v>3</v>
      </c>
      <c r="Q1909" t="inlineStr">
        <is>
          <t>DETERMINANTE</t>
        </is>
      </c>
      <c r="R1909" s="9" t="n">
        <v>0.03</v>
      </c>
      <c r="S1909" s="10" t="inlineStr">
        <is>
          <t>SÍ — integrante</t>
        </is>
      </c>
      <c r="T1909" s="11" t="inlineStr">
        <is>
          <t>B · INTEGRANTE</t>
        </is>
      </c>
      <c r="U1909" s="11" t="inlineStr">
        <is>
          <t>DEL BANCO (se hereda)</t>
        </is>
      </c>
      <c r="V1909" s="11" t="n"/>
      <c r="W1909" s="12" t="n"/>
      <c r="X1909" s="12" t="n"/>
    </row>
    <row r="1910" ht="15" customHeight="1">
      <c r="C1910" t="inlineStr">
        <is>
          <t xml:space="preserve">PAIS DE NACIMIENTO </t>
        </is>
      </c>
      <c r="D1910" t="inlineStr">
        <is>
          <t>F4</t>
        </is>
      </c>
      <c r="E1910" t="inlineStr">
        <is>
          <t>INHERENTE</t>
        </is>
      </c>
      <c r="F1910" t="inlineStr">
        <is>
          <t>ISLAS CAIMAN</t>
        </is>
      </c>
      <c r="G1910" t="inlineStr">
        <is>
          <t>KY</t>
        </is>
      </c>
      <c r="H1910" t="n">
        <v>3</v>
      </c>
      <c r="I1910" t="n">
        <v>3</v>
      </c>
      <c r="J1910" t="n">
        <v>3</v>
      </c>
      <c r="K1910" t="n">
        <v>9</v>
      </c>
      <c r="L1910" t="n">
        <v>9</v>
      </c>
      <c r="M1910" t="n">
        <v>9</v>
      </c>
      <c r="N1910" t="n">
        <v>9</v>
      </c>
      <c r="O1910" t="n">
        <v>15</v>
      </c>
      <c r="P1910" t="n">
        <v>3</v>
      </c>
      <c r="R1910" s="9" t="n">
        <v>0.03</v>
      </c>
      <c r="S1910" s="10" t="inlineStr">
        <is>
          <t>SÍ — integrante</t>
        </is>
      </c>
      <c r="T1910" s="11" t="inlineStr">
        <is>
          <t>B · INTEGRANTE</t>
        </is>
      </c>
      <c r="U1910" s="11" t="inlineStr">
        <is>
          <t>DEL BANCO (se hereda)</t>
        </is>
      </c>
      <c r="V1910" s="11" t="n"/>
      <c r="W1910" s="12" t="n"/>
      <c r="X1910" s="12" t="n"/>
    </row>
    <row r="1911" ht="15" customHeight="1">
      <c r="C1911" t="inlineStr">
        <is>
          <t xml:space="preserve">PAIS DE NACIMIENTO </t>
        </is>
      </c>
      <c r="D1911" t="inlineStr">
        <is>
          <t>F4</t>
        </is>
      </c>
      <c r="E1911" t="inlineStr">
        <is>
          <t>INHERENTE</t>
        </is>
      </c>
      <c r="F1911" t="inlineStr">
        <is>
          <t>KAZAKSTAN</t>
        </is>
      </c>
      <c r="G1911" t="inlineStr">
        <is>
          <t>KZ</t>
        </is>
      </c>
      <c r="H1911" t="n">
        <v>2</v>
      </c>
      <c r="I1911" t="n">
        <v>2</v>
      </c>
      <c r="J1911" t="n">
        <v>3</v>
      </c>
      <c r="K1911" t="n">
        <v>6</v>
      </c>
      <c r="L1911" t="n">
        <v>6</v>
      </c>
      <c r="M1911" t="n">
        <v>6</v>
      </c>
      <c r="N1911" t="n">
        <v>6</v>
      </c>
      <c r="O1911" t="n">
        <v>15</v>
      </c>
      <c r="P1911" t="n">
        <v>3</v>
      </c>
      <c r="R1911" s="9" t="n">
        <v>0.03</v>
      </c>
      <c r="S1911" s="10" t="inlineStr">
        <is>
          <t>SÍ — integrante</t>
        </is>
      </c>
      <c r="T1911" s="11" t="inlineStr">
        <is>
          <t>B · INTEGRANTE</t>
        </is>
      </c>
      <c r="U1911" s="11" t="inlineStr">
        <is>
          <t>DEL BANCO (se hereda)</t>
        </is>
      </c>
      <c r="V1911" s="11" t="n"/>
      <c r="W1911" s="12" t="n"/>
      <c r="X1911" s="12" t="n"/>
    </row>
    <row r="1912" ht="15" customHeight="1">
      <c r="C1912" t="inlineStr">
        <is>
          <t xml:space="preserve">PAIS DE NACIMIENTO </t>
        </is>
      </c>
      <c r="D1912" t="inlineStr">
        <is>
          <t>F4</t>
        </is>
      </c>
      <c r="E1912" t="inlineStr">
        <is>
          <t>INHERENTE</t>
        </is>
      </c>
      <c r="F1912" t="inlineStr">
        <is>
          <t>LAOS</t>
        </is>
      </c>
      <c r="G1912" t="inlineStr">
        <is>
          <t>LA</t>
        </is>
      </c>
      <c r="H1912" t="n">
        <v>4</v>
      </c>
      <c r="I1912" t="n">
        <v>4</v>
      </c>
      <c r="J1912" t="n">
        <v>3</v>
      </c>
      <c r="K1912" t="n">
        <v>12</v>
      </c>
      <c r="L1912" t="n">
        <v>12</v>
      </c>
      <c r="M1912" t="n">
        <v>12</v>
      </c>
      <c r="N1912" t="n">
        <v>12</v>
      </c>
      <c r="O1912" t="n">
        <v>15</v>
      </c>
      <c r="P1912" t="n">
        <v>3</v>
      </c>
      <c r="Q1912" t="inlineStr">
        <is>
          <t>DETERMINANTE</t>
        </is>
      </c>
      <c r="R1912" s="9" t="n">
        <v>0.03</v>
      </c>
      <c r="S1912" s="10" t="inlineStr">
        <is>
          <t>SÍ — integrante</t>
        </is>
      </c>
      <c r="T1912" s="11" t="inlineStr">
        <is>
          <t>B · INTEGRANTE</t>
        </is>
      </c>
      <c r="U1912" s="11" t="inlineStr">
        <is>
          <t>DEL BANCO (se hereda)</t>
        </is>
      </c>
      <c r="V1912" s="11" t="n"/>
      <c r="W1912" s="12" t="n"/>
      <c r="X1912" s="12" t="n"/>
    </row>
    <row r="1913" ht="15" customHeight="1">
      <c r="C1913" t="inlineStr">
        <is>
          <t xml:space="preserve">PAIS DE NACIMIENTO </t>
        </is>
      </c>
      <c r="D1913" t="inlineStr">
        <is>
          <t>F4</t>
        </is>
      </c>
      <c r="E1913" t="inlineStr">
        <is>
          <t>INHERENTE</t>
        </is>
      </c>
      <c r="F1913" t="inlineStr">
        <is>
          <t>LIBANO</t>
        </is>
      </c>
      <c r="G1913" t="inlineStr">
        <is>
          <t>LB</t>
        </is>
      </c>
      <c r="H1913" t="n">
        <v>4</v>
      </c>
      <c r="I1913" t="n">
        <v>4</v>
      </c>
      <c r="J1913" t="n">
        <v>3</v>
      </c>
      <c r="K1913" t="n">
        <v>12</v>
      </c>
      <c r="L1913" t="n">
        <v>12</v>
      </c>
      <c r="M1913" t="n">
        <v>12</v>
      </c>
      <c r="N1913" t="n">
        <v>12</v>
      </c>
      <c r="O1913" t="n">
        <v>15</v>
      </c>
      <c r="P1913" t="n">
        <v>3</v>
      </c>
      <c r="Q1913" t="inlineStr">
        <is>
          <t>DETERMINANTE</t>
        </is>
      </c>
      <c r="R1913" s="9" t="n">
        <v>0.03</v>
      </c>
      <c r="S1913" s="10" t="inlineStr">
        <is>
          <t>SÍ — integrante</t>
        </is>
      </c>
      <c r="T1913" s="11" t="inlineStr">
        <is>
          <t>B · INTEGRANTE</t>
        </is>
      </c>
      <c r="U1913" s="11" t="inlineStr">
        <is>
          <t>DEL BANCO (se hereda)</t>
        </is>
      </c>
      <c r="V1913" s="11" t="n"/>
      <c r="W1913" s="12" t="n"/>
      <c r="X1913" s="12" t="n"/>
    </row>
    <row r="1914" ht="15" customHeight="1">
      <c r="C1914" t="inlineStr">
        <is>
          <t xml:space="preserve">PAIS DE NACIMIENTO </t>
        </is>
      </c>
      <c r="D1914" t="inlineStr">
        <is>
          <t>F4</t>
        </is>
      </c>
      <c r="E1914" t="inlineStr">
        <is>
          <t>INHERENTE</t>
        </is>
      </c>
      <c r="F1914" t="inlineStr">
        <is>
          <t>SANTA LUCIA</t>
        </is>
      </c>
      <c r="G1914" t="inlineStr">
        <is>
          <t>LC</t>
        </is>
      </c>
      <c r="H1914" t="n">
        <v>3</v>
      </c>
      <c r="I1914" t="n">
        <v>3</v>
      </c>
      <c r="J1914" t="n">
        <v>3</v>
      </c>
      <c r="K1914" t="n">
        <v>9</v>
      </c>
      <c r="L1914" t="n">
        <v>9</v>
      </c>
      <c r="M1914" t="n">
        <v>9</v>
      </c>
      <c r="N1914" t="n">
        <v>9</v>
      </c>
      <c r="O1914" t="n">
        <v>15</v>
      </c>
      <c r="P1914" t="n">
        <v>3</v>
      </c>
      <c r="R1914" s="9" t="n">
        <v>0.03</v>
      </c>
      <c r="S1914" s="10" t="inlineStr">
        <is>
          <t>SÍ — integrante</t>
        </is>
      </c>
      <c r="T1914" s="11" t="inlineStr">
        <is>
          <t>B · INTEGRANTE</t>
        </is>
      </c>
      <c r="U1914" s="11" t="inlineStr">
        <is>
          <t>DEL BANCO (se hereda)</t>
        </is>
      </c>
      <c r="V1914" s="11" t="n"/>
      <c r="W1914" s="12" t="n"/>
      <c r="X1914" s="12" t="n"/>
    </row>
    <row r="1915" ht="15" customHeight="1">
      <c r="C1915" t="inlineStr">
        <is>
          <t xml:space="preserve">PAIS DE NACIMIENTO </t>
        </is>
      </c>
      <c r="D1915" t="inlineStr">
        <is>
          <t>F4</t>
        </is>
      </c>
      <c r="E1915" t="inlineStr">
        <is>
          <t>INHERENTE</t>
        </is>
      </c>
      <c r="F1915" t="inlineStr">
        <is>
          <t>LIECHTENSTEIN</t>
        </is>
      </c>
      <c r="G1915" t="inlineStr">
        <is>
          <t>LI</t>
        </is>
      </c>
      <c r="H1915" t="n">
        <v>3</v>
      </c>
      <c r="I1915" t="n">
        <v>3</v>
      </c>
      <c r="J1915" t="n">
        <v>3</v>
      </c>
      <c r="K1915" t="n">
        <v>9</v>
      </c>
      <c r="L1915" t="n">
        <v>9</v>
      </c>
      <c r="M1915" t="n">
        <v>9</v>
      </c>
      <c r="N1915" t="n">
        <v>9</v>
      </c>
      <c r="O1915" t="n">
        <v>15</v>
      </c>
      <c r="P1915" t="n">
        <v>3</v>
      </c>
      <c r="R1915" s="9" t="n">
        <v>0.03</v>
      </c>
      <c r="S1915" s="10" t="inlineStr">
        <is>
          <t>SÍ — integrante</t>
        </is>
      </c>
      <c r="T1915" s="11" t="inlineStr">
        <is>
          <t>B · INTEGRANTE</t>
        </is>
      </c>
      <c r="U1915" s="11" t="inlineStr">
        <is>
          <t>DEL BANCO (se hereda)</t>
        </is>
      </c>
      <c r="V1915" s="11" t="n"/>
      <c r="W1915" s="12" t="n"/>
      <c r="X1915" s="12" t="n"/>
    </row>
    <row r="1916" ht="15" customHeight="1">
      <c r="C1916" t="inlineStr">
        <is>
          <t xml:space="preserve">PAIS DE NACIMIENTO </t>
        </is>
      </c>
      <c r="D1916" t="inlineStr">
        <is>
          <t>F4</t>
        </is>
      </c>
      <c r="E1916" t="inlineStr">
        <is>
          <t>INHERENTE</t>
        </is>
      </c>
      <c r="F1916" t="inlineStr">
        <is>
          <t>SRI LANKA</t>
        </is>
      </c>
      <c r="G1916" t="inlineStr">
        <is>
          <t>LK</t>
        </is>
      </c>
      <c r="H1916" t="n">
        <v>2</v>
      </c>
      <c r="I1916" t="n">
        <v>2</v>
      </c>
      <c r="J1916" t="n">
        <v>3</v>
      </c>
      <c r="K1916" t="n">
        <v>6</v>
      </c>
      <c r="L1916" t="n">
        <v>6</v>
      </c>
      <c r="M1916" t="n">
        <v>6</v>
      </c>
      <c r="N1916" t="n">
        <v>6</v>
      </c>
      <c r="O1916" t="n">
        <v>15</v>
      </c>
      <c r="P1916" t="n">
        <v>3</v>
      </c>
      <c r="R1916" s="9" t="n">
        <v>0.03</v>
      </c>
      <c r="S1916" s="10" t="inlineStr">
        <is>
          <t>SÍ — integrante</t>
        </is>
      </c>
      <c r="T1916" s="11" t="inlineStr">
        <is>
          <t>B · INTEGRANTE</t>
        </is>
      </c>
      <c r="U1916" s="11" t="inlineStr">
        <is>
          <t>DEL BANCO (se hereda)</t>
        </is>
      </c>
      <c r="V1916" s="11" t="n"/>
      <c r="W1916" s="12" t="n"/>
      <c r="X1916" s="12" t="n"/>
    </row>
    <row r="1917" ht="15" customHeight="1">
      <c r="C1917" t="inlineStr">
        <is>
          <t xml:space="preserve">PAIS DE NACIMIENTO </t>
        </is>
      </c>
      <c r="D1917" t="inlineStr">
        <is>
          <t>F4</t>
        </is>
      </c>
      <c r="E1917" t="inlineStr">
        <is>
          <t>INHERENTE</t>
        </is>
      </c>
      <c r="F1917" t="inlineStr">
        <is>
          <t>LIBERIA</t>
        </is>
      </c>
      <c r="G1917" t="inlineStr">
        <is>
          <t>LR</t>
        </is>
      </c>
      <c r="H1917" t="n">
        <v>3</v>
      </c>
      <c r="I1917" t="n">
        <v>3</v>
      </c>
      <c r="J1917" t="n">
        <v>3</v>
      </c>
      <c r="K1917" t="n">
        <v>9</v>
      </c>
      <c r="L1917" t="n">
        <v>9</v>
      </c>
      <c r="M1917" t="n">
        <v>9</v>
      </c>
      <c r="N1917" t="n">
        <v>9</v>
      </c>
      <c r="O1917" t="n">
        <v>15</v>
      </c>
      <c r="P1917" t="n">
        <v>3</v>
      </c>
      <c r="R1917" s="9" t="n">
        <v>0.03</v>
      </c>
      <c r="S1917" s="10" t="inlineStr">
        <is>
          <t>SÍ — integrante</t>
        </is>
      </c>
      <c r="T1917" s="11" t="inlineStr">
        <is>
          <t>B · INTEGRANTE</t>
        </is>
      </c>
      <c r="U1917" s="11" t="inlineStr">
        <is>
          <t>DEL BANCO (se hereda)</t>
        </is>
      </c>
      <c r="V1917" s="11" t="n"/>
      <c r="W1917" s="12" t="n"/>
      <c r="X1917" s="12" t="n"/>
    </row>
    <row r="1918" ht="15" customHeight="1">
      <c r="C1918" t="inlineStr">
        <is>
          <t xml:space="preserve">PAIS DE NACIMIENTO </t>
        </is>
      </c>
      <c r="D1918" t="inlineStr">
        <is>
          <t>F4</t>
        </is>
      </c>
      <c r="E1918" t="inlineStr">
        <is>
          <t>INHERENTE</t>
        </is>
      </c>
      <c r="F1918" t="inlineStr">
        <is>
          <t>LESOTHO</t>
        </is>
      </c>
      <c r="G1918" t="inlineStr">
        <is>
          <t>LS</t>
        </is>
      </c>
      <c r="H1918" t="n">
        <v>3</v>
      </c>
      <c r="I1918" t="n">
        <v>3</v>
      </c>
      <c r="J1918" t="n">
        <v>3</v>
      </c>
      <c r="K1918" t="n">
        <v>9</v>
      </c>
      <c r="L1918" t="n">
        <v>9</v>
      </c>
      <c r="M1918" t="n">
        <v>9</v>
      </c>
      <c r="N1918" t="n">
        <v>9</v>
      </c>
      <c r="O1918" t="n">
        <v>15</v>
      </c>
      <c r="P1918" t="n">
        <v>3</v>
      </c>
      <c r="R1918" s="9" t="n">
        <v>0.03</v>
      </c>
      <c r="S1918" s="10" t="inlineStr">
        <is>
          <t>SÍ — integrante</t>
        </is>
      </c>
      <c r="T1918" s="11" t="inlineStr">
        <is>
          <t>B · INTEGRANTE</t>
        </is>
      </c>
      <c r="U1918" s="11" t="inlineStr">
        <is>
          <t>DEL BANCO (se hereda)</t>
        </is>
      </c>
      <c r="V1918" s="11" t="n"/>
      <c r="W1918" s="12" t="n"/>
      <c r="X1918" s="12" t="n"/>
    </row>
    <row r="1919" ht="15" customHeight="1">
      <c r="C1919" t="inlineStr">
        <is>
          <t xml:space="preserve">PAIS DE NACIMIENTO </t>
        </is>
      </c>
      <c r="D1919" t="inlineStr">
        <is>
          <t>F4</t>
        </is>
      </c>
      <c r="E1919" t="inlineStr">
        <is>
          <t>INHERENTE</t>
        </is>
      </c>
      <c r="F1919" t="inlineStr">
        <is>
          <t>LITUANIA</t>
        </is>
      </c>
      <c r="G1919" t="inlineStr">
        <is>
          <t>LT</t>
        </is>
      </c>
      <c r="H1919" t="n">
        <v>1</v>
      </c>
      <c r="I1919" t="n">
        <v>1</v>
      </c>
      <c r="J1919" t="n">
        <v>3</v>
      </c>
      <c r="K1919" t="n">
        <v>3</v>
      </c>
      <c r="L1919" t="n">
        <v>3</v>
      </c>
      <c r="M1919" t="n">
        <v>3</v>
      </c>
      <c r="N1919" t="n">
        <v>3</v>
      </c>
      <c r="O1919" t="n">
        <v>15</v>
      </c>
      <c r="P1919" t="n">
        <v>3</v>
      </c>
      <c r="R1919" s="9" t="n">
        <v>0.03</v>
      </c>
      <c r="S1919" s="10" t="inlineStr">
        <is>
          <t>SÍ — integrante</t>
        </is>
      </c>
      <c r="T1919" s="11" t="inlineStr">
        <is>
          <t>B · INTEGRANTE</t>
        </is>
      </c>
      <c r="U1919" s="11" t="inlineStr">
        <is>
          <t>DEL BANCO (se hereda)</t>
        </is>
      </c>
      <c r="V1919" s="11" t="n"/>
      <c r="W1919" s="12" t="n"/>
      <c r="X1919" s="12" t="n"/>
    </row>
    <row r="1920" ht="15" customHeight="1">
      <c r="C1920" t="inlineStr">
        <is>
          <t xml:space="preserve">PAIS DE NACIMIENTO </t>
        </is>
      </c>
      <c r="D1920" t="inlineStr">
        <is>
          <t>F4</t>
        </is>
      </c>
      <c r="E1920" t="inlineStr">
        <is>
          <t>INHERENTE</t>
        </is>
      </c>
      <c r="F1920" t="inlineStr">
        <is>
          <t>LUXEMBURGO</t>
        </is>
      </c>
      <c r="G1920" t="inlineStr">
        <is>
          <t>LU</t>
        </is>
      </c>
      <c r="H1920" t="n">
        <v>3</v>
      </c>
      <c r="I1920" t="n">
        <v>3</v>
      </c>
      <c r="J1920" t="n">
        <v>3</v>
      </c>
      <c r="K1920" t="n">
        <v>9</v>
      </c>
      <c r="L1920" t="n">
        <v>9</v>
      </c>
      <c r="M1920" t="n">
        <v>9</v>
      </c>
      <c r="N1920" t="n">
        <v>9</v>
      </c>
      <c r="O1920" t="n">
        <v>15</v>
      </c>
      <c r="P1920" t="n">
        <v>3</v>
      </c>
      <c r="R1920" s="9" t="n">
        <v>0.03</v>
      </c>
      <c r="S1920" s="10" t="inlineStr">
        <is>
          <t>SÍ — integrante</t>
        </is>
      </c>
      <c r="T1920" s="11" t="inlineStr">
        <is>
          <t>B · INTEGRANTE</t>
        </is>
      </c>
      <c r="U1920" s="11" t="inlineStr">
        <is>
          <t>DEL BANCO (se hereda)</t>
        </is>
      </c>
      <c r="V1920" s="11" t="n"/>
      <c r="W1920" s="12" t="n"/>
      <c r="X1920" s="12" t="n"/>
    </row>
    <row r="1921" ht="15" customHeight="1">
      <c r="C1921" t="inlineStr">
        <is>
          <t xml:space="preserve">PAIS DE NACIMIENTO </t>
        </is>
      </c>
      <c r="D1921" t="inlineStr">
        <is>
          <t>F4</t>
        </is>
      </c>
      <c r="E1921" t="inlineStr">
        <is>
          <t>INHERENTE</t>
        </is>
      </c>
      <c r="F1921" t="inlineStr">
        <is>
          <t>LATVIA</t>
        </is>
      </c>
      <c r="G1921" t="inlineStr">
        <is>
          <t>LV</t>
        </is>
      </c>
      <c r="H1921" t="n">
        <v>1</v>
      </c>
      <c r="I1921" t="n">
        <v>1</v>
      </c>
      <c r="J1921" t="n">
        <v>3</v>
      </c>
      <c r="K1921" t="n">
        <v>3</v>
      </c>
      <c r="L1921" t="n">
        <v>3</v>
      </c>
      <c r="M1921" t="n">
        <v>3</v>
      </c>
      <c r="N1921" t="n">
        <v>3</v>
      </c>
      <c r="O1921" t="n">
        <v>15</v>
      </c>
      <c r="P1921" t="n">
        <v>3</v>
      </c>
      <c r="R1921" s="9" t="n">
        <v>0.03</v>
      </c>
      <c r="S1921" s="10" t="inlineStr">
        <is>
          <t>SÍ — integrante</t>
        </is>
      </c>
      <c r="T1921" s="11" t="inlineStr">
        <is>
          <t>B · INTEGRANTE</t>
        </is>
      </c>
      <c r="U1921" s="11" t="inlineStr">
        <is>
          <t>DEL BANCO (se hereda)</t>
        </is>
      </c>
      <c r="V1921" s="11" t="n"/>
      <c r="W1921" s="12" t="n"/>
      <c r="X1921" s="12" t="n"/>
    </row>
    <row r="1922" ht="15" customHeight="1">
      <c r="C1922" t="inlineStr">
        <is>
          <t xml:space="preserve">PAIS DE NACIMIENTO </t>
        </is>
      </c>
      <c r="D1922" t="inlineStr">
        <is>
          <t>F4</t>
        </is>
      </c>
      <c r="E1922" t="inlineStr">
        <is>
          <t>INHERENTE</t>
        </is>
      </c>
      <c r="F1922" t="inlineStr">
        <is>
          <t>LIBIA</t>
        </is>
      </c>
      <c r="G1922" t="inlineStr">
        <is>
          <t>LY</t>
        </is>
      </c>
      <c r="H1922" t="n">
        <v>4</v>
      </c>
      <c r="I1922" t="n">
        <v>4</v>
      </c>
      <c r="J1922" t="n">
        <v>3</v>
      </c>
      <c r="K1922" t="n">
        <v>12</v>
      </c>
      <c r="L1922" t="n">
        <v>12</v>
      </c>
      <c r="M1922" t="n">
        <v>12</v>
      </c>
      <c r="N1922" t="n">
        <v>12</v>
      </c>
      <c r="O1922" t="n">
        <v>15</v>
      </c>
      <c r="P1922" t="n">
        <v>3</v>
      </c>
      <c r="R1922" s="9" t="n">
        <v>0.03</v>
      </c>
      <c r="S1922" s="10" t="inlineStr">
        <is>
          <t>SÍ — integrante</t>
        </is>
      </c>
      <c r="T1922" s="11" t="inlineStr">
        <is>
          <t>B · INTEGRANTE</t>
        </is>
      </c>
      <c r="U1922" s="11" t="inlineStr">
        <is>
          <t>DEL BANCO (se hereda)</t>
        </is>
      </c>
      <c r="V1922" s="11" t="n"/>
      <c r="W1922" s="12" t="n"/>
      <c r="X1922" s="12" t="n"/>
    </row>
    <row r="1923" ht="15" customHeight="1">
      <c r="C1923" t="inlineStr">
        <is>
          <t xml:space="preserve">PAIS DE NACIMIENTO </t>
        </is>
      </c>
      <c r="D1923" t="inlineStr">
        <is>
          <t>F4</t>
        </is>
      </c>
      <c r="E1923" t="inlineStr">
        <is>
          <t>INHERENTE</t>
        </is>
      </c>
      <c r="F1923" t="inlineStr">
        <is>
          <t>MARRUECOS</t>
        </is>
      </c>
      <c r="G1923" t="inlineStr">
        <is>
          <t>MA</t>
        </is>
      </c>
      <c r="H1923" t="n">
        <v>2</v>
      </c>
      <c r="I1923" t="n">
        <v>2</v>
      </c>
      <c r="J1923" t="n">
        <v>3</v>
      </c>
      <c r="K1923" t="n">
        <v>6</v>
      </c>
      <c r="L1923" t="n">
        <v>6</v>
      </c>
      <c r="M1923" t="n">
        <v>6</v>
      </c>
      <c r="N1923" t="n">
        <v>6</v>
      </c>
      <c r="O1923" t="n">
        <v>15</v>
      </c>
      <c r="P1923" t="n">
        <v>3</v>
      </c>
      <c r="R1923" s="9" t="n">
        <v>0.03</v>
      </c>
      <c r="S1923" s="10" t="inlineStr">
        <is>
          <t>SÍ — integrante</t>
        </is>
      </c>
      <c r="T1923" s="11" t="inlineStr">
        <is>
          <t>B · INTEGRANTE</t>
        </is>
      </c>
      <c r="U1923" s="11" t="inlineStr">
        <is>
          <t>DEL BANCO (se hereda)</t>
        </is>
      </c>
      <c r="V1923" s="11" t="n"/>
      <c r="W1923" s="12" t="n"/>
      <c r="X1923" s="12" t="n"/>
    </row>
    <row r="1924" ht="15" customHeight="1">
      <c r="C1924" t="inlineStr">
        <is>
          <t xml:space="preserve">PAIS DE NACIMIENTO </t>
        </is>
      </c>
      <c r="D1924" t="inlineStr">
        <is>
          <t>F4</t>
        </is>
      </c>
      <c r="E1924" t="inlineStr">
        <is>
          <t>INHERENTE</t>
        </is>
      </c>
      <c r="F1924" t="inlineStr">
        <is>
          <t>MONACO</t>
        </is>
      </c>
      <c r="G1924" t="inlineStr">
        <is>
          <t>MC</t>
        </is>
      </c>
      <c r="H1924" t="n">
        <v>4</v>
      </c>
      <c r="I1924" t="n">
        <v>4</v>
      </c>
      <c r="J1924" t="n">
        <v>3</v>
      </c>
      <c r="K1924" t="n">
        <v>12</v>
      </c>
      <c r="L1924" t="n">
        <v>12</v>
      </c>
      <c r="M1924" t="n">
        <v>12</v>
      </c>
      <c r="N1924" t="n">
        <v>12</v>
      </c>
      <c r="O1924" t="n">
        <v>15</v>
      </c>
      <c r="P1924" t="n">
        <v>3</v>
      </c>
      <c r="Q1924" t="inlineStr">
        <is>
          <t>DETERMINANTE</t>
        </is>
      </c>
      <c r="R1924" s="9" t="n">
        <v>0.03</v>
      </c>
      <c r="S1924" s="10" t="inlineStr">
        <is>
          <t>SÍ — integrante</t>
        </is>
      </c>
      <c r="T1924" s="11" t="inlineStr">
        <is>
          <t>B · INTEGRANTE</t>
        </is>
      </c>
      <c r="U1924" s="11" t="inlineStr">
        <is>
          <t>DEL BANCO (se hereda)</t>
        </is>
      </c>
      <c r="V1924" s="11" t="n"/>
      <c r="W1924" s="12" t="n"/>
      <c r="X1924" s="12" t="n"/>
    </row>
    <row r="1925" ht="15" customHeight="1">
      <c r="C1925" t="inlineStr">
        <is>
          <t xml:space="preserve">PAIS DE NACIMIENTO </t>
        </is>
      </c>
      <c r="D1925" t="inlineStr">
        <is>
          <t>F4</t>
        </is>
      </c>
      <c r="E1925" t="inlineStr">
        <is>
          <t>INHERENTE</t>
        </is>
      </c>
      <c r="F1925" t="inlineStr">
        <is>
          <t>MOLDAVIA, REP.</t>
        </is>
      </c>
      <c r="G1925" t="inlineStr">
        <is>
          <t>MD</t>
        </is>
      </c>
      <c r="H1925" t="n">
        <v>2</v>
      </c>
      <c r="I1925" t="n">
        <v>2</v>
      </c>
      <c r="J1925" t="n">
        <v>3</v>
      </c>
      <c r="K1925" t="n">
        <v>6</v>
      </c>
      <c r="L1925" t="n">
        <v>6</v>
      </c>
      <c r="M1925" t="n">
        <v>6</v>
      </c>
      <c r="N1925" t="n">
        <v>6</v>
      </c>
      <c r="O1925" t="n">
        <v>15</v>
      </c>
      <c r="P1925" t="n">
        <v>3</v>
      </c>
      <c r="R1925" s="9" t="n">
        <v>0.03</v>
      </c>
      <c r="S1925" s="10" t="inlineStr">
        <is>
          <t>SÍ — integrante</t>
        </is>
      </c>
      <c r="T1925" s="11" t="inlineStr">
        <is>
          <t>B · INTEGRANTE</t>
        </is>
      </c>
      <c r="U1925" s="11" t="inlineStr">
        <is>
          <t>DEL BANCO (se hereda)</t>
        </is>
      </c>
      <c r="V1925" s="11" t="n"/>
      <c r="W1925" s="12" t="n"/>
      <c r="X1925" s="12" t="n"/>
    </row>
    <row r="1926" ht="15" customHeight="1">
      <c r="C1926" t="inlineStr">
        <is>
          <t xml:space="preserve">PAIS DE NACIMIENTO </t>
        </is>
      </c>
      <c r="D1926" t="inlineStr">
        <is>
          <t>F4</t>
        </is>
      </c>
      <c r="E1926" t="inlineStr">
        <is>
          <t>INHERENTE</t>
        </is>
      </c>
      <c r="F1926" t="inlineStr">
        <is>
          <t>MONTENEGRO</t>
        </is>
      </c>
      <c r="G1926" t="inlineStr">
        <is>
          <t>ME</t>
        </is>
      </c>
      <c r="H1926" t="n">
        <v>2</v>
      </c>
      <c r="I1926" t="n">
        <v>2</v>
      </c>
      <c r="J1926" t="n">
        <v>3</v>
      </c>
      <c r="K1926" t="n">
        <v>6</v>
      </c>
      <c r="L1926" t="n">
        <v>6</v>
      </c>
      <c r="M1926" t="n">
        <v>6</v>
      </c>
      <c r="N1926" t="n">
        <v>6</v>
      </c>
      <c r="O1926" t="n">
        <v>15</v>
      </c>
      <c r="P1926" t="n">
        <v>3</v>
      </c>
      <c r="R1926" s="9" t="n">
        <v>0.03</v>
      </c>
      <c r="S1926" s="10" t="inlineStr">
        <is>
          <t>SÍ — integrante</t>
        </is>
      </c>
      <c r="T1926" s="11" t="inlineStr">
        <is>
          <t>B · INTEGRANTE</t>
        </is>
      </c>
      <c r="U1926" s="11" t="inlineStr">
        <is>
          <t>DEL BANCO (se hereda)</t>
        </is>
      </c>
      <c r="V1926" s="11" t="n"/>
      <c r="W1926" s="12" t="n"/>
      <c r="X1926" s="12" t="n"/>
    </row>
    <row r="1927" ht="15" customHeight="1">
      <c r="C1927" t="inlineStr">
        <is>
          <t xml:space="preserve">PAIS DE NACIMIENTO </t>
        </is>
      </c>
      <c r="D1927" t="inlineStr">
        <is>
          <t>F4</t>
        </is>
      </c>
      <c r="E1927" t="inlineStr">
        <is>
          <t>INHERENTE</t>
        </is>
      </c>
      <c r="F1927" t="inlineStr">
        <is>
          <t>SAN MARTIN</t>
        </is>
      </c>
      <c r="G1927" t="inlineStr">
        <is>
          <t>MF</t>
        </is>
      </c>
      <c r="H1927" t="n">
        <v>1</v>
      </c>
      <c r="I1927" t="n">
        <v>1</v>
      </c>
      <c r="J1927" t="n">
        <v>3</v>
      </c>
      <c r="K1927" t="n">
        <v>3</v>
      </c>
      <c r="L1927" t="n">
        <v>3</v>
      </c>
      <c r="M1927" t="n">
        <v>3</v>
      </c>
      <c r="N1927" t="n">
        <v>3</v>
      </c>
      <c r="O1927" t="n">
        <v>15</v>
      </c>
      <c r="P1927" t="n">
        <v>3</v>
      </c>
      <c r="R1927" s="9" t="n">
        <v>0.03</v>
      </c>
      <c r="S1927" s="10" t="inlineStr">
        <is>
          <t>SÍ — integrante</t>
        </is>
      </c>
      <c r="T1927" s="11" t="inlineStr">
        <is>
          <t>B · INTEGRANTE</t>
        </is>
      </c>
      <c r="U1927" s="11" t="inlineStr">
        <is>
          <t>DEL BANCO (se hereda)</t>
        </is>
      </c>
      <c r="V1927" s="11" t="n"/>
      <c r="W1927" s="12" t="n"/>
      <c r="X1927" s="12" t="n"/>
    </row>
    <row r="1928" ht="15" customHeight="1">
      <c r="C1928" t="inlineStr">
        <is>
          <t xml:space="preserve">PAIS DE NACIMIENTO </t>
        </is>
      </c>
      <c r="D1928" t="inlineStr">
        <is>
          <t>F4</t>
        </is>
      </c>
      <c r="E1928" t="inlineStr">
        <is>
          <t>INHERENTE</t>
        </is>
      </c>
      <c r="F1928" t="inlineStr">
        <is>
          <t>MADAGASCAR</t>
        </is>
      </c>
      <c r="G1928" t="inlineStr">
        <is>
          <t>MG</t>
        </is>
      </c>
      <c r="H1928" t="n">
        <v>4</v>
      </c>
      <c r="I1928" t="n">
        <v>4</v>
      </c>
      <c r="J1928" t="n">
        <v>3</v>
      </c>
      <c r="K1928" t="n">
        <v>12</v>
      </c>
      <c r="L1928" t="n">
        <v>12</v>
      </c>
      <c r="M1928" t="n">
        <v>12</v>
      </c>
      <c r="N1928" t="n">
        <v>12</v>
      </c>
      <c r="O1928" t="n">
        <v>15</v>
      </c>
      <c r="P1928" t="n">
        <v>3</v>
      </c>
      <c r="R1928" s="9" t="n">
        <v>0.03</v>
      </c>
      <c r="S1928" s="10" t="inlineStr">
        <is>
          <t>SÍ — integrante</t>
        </is>
      </c>
      <c r="T1928" s="11" t="inlineStr">
        <is>
          <t>B · INTEGRANTE</t>
        </is>
      </c>
      <c r="U1928" s="11" t="inlineStr">
        <is>
          <t>DEL BANCO (se hereda)</t>
        </is>
      </c>
      <c r="V1928" s="11" t="n"/>
      <c r="W1928" s="12" t="n"/>
      <c r="X1928" s="12" t="n"/>
    </row>
    <row r="1929" ht="15" customHeight="1">
      <c r="C1929" t="inlineStr">
        <is>
          <t xml:space="preserve">PAIS DE NACIMIENTO </t>
        </is>
      </c>
      <c r="D1929" t="inlineStr">
        <is>
          <t>F4</t>
        </is>
      </c>
      <c r="E1929" t="inlineStr">
        <is>
          <t>INHERENTE</t>
        </is>
      </c>
      <c r="F1929" t="inlineStr">
        <is>
          <t>ISLAS MARSHALL</t>
        </is>
      </c>
      <c r="G1929" t="inlineStr">
        <is>
          <t>MH</t>
        </is>
      </c>
      <c r="H1929" t="n">
        <v>3</v>
      </c>
      <c r="I1929" t="n">
        <v>3</v>
      </c>
      <c r="J1929" t="n">
        <v>3</v>
      </c>
      <c r="K1929" t="n">
        <v>9</v>
      </c>
      <c r="L1929" t="n">
        <v>9</v>
      </c>
      <c r="M1929" t="n">
        <v>9</v>
      </c>
      <c r="N1929" t="n">
        <v>9</v>
      </c>
      <c r="O1929" t="n">
        <v>15</v>
      </c>
      <c r="P1929" t="n">
        <v>3</v>
      </c>
      <c r="R1929" s="9" t="n">
        <v>0.03</v>
      </c>
      <c r="S1929" s="10" t="inlineStr">
        <is>
          <t>SÍ — integrante</t>
        </is>
      </c>
      <c r="T1929" s="11" t="inlineStr">
        <is>
          <t>B · INTEGRANTE</t>
        </is>
      </c>
      <c r="U1929" s="11" t="inlineStr">
        <is>
          <t>DEL BANCO (se hereda)</t>
        </is>
      </c>
      <c r="V1929" s="11" t="n"/>
      <c r="W1929" s="12" t="n"/>
      <c r="X1929" s="12" t="n"/>
    </row>
    <row r="1930" ht="15" customHeight="1">
      <c r="C1930" t="inlineStr">
        <is>
          <t xml:space="preserve">PAIS DE NACIMIENTO </t>
        </is>
      </c>
      <c r="D1930" t="inlineStr">
        <is>
          <t>F4</t>
        </is>
      </c>
      <c r="E1930" t="inlineStr">
        <is>
          <t>INHERENTE</t>
        </is>
      </c>
      <c r="F1930" t="inlineStr">
        <is>
          <t>MACEDONIA</t>
        </is>
      </c>
      <c r="G1930" t="inlineStr">
        <is>
          <t>MK</t>
        </is>
      </c>
      <c r="H1930" t="n">
        <v>2</v>
      </c>
      <c r="I1930" t="n">
        <v>2</v>
      </c>
      <c r="J1930" t="n">
        <v>3</v>
      </c>
      <c r="K1930" t="n">
        <v>6</v>
      </c>
      <c r="L1930" t="n">
        <v>6</v>
      </c>
      <c r="M1930" t="n">
        <v>6</v>
      </c>
      <c r="N1930" t="n">
        <v>6</v>
      </c>
      <c r="O1930" t="n">
        <v>15</v>
      </c>
      <c r="P1930" t="n">
        <v>3</v>
      </c>
      <c r="R1930" s="9" t="n">
        <v>0.03</v>
      </c>
      <c r="S1930" s="10" t="inlineStr">
        <is>
          <t>SÍ — integrante</t>
        </is>
      </c>
      <c r="T1930" s="11" t="inlineStr">
        <is>
          <t>B · INTEGRANTE</t>
        </is>
      </c>
      <c r="U1930" s="11" t="inlineStr">
        <is>
          <t>DEL BANCO (se hereda)</t>
        </is>
      </c>
      <c r="V1930" s="11" t="n"/>
      <c r="W1930" s="12" t="n"/>
      <c r="X1930" s="12" t="n"/>
    </row>
    <row r="1931" ht="15" customHeight="1">
      <c r="C1931" t="inlineStr">
        <is>
          <t xml:space="preserve">PAIS DE NACIMIENTO </t>
        </is>
      </c>
      <c r="D1931" t="inlineStr">
        <is>
          <t>F4</t>
        </is>
      </c>
      <c r="E1931" t="inlineStr">
        <is>
          <t>INHERENTE</t>
        </is>
      </c>
      <c r="F1931" t="inlineStr">
        <is>
          <t>MALI</t>
        </is>
      </c>
      <c r="G1931" t="inlineStr">
        <is>
          <t>ML</t>
        </is>
      </c>
      <c r="H1931" t="n">
        <v>3</v>
      </c>
      <c r="I1931" t="n">
        <v>3</v>
      </c>
      <c r="J1931" t="n">
        <v>3</v>
      </c>
      <c r="K1931" t="n">
        <v>9</v>
      </c>
      <c r="L1931" t="n">
        <v>9</v>
      </c>
      <c r="M1931" t="n">
        <v>9</v>
      </c>
      <c r="N1931" t="n">
        <v>9</v>
      </c>
      <c r="O1931" t="n">
        <v>15</v>
      </c>
      <c r="P1931" t="n">
        <v>3</v>
      </c>
      <c r="R1931" s="9" t="n">
        <v>0.03</v>
      </c>
      <c r="S1931" s="10" t="inlineStr">
        <is>
          <t>SÍ — integrante</t>
        </is>
      </c>
      <c r="T1931" s="11" t="inlineStr">
        <is>
          <t>B · INTEGRANTE</t>
        </is>
      </c>
      <c r="U1931" s="11" t="inlineStr">
        <is>
          <t>DEL BANCO (se hereda)</t>
        </is>
      </c>
      <c r="V1931" s="11" t="n"/>
      <c r="W1931" s="12" t="n"/>
      <c r="X1931" s="12" t="n"/>
    </row>
    <row r="1932" ht="15" customHeight="1">
      <c r="C1932" t="inlineStr">
        <is>
          <t xml:space="preserve">PAIS DE NACIMIENTO </t>
        </is>
      </c>
      <c r="D1932" t="inlineStr">
        <is>
          <t>F4</t>
        </is>
      </c>
      <c r="E1932" t="inlineStr">
        <is>
          <t>INHERENTE</t>
        </is>
      </c>
      <c r="F1932" t="inlineStr">
        <is>
          <t>MYANMAR</t>
        </is>
      </c>
      <c r="G1932" t="inlineStr">
        <is>
          <t>MM</t>
        </is>
      </c>
      <c r="H1932" t="n">
        <v>5</v>
      </c>
      <c r="I1932" t="n">
        <v>5</v>
      </c>
      <c r="J1932" t="n">
        <v>3</v>
      </c>
      <c r="K1932" t="n">
        <v>15</v>
      </c>
      <c r="L1932" t="n">
        <v>15</v>
      </c>
      <c r="M1932" t="n">
        <v>15</v>
      </c>
      <c r="N1932" t="n">
        <v>15</v>
      </c>
      <c r="O1932" t="n">
        <v>15</v>
      </c>
      <c r="P1932" t="n">
        <v>3</v>
      </c>
      <c r="Q1932" t="inlineStr">
        <is>
          <t>PROHIBITIVO</t>
        </is>
      </c>
      <c r="R1932" s="9" t="n">
        <v>0.03</v>
      </c>
      <c r="S1932" s="10" t="inlineStr">
        <is>
          <t>SÍ — integrante</t>
        </is>
      </c>
      <c r="T1932" s="11" t="inlineStr">
        <is>
          <t>B · INTEGRANTE</t>
        </is>
      </c>
      <c r="U1932" s="11" t="inlineStr">
        <is>
          <t>DEL BANCO (se hereda)</t>
        </is>
      </c>
      <c r="V1932" s="11" t="n"/>
      <c r="W1932" s="12" t="n"/>
      <c r="X1932" s="12" t="n"/>
    </row>
    <row r="1933" ht="15" customHeight="1">
      <c r="C1933" t="inlineStr">
        <is>
          <t xml:space="preserve">PAIS DE NACIMIENTO </t>
        </is>
      </c>
      <c r="D1933" t="inlineStr">
        <is>
          <t>F4</t>
        </is>
      </c>
      <c r="E1933" t="inlineStr">
        <is>
          <t>INHERENTE</t>
        </is>
      </c>
      <c r="F1933" t="inlineStr">
        <is>
          <t>MONGOLIA</t>
        </is>
      </c>
      <c r="G1933" t="inlineStr">
        <is>
          <t>MN</t>
        </is>
      </c>
      <c r="H1933" t="n">
        <v>2</v>
      </c>
      <c r="I1933" t="n">
        <v>2</v>
      </c>
      <c r="J1933" t="n">
        <v>3</v>
      </c>
      <c r="K1933" t="n">
        <v>6</v>
      </c>
      <c r="L1933" t="n">
        <v>6</v>
      </c>
      <c r="M1933" t="n">
        <v>6</v>
      </c>
      <c r="N1933" t="n">
        <v>6</v>
      </c>
      <c r="O1933" t="n">
        <v>15</v>
      </c>
      <c r="P1933" t="n">
        <v>3</v>
      </c>
      <c r="R1933" s="9" t="n">
        <v>0.03</v>
      </c>
      <c r="S1933" s="10" t="inlineStr">
        <is>
          <t>SÍ — integrante</t>
        </is>
      </c>
      <c r="T1933" s="11" t="inlineStr">
        <is>
          <t>B · INTEGRANTE</t>
        </is>
      </c>
      <c r="U1933" s="11" t="inlineStr">
        <is>
          <t>DEL BANCO (se hereda)</t>
        </is>
      </c>
      <c r="V1933" s="11" t="n"/>
      <c r="W1933" s="12" t="n"/>
      <c r="X1933" s="12" t="n"/>
    </row>
    <row r="1934" ht="15" customHeight="1">
      <c r="C1934" t="inlineStr">
        <is>
          <t xml:space="preserve">PAIS DE NACIMIENTO </t>
        </is>
      </c>
      <c r="D1934" t="inlineStr">
        <is>
          <t>F4</t>
        </is>
      </c>
      <c r="E1934" t="inlineStr">
        <is>
          <t>INHERENTE</t>
        </is>
      </c>
      <c r="F1934" t="inlineStr">
        <is>
          <t>MACAO</t>
        </is>
      </c>
      <c r="G1934" t="inlineStr">
        <is>
          <t>MO</t>
        </is>
      </c>
      <c r="H1934" t="n">
        <v>3</v>
      </c>
      <c r="I1934" t="n">
        <v>3</v>
      </c>
      <c r="J1934" t="n">
        <v>3</v>
      </c>
      <c r="K1934" t="n">
        <v>9</v>
      </c>
      <c r="L1934" t="n">
        <v>9</v>
      </c>
      <c r="M1934" t="n">
        <v>9</v>
      </c>
      <c r="N1934" t="n">
        <v>9</v>
      </c>
      <c r="O1934" t="n">
        <v>15</v>
      </c>
      <c r="P1934" t="n">
        <v>3</v>
      </c>
      <c r="R1934" s="9" t="n">
        <v>0.03</v>
      </c>
      <c r="S1934" s="10" t="inlineStr">
        <is>
          <t>SÍ — integrante</t>
        </is>
      </c>
      <c r="T1934" s="11" t="inlineStr">
        <is>
          <t>B · INTEGRANTE</t>
        </is>
      </c>
      <c r="U1934" s="11" t="inlineStr">
        <is>
          <t>DEL BANCO (se hereda)</t>
        </is>
      </c>
      <c r="V1934" s="11" t="n"/>
      <c r="W1934" s="12" t="n"/>
      <c r="X1934" s="12" t="n"/>
    </row>
    <row r="1935" ht="15" customHeight="1">
      <c r="C1935" t="inlineStr">
        <is>
          <t xml:space="preserve">PAIS DE NACIMIENTO </t>
        </is>
      </c>
      <c r="D1935" t="inlineStr">
        <is>
          <t>F4</t>
        </is>
      </c>
      <c r="E1935" t="inlineStr">
        <is>
          <t>INHERENTE</t>
        </is>
      </c>
      <c r="F1935" t="inlineStr">
        <is>
          <t>ISLAS MARIANAS</t>
        </is>
      </c>
      <c r="G1935" t="inlineStr">
        <is>
          <t>MP</t>
        </is>
      </c>
      <c r="H1935" t="n">
        <v>1</v>
      </c>
      <c r="I1935" t="n">
        <v>1</v>
      </c>
      <c r="J1935" t="n">
        <v>3</v>
      </c>
      <c r="K1935" t="n">
        <v>3</v>
      </c>
      <c r="L1935" t="n">
        <v>3</v>
      </c>
      <c r="M1935" t="n">
        <v>3</v>
      </c>
      <c r="N1935" t="n">
        <v>3</v>
      </c>
      <c r="O1935" t="n">
        <v>15</v>
      </c>
      <c r="P1935" t="n">
        <v>3</v>
      </c>
      <c r="R1935" s="9" t="n">
        <v>0.03</v>
      </c>
      <c r="S1935" s="10" t="inlineStr">
        <is>
          <t>SÍ — integrante</t>
        </is>
      </c>
      <c r="T1935" s="11" t="inlineStr">
        <is>
          <t>B · INTEGRANTE</t>
        </is>
      </c>
      <c r="U1935" s="11" t="inlineStr">
        <is>
          <t>DEL BANCO (se hereda)</t>
        </is>
      </c>
      <c r="V1935" s="11" t="n"/>
      <c r="W1935" s="12" t="n"/>
      <c r="X1935" s="12" t="n"/>
    </row>
    <row r="1936" ht="15" customHeight="1">
      <c r="C1936" t="inlineStr">
        <is>
          <t xml:space="preserve">PAIS DE NACIMIENTO </t>
        </is>
      </c>
      <c r="D1936" t="inlineStr">
        <is>
          <t>F4</t>
        </is>
      </c>
      <c r="E1936" t="inlineStr">
        <is>
          <t>INHERENTE</t>
        </is>
      </c>
      <c r="F1936" t="inlineStr">
        <is>
          <t>MARTINICA</t>
        </is>
      </c>
      <c r="G1936" t="inlineStr">
        <is>
          <t>MQ</t>
        </is>
      </c>
      <c r="H1936" t="n">
        <v>1</v>
      </c>
      <c r="I1936" t="n">
        <v>1</v>
      </c>
      <c r="J1936" t="n">
        <v>3</v>
      </c>
      <c r="K1936" t="n">
        <v>3</v>
      </c>
      <c r="L1936" t="n">
        <v>3</v>
      </c>
      <c r="M1936" t="n">
        <v>3</v>
      </c>
      <c r="N1936" t="n">
        <v>3</v>
      </c>
      <c r="O1936" t="n">
        <v>15</v>
      </c>
      <c r="P1936" t="n">
        <v>3</v>
      </c>
      <c r="R1936" s="9" t="n">
        <v>0.03</v>
      </c>
      <c r="S1936" s="10" t="inlineStr">
        <is>
          <t>SÍ — integrante</t>
        </is>
      </c>
      <c r="T1936" s="11" t="inlineStr">
        <is>
          <t>B · INTEGRANTE</t>
        </is>
      </c>
      <c r="U1936" s="11" t="inlineStr">
        <is>
          <t>DEL BANCO (se hereda)</t>
        </is>
      </c>
      <c r="V1936" s="11" t="n"/>
      <c r="W1936" s="12" t="n"/>
      <c r="X1936" s="12" t="n"/>
    </row>
    <row r="1937" ht="15" customHeight="1">
      <c r="C1937" t="inlineStr">
        <is>
          <t xml:space="preserve">PAIS DE NACIMIENTO </t>
        </is>
      </c>
      <c r="D1937" t="inlineStr">
        <is>
          <t>F4</t>
        </is>
      </c>
      <c r="E1937" t="inlineStr">
        <is>
          <t>INHERENTE</t>
        </is>
      </c>
      <c r="F1937" t="inlineStr">
        <is>
          <t>MAURITANIA</t>
        </is>
      </c>
      <c r="G1937" t="inlineStr">
        <is>
          <t>MR</t>
        </is>
      </c>
      <c r="H1937" t="n">
        <v>3</v>
      </c>
      <c r="I1937" t="n">
        <v>3</v>
      </c>
      <c r="J1937" t="n">
        <v>3</v>
      </c>
      <c r="K1937" t="n">
        <v>9</v>
      </c>
      <c r="L1937" t="n">
        <v>9</v>
      </c>
      <c r="M1937" t="n">
        <v>9</v>
      </c>
      <c r="N1937" t="n">
        <v>9</v>
      </c>
      <c r="O1937" t="n">
        <v>15</v>
      </c>
      <c r="P1937" t="n">
        <v>3</v>
      </c>
      <c r="R1937" s="9" t="n">
        <v>0.03</v>
      </c>
      <c r="S1937" s="10" t="inlineStr">
        <is>
          <t>SÍ — integrante</t>
        </is>
      </c>
      <c r="T1937" s="11" t="inlineStr">
        <is>
          <t>B · INTEGRANTE</t>
        </is>
      </c>
      <c r="U1937" s="11" t="inlineStr">
        <is>
          <t>DEL BANCO (se hereda)</t>
        </is>
      </c>
      <c r="V1937" s="11" t="n"/>
      <c r="W1937" s="12" t="n"/>
      <c r="X1937" s="12" t="n"/>
    </row>
    <row r="1938" ht="15" customHeight="1">
      <c r="C1938" t="inlineStr">
        <is>
          <t xml:space="preserve">PAIS DE NACIMIENTO </t>
        </is>
      </c>
      <c r="D1938" t="inlineStr">
        <is>
          <t>F4</t>
        </is>
      </c>
      <c r="E1938" t="inlineStr">
        <is>
          <t>INHERENTE</t>
        </is>
      </c>
      <c r="F1938" t="inlineStr">
        <is>
          <t>MONTSERRAT</t>
        </is>
      </c>
      <c r="G1938" t="inlineStr">
        <is>
          <t>MS</t>
        </is>
      </c>
      <c r="H1938" t="n">
        <v>1</v>
      </c>
      <c r="I1938" t="n">
        <v>1</v>
      </c>
      <c r="J1938" t="n">
        <v>3</v>
      </c>
      <c r="K1938" t="n">
        <v>3</v>
      </c>
      <c r="L1938" t="n">
        <v>3</v>
      </c>
      <c r="M1938" t="n">
        <v>3</v>
      </c>
      <c r="N1938" t="n">
        <v>3</v>
      </c>
      <c r="O1938" t="n">
        <v>15</v>
      </c>
      <c r="P1938" t="n">
        <v>3</v>
      </c>
      <c r="R1938" s="9" t="n">
        <v>0.03</v>
      </c>
      <c r="S1938" s="10" t="inlineStr">
        <is>
          <t>SÍ — integrante</t>
        </is>
      </c>
      <c r="T1938" s="11" t="inlineStr">
        <is>
          <t>B · INTEGRANTE</t>
        </is>
      </c>
      <c r="U1938" s="11" t="inlineStr">
        <is>
          <t>DEL BANCO (se hereda)</t>
        </is>
      </c>
      <c r="V1938" s="11" t="n"/>
      <c r="W1938" s="12" t="n"/>
      <c r="X1938" s="12" t="n"/>
    </row>
    <row r="1939" ht="15" customHeight="1">
      <c r="C1939" t="inlineStr">
        <is>
          <t xml:space="preserve">PAIS DE NACIMIENTO </t>
        </is>
      </c>
      <c r="D1939" t="inlineStr">
        <is>
          <t>F4</t>
        </is>
      </c>
      <c r="E1939" t="inlineStr">
        <is>
          <t>INHERENTE</t>
        </is>
      </c>
      <c r="F1939" t="inlineStr">
        <is>
          <t>MALTA</t>
        </is>
      </c>
      <c r="G1939" t="inlineStr">
        <is>
          <t>MT</t>
        </is>
      </c>
      <c r="H1939" t="n">
        <v>2</v>
      </c>
      <c r="I1939" t="n">
        <v>2</v>
      </c>
      <c r="J1939" t="n">
        <v>3</v>
      </c>
      <c r="K1939" t="n">
        <v>6</v>
      </c>
      <c r="L1939" t="n">
        <v>6</v>
      </c>
      <c r="M1939" t="n">
        <v>6</v>
      </c>
      <c r="N1939" t="n">
        <v>6</v>
      </c>
      <c r="O1939" t="n">
        <v>15</v>
      </c>
      <c r="P1939" t="n">
        <v>3</v>
      </c>
      <c r="R1939" s="9" t="n">
        <v>0.03</v>
      </c>
      <c r="S1939" s="10" t="inlineStr">
        <is>
          <t>SÍ — integrante</t>
        </is>
      </c>
      <c r="T1939" s="11" t="inlineStr">
        <is>
          <t>B · INTEGRANTE</t>
        </is>
      </c>
      <c r="U1939" s="11" t="inlineStr">
        <is>
          <t>DEL BANCO (se hereda)</t>
        </is>
      </c>
      <c r="V1939" s="11" t="n"/>
      <c r="W1939" s="12" t="n"/>
      <c r="X1939" s="12" t="n"/>
    </row>
    <row r="1940" ht="15" customHeight="1">
      <c r="C1940" t="inlineStr">
        <is>
          <t xml:space="preserve">PAIS DE NACIMIENTO </t>
        </is>
      </c>
      <c r="D1940" t="inlineStr">
        <is>
          <t>F4</t>
        </is>
      </c>
      <c r="E1940" t="inlineStr">
        <is>
          <t>INHERENTE</t>
        </is>
      </c>
      <c r="F1940" t="inlineStr">
        <is>
          <t>MAURICIO</t>
        </is>
      </c>
      <c r="G1940" t="inlineStr">
        <is>
          <t>MU</t>
        </is>
      </c>
      <c r="H1940" t="n">
        <v>3</v>
      </c>
      <c r="I1940" t="n">
        <v>3</v>
      </c>
      <c r="J1940" t="n">
        <v>3</v>
      </c>
      <c r="K1940" t="n">
        <v>9</v>
      </c>
      <c r="L1940" t="n">
        <v>9</v>
      </c>
      <c r="M1940" t="n">
        <v>9</v>
      </c>
      <c r="N1940" t="n">
        <v>9</v>
      </c>
      <c r="O1940" t="n">
        <v>15</v>
      </c>
      <c r="P1940" t="n">
        <v>3</v>
      </c>
      <c r="R1940" s="9" t="n">
        <v>0.03</v>
      </c>
      <c r="S1940" s="10" t="inlineStr">
        <is>
          <t>SÍ — integrante</t>
        </is>
      </c>
      <c r="T1940" s="11" t="inlineStr">
        <is>
          <t>B · INTEGRANTE</t>
        </is>
      </c>
      <c r="U1940" s="11" t="inlineStr">
        <is>
          <t>DEL BANCO (se hereda)</t>
        </is>
      </c>
      <c r="V1940" s="11" t="n"/>
      <c r="W1940" s="12" t="n"/>
      <c r="X1940" s="12" t="n"/>
    </row>
    <row r="1941" ht="15" customHeight="1">
      <c r="C1941" t="inlineStr">
        <is>
          <t xml:space="preserve">PAIS DE NACIMIENTO </t>
        </is>
      </c>
      <c r="D1941" t="inlineStr">
        <is>
          <t>F4</t>
        </is>
      </c>
      <c r="E1941" t="inlineStr">
        <is>
          <t>INHERENTE</t>
        </is>
      </c>
      <c r="F1941" t="inlineStr">
        <is>
          <t>MALDIVAS</t>
        </is>
      </c>
      <c r="G1941" t="inlineStr">
        <is>
          <t>MV</t>
        </is>
      </c>
      <c r="H1941" t="n">
        <v>2</v>
      </c>
      <c r="I1941" t="n">
        <v>2</v>
      </c>
      <c r="J1941" t="n">
        <v>3</v>
      </c>
      <c r="K1941" t="n">
        <v>6</v>
      </c>
      <c r="L1941" t="n">
        <v>6</v>
      </c>
      <c r="M1941" t="n">
        <v>6</v>
      </c>
      <c r="N1941" t="n">
        <v>6</v>
      </c>
      <c r="O1941" t="n">
        <v>15</v>
      </c>
      <c r="P1941" t="n">
        <v>3</v>
      </c>
      <c r="R1941" s="9" t="n">
        <v>0.03</v>
      </c>
      <c r="S1941" s="10" t="inlineStr">
        <is>
          <t>SÍ — integrante</t>
        </is>
      </c>
      <c r="T1941" s="11" t="inlineStr">
        <is>
          <t>B · INTEGRANTE</t>
        </is>
      </c>
      <c r="U1941" s="11" t="inlineStr">
        <is>
          <t>DEL BANCO (se hereda)</t>
        </is>
      </c>
      <c r="V1941" s="11" t="n"/>
      <c r="W1941" s="12" t="n"/>
      <c r="X1941" s="12" t="n"/>
    </row>
    <row r="1942" ht="15" customHeight="1">
      <c r="C1942" t="inlineStr">
        <is>
          <t xml:space="preserve">PAIS DE NACIMIENTO </t>
        </is>
      </c>
      <c r="D1942" t="inlineStr">
        <is>
          <t>F4</t>
        </is>
      </c>
      <c r="E1942" t="inlineStr">
        <is>
          <t>INHERENTE</t>
        </is>
      </c>
      <c r="F1942" t="inlineStr">
        <is>
          <t>MALAWI</t>
        </is>
      </c>
      <c r="G1942" t="inlineStr">
        <is>
          <t>MW</t>
        </is>
      </c>
      <c r="H1942" t="n">
        <v>3</v>
      </c>
      <c r="I1942" t="n">
        <v>3</v>
      </c>
      <c r="J1942" t="n">
        <v>3</v>
      </c>
      <c r="K1942" t="n">
        <v>9</v>
      </c>
      <c r="L1942" t="n">
        <v>9</v>
      </c>
      <c r="M1942" t="n">
        <v>9</v>
      </c>
      <c r="N1942" t="n">
        <v>9</v>
      </c>
      <c r="O1942" t="n">
        <v>15</v>
      </c>
      <c r="P1942" t="n">
        <v>3</v>
      </c>
      <c r="R1942" s="9" t="n">
        <v>0.03</v>
      </c>
      <c r="S1942" s="10" t="inlineStr">
        <is>
          <t>SÍ — integrante</t>
        </is>
      </c>
      <c r="T1942" s="11" t="inlineStr">
        <is>
          <t>B · INTEGRANTE</t>
        </is>
      </c>
      <c r="U1942" s="11" t="inlineStr">
        <is>
          <t>DEL BANCO (se hereda)</t>
        </is>
      </c>
      <c r="V1942" s="11" t="n"/>
      <c r="W1942" s="12" t="n"/>
      <c r="X1942" s="12" t="n"/>
    </row>
    <row r="1943" ht="15" customHeight="1">
      <c r="C1943" t="inlineStr">
        <is>
          <t xml:space="preserve">PAIS DE NACIMIENTO </t>
        </is>
      </c>
      <c r="D1943" t="inlineStr">
        <is>
          <t>F4</t>
        </is>
      </c>
      <c r="E1943" t="inlineStr">
        <is>
          <t>INHERENTE</t>
        </is>
      </c>
      <c r="F1943" t="inlineStr">
        <is>
          <t>MEXICO</t>
        </is>
      </c>
      <c r="G1943" t="inlineStr">
        <is>
          <t>MX</t>
        </is>
      </c>
      <c r="H1943" t="n">
        <v>3</v>
      </c>
      <c r="I1943" t="n">
        <v>3</v>
      </c>
      <c r="J1943" t="n">
        <v>3</v>
      </c>
      <c r="K1943" t="n">
        <v>9</v>
      </c>
      <c r="L1943" t="n">
        <v>9</v>
      </c>
      <c r="M1943" t="n">
        <v>9</v>
      </c>
      <c r="N1943" t="n">
        <v>9</v>
      </c>
      <c r="O1943" t="n">
        <v>15</v>
      </c>
      <c r="P1943" t="n">
        <v>3</v>
      </c>
      <c r="R1943" s="9" t="n">
        <v>0.03</v>
      </c>
      <c r="S1943" s="10" t="inlineStr">
        <is>
          <t>SÍ — integrante</t>
        </is>
      </c>
      <c r="T1943" s="11" t="inlineStr">
        <is>
          <t>B · INTEGRANTE</t>
        </is>
      </c>
      <c r="U1943" s="11" t="inlineStr">
        <is>
          <t>DEL BANCO (se hereda)</t>
        </is>
      </c>
      <c r="V1943" s="11" t="n"/>
      <c r="W1943" s="12" t="n"/>
      <c r="X1943" s="12" t="n"/>
    </row>
    <row r="1944" ht="15" customHeight="1">
      <c r="C1944" t="inlineStr">
        <is>
          <t xml:space="preserve">PAIS DE NACIMIENTO </t>
        </is>
      </c>
      <c r="D1944" t="inlineStr">
        <is>
          <t>F4</t>
        </is>
      </c>
      <c r="E1944" t="inlineStr">
        <is>
          <t>INHERENTE</t>
        </is>
      </c>
      <c r="F1944" t="inlineStr">
        <is>
          <t>MALAYSIA, LABUAN</t>
        </is>
      </c>
      <c r="G1944" t="inlineStr">
        <is>
          <t>MY</t>
        </is>
      </c>
      <c r="H1944" t="n">
        <v>3</v>
      </c>
      <c r="I1944" t="n">
        <v>3</v>
      </c>
      <c r="J1944" t="n">
        <v>3</v>
      </c>
      <c r="K1944" t="n">
        <v>9</v>
      </c>
      <c r="L1944" t="n">
        <v>9</v>
      </c>
      <c r="M1944" t="n">
        <v>9</v>
      </c>
      <c r="N1944" t="n">
        <v>9</v>
      </c>
      <c r="O1944" t="n">
        <v>15</v>
      </c>
      <c r="P1944" t="n">
        <v>3</v>
      </c>
      <c r="R1944" s="9" t="n">
        <v>0.03</v>
      </c>
      <c r="S1944" s="10" t="inlineStr">
        <is>
          <t>SÍ — integrante</t>
        </is>
      </c>
      <c r="T1944" s="11" t="inlineStr">
        <is>
          <t>B · INTEGRANTE</t>
        </is>
      </c>
      <c r="U1944" s="11" t="inlineStr">
        <is>
          <t>DEL BANCO (se hereda)</t>
        </is>
      </c>
      <c r="V1944" s="11" t="n"/>
      <c r="W1944" s="12" t="n"/>
      <c r="X1944" s="12" t="n"/>
    </row>
    <row r="1945" ht="15" customHeight="1">
      <c r="C1945" t="inlineStr">
        <is>
          <t xml:space="preserve">PAIS DE NACIMIENTO </t>
        </is>
      </c>
      <c r="D1945" t="inlineStr">
        <is>
          <t>F4</t>
        </is>
      </c>
      <c r="E1945" t="inlineStr">
        <is>
          <t>INHERENTE</t>
        </is>
      </c>
      <c r="F1945" t="inlineStr">
        <is>
          <t>MOZAMBIQUE</t>
        </is>
      </c>
      <c r="G1945" t="inlineStr">
        <is>
          <t>MZ</t>
        </is>
      </c>
      <c r="H1945" t="n">
        <v>3</v>
      </c>
      <c r="I1945" t="n">
        <v>3</v>
      </c>
      <c r="J1945" t="n">
        <v>3</v>
      </c>
      <c r="K1945" t="n">
        <v>9</v>
      </c>
      <c r="L1945" t="n">
        <v>9</v>
      </c>
      <c r="M1945" t="n">
        <v>9</v>
      </c>
      <c r="N1945" t="n">
        <v>9</v>
      </c>
      <c r="O1945" t="n">
        <v>15</v>
      </c>
      <c r="P1945" t="n">
        <v>3</v>
      </c>
      <c r="R1945" s="9" t="n">
        <v>0.03</v>
      </c>
      <c r="S1945" s="10" t="inlineStr">
        <is>
          <t>SÍ — integrante</t>
        </is>
      </c>
      <c r="T1945" s="11" t="inlineStr">
        <is>
          <t>B · INTEGRANTE</t>
        </is>
      </c>
      <c r="U1945" s="11" t="inlineStr">
        <is>
          <t>DEL BANCO (se hereda)</t>
        </is>
      </c>
      <c r="V1945" s="11" t="n"/>
      <c r="W1945" s="12" t="n"/>
      <c r="X1945" s="12" t="n"/>
    </row>
    <row r="1946" ht="15" customHeight="1">
      <c r="C1946" t="inlineStr">
        <is>
          <t xml:space="preserve">PAIS DE NACIMIENTO </t>
        </is>
      </c>
      <c r="D1946" t="inlineStr">
        <is>
          <t>F4</t>
        </is>
      </c>
      <c r="E1946" t="inlineStr">
        <is>
          <t>INHERENTE</t>
        </is>
      </c>
      <c r="F1946" t="inlineStr">
        <is>
          <t>NAMIBIA</t>
        </is>
      </c>
      <c r="G1946" t="inlineStr">
        <is>
          <t>NA</t>
        </is>
      </c>
      <c r="H1946" t="n">
        <v>4</v>
      </c>
      <c r="I1946" t="n">
        <v>4</v>
      </c>
      <c r="J1946" t="n">
        <v>3</v>
      </c>
      <c r="K1946" t="n">
        <v>12</v>
      </c>
      <c r="L1946" t="n">
        <v>12</v>
      </c>
      <c r="M1946" t="n">
        <v>12</v>
      </c>
      <c r="N1946" t="n">
        <v>12</v>
      </c>
      <c r="O1946" t="n">
        <v>15</v>
      </c>
      <c r="P1946" t="n">
        <v>3</v>
      </c>
      <c r="Q1946" t="inlineStr">
        <is>
          <t>DETERMINANTE</t>
        </is>
      </c>
      <c r="R1946" s="9" t="n">
        <v>0.03</v>
      </c>
      <c r="S1946" s="10" t="inlineStr">
        <is>
          <t>SÍ — integrante</t>
        </is>
      </c>
      <c r="T1946" s="11" t="inlineStr">
        <is>
          <t>B · INTEGRANTE</t>
        </is>
      </c>
      <c r="U1946" s="11" t="inlineStr">
        <is>
          <t>DEL BANCO (se hereda)</t>
        </is>
      </c>
      <c r="V1946" s="11" t="n"/>
      <c r="W1946" s="12" t="n"/>
      <c r="X1946" s="12" t="n"/>
    </row>
    <row r="1947" ht="15" customHeight="1">
      <c r="C1947" t="inlineStr">
        <is>
          <t xml:space="preserve">PAIS DE NACIMIENTO </t>
        </is>
      </c>
      <c r="D1947" t="inlineStr">
        <is>
          <t>F4</t>
        </is>
      </c>
      <c r="E1947" t="inlineStr">
        <is>
          <t>INHERENTE</t>
        </is>
      </c>
      <c r="F1947" t="inlineStr">
        <is>
          <t>NUEVA CALEDONIA</t>
        </is>
      </c>
      <c r="G1947" t="inlineStr">
        <is>
          <t>NC</t>
        </is>
      </c>
      <c r="H1947" t="n">
        <v>1</v>
      </c>
      <c r="I1947" t="n">
        <v>1</v>
      </c>
      <c r="J1947" t="n">
        <v>3</v>
      </c>
      <c r="K1947" t="n">
        <v>3</v>
      </c>
      <c r="L1947" t="n">
        <v>3</v>
      </c>
      <c r="M1947" t="n">
        <v>3</v>
      </c>
      <c r="N1947" t="n">
        <v>3</v>
      </c>
      <c r="O1947" t="n">
        <v>15</v>
      </c>
      <c r="P1947" t="n">
        <v>3</v>
      </c>
      <c r="R1947" s="9" t="n">
        <v>0.03</v>
      </c>
      <c r="S1947" s="10" t="inlineStr">
        <is>
          <t>SÍ — integrante</t>
        </is>
      </c>
      <c r="T1947" s="11" t="inlineStr">
        <is>
          <t>B · INTEGRANTE</t>
        </is>
      </c>
      <c r="U1947" s="11" t="inlineStr">
        <is>
          <t>DEL BANCO (se hereda)</t>
        </is>
      </c>
      <c r="V1947" s="11" t="n"/>
      <c r="W1947" s="12" t="n"/>
      <c r="X1947" s="12" t="n"/>
    </row>
    <row r="1948" ht="15" customHeight="1">
      <c r="C1948" t="inlineStr">
        <is>
          <t xml:space="preserve">PAIS DE NACIMIENTO </t>
        </is>
      </c>
      <c r="D1948" t="inlineStr">
        <is>
          <t>F4</t>
        </is>
      </c>
      <c r="E1948" t="inlineStr">
        <is>
          <t>INHERENTE</t>
        </is>
      </c>
      <c r="F1948" t="inlineStr">
        <is>
          <t>NIGER</t>
        </is>
      </c>
      <c r="G1948" t="inlineStr">
        <is>
          <t>NE</t>
        </is>
      </c>
      <c r="H1948" t="n">
        <v>4</v>
      </c>
      <c r="I1948" t="n">
        <v>4</v>
      </c>
      <c r="J1948" t="n">
        <v>3</v>
      </c>
      <c r="K1948" t="n">
        <v>12</v>
      </c>
      <c r="L1948" t="n">
        <v>12</v>
      </c>
      <c r="M1948" t="n">
        <v>12</v>
      </c>
      <c r="N1948" t="n">
        <v>12</v>
      </c>
      <c r="O1948" t="n">
        <v>15</v>
      </c>
      <c r="P1948" t="n">
        <v>3</v>
      </c>
      <c r="R1948" s="9" t="n">
        <v>0.03</v>
      </c>
      <c r="S1948" s="10" t="inlineStr">
        <is>
          <t>SÍ — integrante</t>
        </is>
      </c>
      <c r="T1948" s="11" t="inlineStr">
        <is>
          <t>B · INTEGRANTE</t>
        </is>
      </c>
      <c r="U1948" s="11" t="inlineStr">
        <is>
          <t>DEL BANCO (se hereda)</t>
        </is>
      </c>
      <c r="V1948" s="11" t="n"/>
      <c r="W1948" s="12" t="n"/>
      <c r="X1948" s="12" t="n"/>
    </row>
    <row r="1949" ht="15" customHeight="1">
      <c r="C1949" t="inlineStr">
        <is>
          <t xml:space="preserve">PAIS DE NACIMIENTO </t>
        </is>
      </c>
      <c r="D1949" t="inlineStr">
        <is>
          <t>F4</t>
        </is>
      </c>
      <c r="E1949" t="inlineStr">
        <is>
          <t>INHERENTE</t>
        </is>
      </c>
      <c r="F1949" t="inlineStr">
        <is>
          <t>ISLA DE NORFOLK</t>
        </is>
      </c>
      <c r="G1949" t="inlineStr">
        <is>
          <t>NF</t>
        </is>
      </c>
      <c r="H1949" t="n">
        <v>1</v>
      </c>
      <c r="I1949" t="n">
        <v>1</v>
      </c>
      <c r="J1949" t="n">
        <v>3</v>
      </c>
      <c r="K1949" t="n">
        <v>3</v>
      </c>
      <c r="L1949" t="n">
        <v>3</v>
      </c>
      <c r="M1949" t="n">
        <v>3</v>
      </c>
      <c r="N1949" t="n">
        <v>3</v>
      </c>
      <c r="O1949" t="n">
        <v>15</v>
      </c>
      <c r="P1949" t="n">
        <v>3</v>
      </c>
      <c r="R1949" s="9" t="n">
        <v>0.03</v>
      </c>
      <c r="S1949" s="10" t="inlineStr">
        <is>
          <t>SÍ — integrante</t>
        </is>
      </c>
      <c r="T1949" s="11" t="inlineStr">
        <is>
          <t>B · INTEGRANTE</t>
        </is>
      </c>
      <c r="U1949" s="11" t="inlineStr">
        <is>
          <t>DEL BANCO (se hereda)</t>
        </is>
      </c>
      <c r="V1949" s="11" t="n"/>
      <c r="W1949" s="12" t="n"/>
      <c r="X1949" s="12" t="n"/>
    </row>
    <row r="1950" ht="15" customHeight="1">
      <c r="C1950" t="inlineStr">
        <is>
          <t xml:space="preserve">PAIS DE NACIMIENTO </t>
        </is>
      </c>
      <c r="D1950" t="inlineStr">
        <is>
          <t>F4</t>
        </is>
      </c>
      <c r="E1950" t="inlineStr">
        <is>
          <t>INHERENTE</t>
        </is>
      </c>
      <c r="F1950" t="inlineStr">
        <is>
          <t>NIGERIA</t>
        </is>
      </c>
      <c r="G1950" t="inlineStr">
        <is>
          <t>NG</t>
        </is>
      </c>
      <c r="H1950" t="n">
        <v>3</v>
      </c>
      <c r="I1950" t="n">
        <v>3</v>
      </c>
      <c r="J1950" t="n">
        <v>3</v>
      </c>
      <c r="K1950" t="n">
        <v>9</v>
      </c>
      <c r="L1950" t="n">
        <v>9</v>
      </c>
      <c r="M1950" t="n">
        <v>9</v>
      </c>
      <c r="N1950" t="n">
        <v>9</v>
      </c>
      <c r="O1950" t="n">
        <v>15</v>
      </c>
      <c r="P1950" t="n">
        <v>3</v>
      </c>
      <c r="R1950" s="9" t="n">
        <v>0.03</v>
      </c>
      <c r="S1950" s="10" t="inlineStr">
        <is>
          <t>SÍ — integrante</t>
        </is>
      </c>
      <c r="T1950" s="11" t="inlineStr">
        <is>
          <t>B · INTEGRANTE</t>
        </is>
      </c>
      <c r="U1950" s="11" t="inlineStr">
        <is>
          <t>DEL BANCO (se hereda)</t>
        </is>
      </c>
      <c r="V1950" s="11" t="n"/>
      <c r="W1950" s="12" t="n"/>
      <c r="X1950" s="12" t="n"/>
    </row>
    <row r="1951" ht="15" customHeight="1">
      <c r="C1951" t="inlineStr">
        <is>
          <t xml:space="preserve">PAIS DE NACIMIENTO </t>
        </is>
      </c>
      <c r="D1951" t="inlineStr">
        <is>
          <t>F4</t>
        </is>
      </c>
      <c r="E1951" t="inlineStr">
        <is>
          <t>INHERENTE</t>
        </is>
      </c>
      <c r="F1951" t="inlineStr">
        <is>
          <t>NICARAGUA</t>
        </is>
      </c>
      <c r="G1951" t="inlineStr">
        <is>
          <t>NI</t>
        </is>
      </c>
      <c r="H1951" t="n">
        <v>4</v>
      </c>
      <c r="I1951" t="n">
        <v>4</v>
      </c>
      <c r="J1951" t="n">
        <v>3</v>
      </c>
      <c r="K1951" t="n">
        <v>12</v>
      </c>
      <c r="L1951" t="n">
        <v>12</v>
      </c>
      <c r="M1951" t="n">
        <v>12</v>
      </c>
      <c r="N1951" t="n">
        <v>12</v>
      </c>
      <c r="O1951" t="n">
        <v>15</v>
      </c>
      <c r="P1951" t="n">
        <v>3</v>
      </c>
      <c r="R1951" s="9" t="n">
        <v>0.03</v>
      </c>
      <c r="S1951" s="10" t="inlineStr">
        <is>
          <t>SÍ — integrante</t>
        </is>
      </c>
      <c r="T1951" s="11" t="inlineStr">
        <is>
          <t>B · INTEGRANTE</t>
        </is>
      </c>
      <c r="U1951" s="11" t="inlineStr">
        <is>
          <t>DEL BANCO (se hereda)</t>
        </is>
      </c>
      <c r="V1951" s="11" t="n"/>
      <c r="W1951" s="12" t="n"/>
      <c r="X1951" s="12" t="n"/>
    </row>
    <row r="1952" ht="15" customHeight="1">
      <c r="C1952" t="inlineStr">
        <is>
          <t xml:space="preserve">PAIS DE NACIMIENTO </t>
        </is>
      </c>
      <c r="D1952" t="inlineStr">
        <is>
          <t>F4</t>
        </is>
      </c>
      <c r="E1952" t="inlineStr">
        <is>
          <t>INHERENTE</t>
        </is>
      </c>
      <c r="F1952" t="inlineStr">
        <is>
          <t>PAISES BAJOS</t>
        </is>
      </c>
      <c r="G1952" t="inlineStr">
        <is>
          <t>NL</t>
        </is>
      </c>
      <c r="H1952" t="n">
        <v>1</v>
      </c>
      <c r="I1952" t="n">
        <v>1</v>
      </c>
      <c r="J1952" t="n">
        <v>3</v>
      </c>
      <c r="K1952" t="n">
        <v>3</v>
      </c>
      <c r="L1952" t="n">
        <v>3</v>
      </c>
      <c r="M1952" t="n">
        <v>3</v>
      </c>
      <c r="N1952" t="n">
        <v>3</v>
      </c>
      <c r="O1952" t="n">
        <v>15</v>
      </c>
      <c r="P1952" t="n">
        <v>3</v>
      </c>
      <c r="R1952" s="9" t="n">
        <v>0.03</v>
      </c>
      <c r="S1952" s="10" t="inlineStr">
        <is>
          <t>SÍ — integrante</t>
        </is>
      </c>
      <c r="T1952" s="11" t="inlineStr">
        <is>
          <t>B · INTEGRANTE</t>
        </is>
      </c>
      <c r="U1952" s="11" t="inlineStr">
        <is>
          <t>DEL BANCO (se hereda)</t>
        </is>
      </c>
      <c r="V1952" s="11" t="n"/>
      <c r="W1952" s="12" t="n"/>
      <c r="X1952" s="12" t="n"/>
    </row>
    <row r="1953" ht="15" customHeight="1">
      <c r="C1953" t="inlineStr">
        <is>
          <t xml:space="preserve">PAIS DE NACIMIENTO </t>
        </is>
      </c>
      <c r="D1953" t="inlineStr">
        <is>
          <t>F4</t>
        </is>
      </c>
      <c r="E1953" t="inlineStr">
        <is>
          <t>INHERENTE</t>
        </is>
      </c>
      <c r="F1953" t="inlineStr">
        <is>
          <t>NORUEGA</t>
        </is>
      </c>
      <c r="G1953" t="inlineStr">
        <is>
          <t>NO</t>
        </is>
      </c>
      <c r="H1953" t="n">
        <v>1</v>
      </c>
      <c r="I1953" t="n">
        <v>1</v>
      </c>
      <c r="J1953" t="n">
        <v>3</v>
      </c>
      <c r="K1953" t="n">
        <v>3</v>
      </c>
      <c r="L1953" t="n">
        <v>3</v>
      </c>
      <c r="M1953" t="n">
        <v>3</v>
      </c>
      <c r="N1953" t="n">
        <v>3</v>
      </c>
      <c r="O1953" t="n">
        <v>15</v>
      </c>
      <c r="P1953" t="n">
        <v>3</v>
      </c>
      <c r="R1953" s="9" t="n">
        <v>0.03</v>
      </c>
      <c r="S1953" s="10" t="inlineStr">
        <is>
          <t>SÍ — integrante</t>
        </is>
      </c>
      <c r="T1953" s="11" t="inlineStr">
        <is>
          <t>B · INTEGRANTE</t>
        </is>
      </c>
      <c r="U1953" s="11" t="inlineStr">
        <is>
          <t>DEL BANCO (se hereda)</t>
        </is>
      </c>
      <c r="V1953" s="11" t="n"/>
      <c r="W1953" s="12" t="n"/>
      <c r="X1953" s="12" t="n"/>
    </row>
    <row r="1954" ht="15" customHeight="1">
      <c r="C1954" t="inlineStr">
        <is>
          <t xml:space="preserve">PAIS DE NACIMIENTO </t>
        </is>
      </c>
      <c r="D1954" t="inlineStr">
        <is>
          <t>F4</t>
        </is>
      </c>
      <c r="E1954" t="inlineStr">
        <is>
          <t>INHERENTE</t>
        </is>
      </c>
      <c r="F1954" t="inlineStr">
        <is>
          <t>NEPAL</t>
        </is>
      </c>
      <c r="G1954" t="inlineStr">
        <is>
          <t>NP</t>
        </is>
      </c>
      <c r="H1954" t="n">
        <v>4</v>
      </c>
      <c r="I1954" t="n">
        <v>4</v>
      </c>
      <c r="J1954" t="n">
        <v>3</v>
      </c>
      <c r="K1954" t="n">
        <v>12</v>
      </c>
      <c r="L1954" t="n">
        <v>12</v>
      </c>
      <c r="M1954" t="n">
        <v>12</v>
      </c>
      <c r="N1954" t="n">
        <v>12</v>
      </c>
      <c r="O1954" t="n">
        <v>15</v>
      </c>
      <c r="P1954" t="n">
        <v>3</v>
      </c>
      <c r="Q1954" t="inlineStr">
        <is>
          <t>DETERMINANTE</t>
        </is>
      </c>
      <c r="R1954" s="9" t="n">
        <v>0.03</v>
      </c>
      <c r="S1954" s="10" t="inlineStr">
        <is>
          <t>SÍ — integrante</t>
        </is>
      </c>
      <c r="T1954" s="11" t="inlineStr">
        <is>
          <t>B · INTEGRANTE</t>
        </is>
      </c>
      <c r="U1954" s="11" t="inlineStr">
        <is>
          <t>DEL BANCO (se hereda)</t>
        </is>
      </c>
      <c r="V1954" s="11" t="n"/>
      <c r="W1954" s="12" t="n"/>
      <c r="X1954" s="12" t="n"/>
    </row>
    <row r="1955" ht="15" customHeight="1">
      <c r="C1955" t="inlineStr">
        <is>
          <t xml:space="preserve">PAIS DE NACIMIENTO </t>
        </is>
      </c>
      <c r="D1955" t="inlineStr">
        <is>
          <t>F4</t>
        </is>
      </c>
      <c r="E1955" t="inlineStr">
        <is>
          <t>INHERENTE</t>
        </is>
      </c>
      <c r="F1955" t="inlineStr">
        <is>
          <t>NAURU</t>
        </is>
      </c>
      <c r="G1955" t="inlineStr">
        <is>
          <t>NR</t>
        </is>
      </c>
      <c r="H1955" t="n">
        <v>3</v>
      </c>
      <c r="I1955" t="n">
        <v>3</v>
      </c>
      <c r="J1955" t="n">
        <v>3</v>
      </c>
      <c r="K1955" t="n">
        <v>9</v>
      </c>
      <c r="L1955" t="n">
        <v>9</v>
      </c>
      <c r="M1955" t="n">
        <v>9</v>
      </c>
      <c r="N1955" t="n">
        <v>9</v>
      </c>
      <c r="O1955" t="n">
        <v>15</v>
      </c>
      <c r="P1955" t="n">
        <v>3</v>
      </c>
      <c r="R1955" s="9" t="n">
        <v>0.03</v>
      </c>
      <c r="S1955" s="10" t="inlineStr">
        <is>
          <t>SÍ — integrante</t>
        </is>
      </c>
      <c r="T1955" s="11" t="inlineStr">
        <is>
          <t>B · INTEGRANTE</t>
        </is>
      </c>
      <c r="U1955" s="11" t="inlineStr">
        <is>
          <t>DEL BANCO (se hereda)</t>
        </is>
      </c>
      <c r="V1955" s="11" t="n"/>
      <c r="W1955" s="12" t="n"/>
      <c r="X1955" s="12" t="n"/>
    </row>
    <row r="1956" ht="15" customHeight="1">
      <c r="C1956" t="inlineStr">
        <is>
          <t xml:space="preserve">PAIS DE NACIMIENTO </t>
        </is>
      </c>
      <c r="D1956" t="inlineStr">
        <is>
          <t>F4</t>
        </is>
      </c>
      <c r="E1956" t="inlineStr">
        <is>
          <t>INHERENTE</t>
        </is>
      </c>
      <c r="F1956" t="inlineStr">
        <is>
          <t>NIUE</t>
        </is>
      </c>
      <c r="G1956" t="inlineStr">
        <is>
          <t>NU</t>
        </is>
      </c>
      <c r="H1956" t="n">
        <v>1</v>
      </c>
      <c r="I1956" t="n">
        <v>1</v>
      </c>
      <c r="J1956" t="n">
        <v>3</v>
      </c>
      <c r="K1956" t="n">
        <v>3</v>
      </c>
      <c r="L1956" t="n">
        <v>3</v>
      </c>
      <c r="M1956" t="n">
        <v>3</v>
      </c>
      <c r="N1956" t="n">
        <v>3</v>
      </c>
      <c r="O1956" t="n">
        <v>15</v>
      </c>
      <c r="P1956" t="n">
        <v>3</v>
      </c>
      <c r="R1956" s="9" t="n">
        <v>0.03</v>
      </c>
      <c r="S1956" s="10" t="inlineStr">
        <is>
          <t>SÍ — integrante</t>
        </is>
      </c>
      <c r="T1956" s="11" t="inlineStr">
        <is>
          <t>B · INTEGRANTE</t>
        </is>
      </c>
      <c r="U1956" s="11" t="inlineStr">
        <is>
          <t>DEL BANCO (se hereda)</t>
        </is>
      </c>
      <c r="V1956" s="11" t="n"/>
      <c r="W1956" s="12" t="n"/>
      <c r="X1956" s="12" t="n"/>
    </row>
    <row r="1957" ht="15" customHeight="1">
      <c r="C1957" t="inlineStr">
        <is>
          <t xml:space="preserve">PAIS DE NACIMIENTO </t>
        </is>
      </c>
      <c r="D1957" t="inlineStr">
        <is>
          <t>F4</t>
        </is>
      </c>
      <c r="E1957" t="inlineStr">
        <is>
          <t>INHERENTE</t>
        </is>
      </c>
      <c r="F1957" t="inlineStr">
        <is>
          <t>NIEVES</t>
        </is>
      </c>
      <c r="G1957" t="inlineStr">
        <is>
          <t>NV</t>
        </is>
      </c>
      <c r="H1957" t="n">
        <v>3</v>
      </c>
      <c r="I1957" t="n">
        <v>3</v>
      </c>
      <c r="J1957" t="n">
        <v>3</v>
      </c>
      <c r="K1957" t="n">
        <v>9</v>
      </c>
      <c r="L1957" t="n">
        <v>9</v>
      </c>
      <c r="M1957" t="n">
        <v>9</v>
      </c>
      <c r="N1957" t="n">
        <v>9</v>
      </c>
      <c r="O1957" t="n">
        <v>15</v>
      </c>
      <c r="P1957" t="n">
        <v>3</v>
      </c>
      <c r="R1957" s="9" t="n">
        <v>0.03</v>
      </c>
      <c r="S1957" s="10" t="inlineStr">
        <is>
          <t>SÍ — integrante</t>
        </is>
      </c>
      <c r="T1957" s="11" t="inlineStr">
        <is>
          <t>B · INTEGRANTE</t>
        </is>
      </c>
      <c r="U1957" s="11" t="inlineStr">
        <is>
          <t>DEL BANCO (se hereda)</t>
        </is>
      </c>
      <c r="V1957" s="11" t="n"/>
      <c r="W1957" s="12" t="n"/>
      <c r="X1957" s="12" t="n"/>
    </row>
    <row r="1958" ht="15" customHeight="1">
      <c r="C1958" t="inlineStr">
        <is>
          <t xml:space="preserve">PAIS DE NACIMIENTO </t>
        </is>
      </c>
      <c r="D1958" t="inlineStr">
        <is>
          <t>F4</t>
        </is>
      </c>
      <c r="E1958" t="inlineStr">
        <is>
          <t>INHERENTE</t>
        </is>
      </c>
      <c r="F1958" t="inlineStr">
        <is>
          <t>NUEVA ZELANDIA</t>
        </is>
      </c>
      <c r="G1958" t="inlineStr">
        <is>
          <t>NZ</t>
        </is>
      </c>
      <c r="H1958" t="n">
        <v>1</v>
      </c>
      <c r="I1958" t="n">
        <v>1</v>
      </c>
      <c r="J1958" t="n">
        <v>3</v>
      </c>
      <c r="K1958" t="n">
        <v>3</v>
      </c>
      <c r="L1958" t="n">
        <v>3</v>
      </c>
      <c r="M1958" t="n">
        <v>3</v>
      </c>
      <c r="N1958" t="n">
        <v>3</v>
      </c>
      <c r="O1958" t="n">
        <v>15</v>
      </c>
      <c r="P1958" t="n">
        <v>3</v>
      </c>
      <c r="R1958" s="9" t="n">
        <v>0.03</v>
      </c>
      <c r="S1958" s="10" t="inlineStr">
        <is>
          <t>SÍ — integrante</t>
        </is>
      </c>
      <c r="T1958" s="11" t="inlineStr">
        <is>
          <t>B · INTEGRANTE</t>
        </is>
      </c>
      <c r="U1958" s="11" t="inlineStr">
        <is>
          <t>DEL BANCO (se hereda)</t>
        </is>
      </c>
      <c r="V1958" s="11" t="n"/>
      <c r="W1958" s="12" t="n"/>
      <c r="X1958" s="12" t="n"/>
    </row>
    <row r="1959" ht="15" customHeight="1">
      <c r="C1959" t="inlineStr">
        <is>
          <t xml:space="preserve">PAIS DE NACIMIENTO </t>
        </is>
      </c>
      <c r="D1959" t="inlineStr">
        <is>
          <t>F4</t>
        </is>
      </c>
      <c r="E1959" t="inlineStr">
        <is>
          <t>INHERENTE</t>
        </is>
      </c>
      <c r="F1959" t="inlineStr">
        <is>
          <t>OMAN</t>
        </is>
      </c>
      <c r="G1959" t="inlineStr">
        <is>
          <t>OM</t>
        </is>
      </c>
      <c r="H1959" t="n">
        <v>3</v>
      </c>
      <c r="I1959" t="n">
        <v>3</v>
      </c>
      <c r="J1959" t="n">
        <v>3</v>
      </c>
      <c r="K1959" t="n">
        <v>9</v>
      </c>
      <c r="L1959" t="n">
        <v>9</v>
      </c>
      <c r="M1959" t="n">
        <v>9</v>
      </c>
      <c r="N1959" t="n">
        <v>9</v>
      </c>
      <c r="O1959" t="n">
        <v>15</v>
      </c>
      <c r="P1959" t="n">
        <v>3</v>
      </c>
      <c r="R1959" s="9" t="n">
        <v>0.03</v>
      </c>
      <c r="S1959" s="10" t="inlineStr">
        <is>
          <t>SÍ — integrante</t>
        </is>
      </c>
      <c r="T1959" s="11" t="inlineStr">
        <is>
          <t>B · INTEGRANTE</t>
        </is>
      </c>
      <c r="U1959" s="11" t="inlineStr">
        <is>
          <t>DEL BANCO (se hereda)</t>
        </is>
      </c>
      <c r="V1959" s="11" t="n"/>
      <c r="W1959" s="12" t="n"/>
      <c r="X1959" s="12" t="n"/>
    </row>
    <row r="1960" ht="15" customHeight="1">
      <c r="C1960" t="inlineStr">
        <is>
          <t xml:space="preserve">PAIS DE NACIMIENTO </t>
        </is>
      </c>
      <c r="D1960" t="inlineStr">
        <is>
          <t>F4</t>
        </is>
      </c>
      <c r="E1960" t="inlineStr">
        <is>
          <t>INHERENTE</t>
        </is>
      </c>
      <c r="F1960" t="inlineStr">
        <is>
          <t>PANAMA</t>
        </is>
      </c>
      <c r="G1960" t="inlineStr">
        <is>
          <t>PA</t>
        </is>
      </c>
      <c r="H1960" t="n">
        <v>3</v>
      </c>
      <c r="I1960" t="n">
        <v>3</v>
      </c>
      <c r="J1960" t="n">
        <v>3</v>
      </c>
      <c r="K1960" t="n">
        <v>9</v>
      </c>
      <c r="L1960" t="n">
        <v>9</v>
      </c>
      <c r="M1960" t="n">
        <v>9</v>
      </c>
      <c r="N1960" t="n">
        <v>9</v>
      </c>
      <c r="O1960" t="n">
        <v>15</v>
      </c>
      <c r="P1960" t="n">
        <v>3</v>
      </c>
      <c r="R1960" s="9" t="n">
        <v>0.03</v>
      </c>
      <c r="S1960" s="10" t="inlineStr">
        <is>
          <t>SÍ — integrante</t>
        </is>
      </c>
      <c r="T1960" s="11" t="inlineStr">
        <is>
          <t>B · INTEGRANTE</t>
        </is>
      </c>
      <c r="U1960" s="11" t="inlineStr">
        <is>
          <t>DEL BANCO (se hereda)</t>
        </is>
      </c>
      <c r="V1960" s="11" t="n"/>
      <c r="W1960" s="12" t="n"/>
      <c r="X1960" s="12" t="n"/>
    </row>
    <row r="1961" ht="15" customHeight="1">
      <c r="C1961" t="inlineStr">
        <is>
          <t xml:space="preserve">PAIS DE NACIMIENTO </t>
        </is>
      </c>
      <c r="D1961" t="inlineStr">
        <is>
          <t>F4</t>
        </is>
      </c>
      <c r="E1961" t="inlineStr">
        <is>
          <t>INHERENTE</t>
        </is>
      </c>
      <c r="F1961" t="inlineStr">
        <is>
          <t>PERU</t>
        </is>
      </c>
      <c r="G1961" t="inlineStr">
        <is>
          <t>PE</t>
        </is>
      </c>
      <c r="H1961" t="n">
        <v>2</v>
      </c>
      <c r="I1961" t="n">
        <v>2</v>
      </c>
      <c r="J1961" t="n">
        <v>3</v>
      </c>
      <c r="K1961" t="n">
        <v>6</v>
      </c>
      <c r="L1961" t="n">
        <v>6</v>
      </c>
      <c r="M1961" t="n">
        <v>6</v>
      </c>
      <c r="N1961" t="n">
        <v>6</v>
      </c>
      <c r="O1961" t="n">
        <v>15</v>
      </c>
      <c r="P1961" t="n">
        <v>3</v>
      </c>
      <c r="R1961" s="9" t="n">
        <v>0.03</v>
      </c>
      <c r="S1961" s="10" t="inlineStr">
        <is>
          <t>SÍ — integrante</t>
        </is>
      </c>
      <c r="T1961" s="11" t="inlineStr">
        <is>
          <t>B · INTEGRANTE</t>
        </is>
      </c>
      <c r="U1961" s="11" t="inlineStr">
        <is>
          <t>DEL BANCO (se hereda)</t>
        </is>
      </c>
      <c r="V1961" s="11" t="n"/>
      <c r="W1961" s="12" t="n"/>
      <c r="X1961" s="12" t="n"/>
    </row>
    <row r="1962" ht="15" customHeight="1">
      <c r="C1962" t="inlineStr">
        <is>
          <t xml:space="preserve">PAIS DE NACIMIENTO </t>
        </is>
      </c>
      <c r="D1962" t="inlineStr">
        <is>
          <t>F4</t>
        </is>
      </c>
      <c r="E1962" t="inlineStr">
        <is>
          <t>INHERENTE</t>
        </is>
      </c>
      <c r="F1962" t="inlineStr">
        <is>
          <t>POLINESIA FRANCESA</t>
        </is>
      </c>
      <c r="G1962" t="inlineStr">
        <is>
          <t>PF</t>
        </is>
      </c>
      <c r="H1962" t="n">
        <v>3</v>
      </c>
      <c r="I1962" t="n">
        <v>3</v>
      </c>
      <c r="J1962" t="n">
        <v>3</v>
      </c>
      <c r="K1962" t="n">
        <v>9</v>
      </c>
      <c r="L1962" t="n">
        <v>9</v>
      </c>
      <c r="M1962" t="n">
        <v>9</v>
      </c>
      <c r="N1962" t="n">
        <v>9</v>
      </c>
      <c r="O1962" t="n">
        <v>15</v>
      </c>
      <c r="P1962" t="n">
        <v>3</v>
      </c>
      <c r="R1962" s="9" t="n">
        <v>0.03</v>
      </c>
      <c r="S1962" s="10" t="inlineStr">
        <is>
          <t>SÍ — integrante</t>
        </is>
      </c>
      <c r="T1962" s="11" t="inlineStr">
        <is>
          <t>B · INTEGRANTE</t>
        </is>
      </c>
      <c r="U1962" s="11" t="inlineStr">
        <is>
          <t>DEL BANCO (se hereda)</t>
        </is>
      </c>
      <c r="V1962" s="11" t="n"/>
      <c r="W1962" s="12" t="n"/>
      <c r="X1962" s="12" t="n"/>
    </row>
    <row r="1963" ht="15" customHeight="1">
      <c r="C1963" t="inlineStr">
        <is>
          <t xml:space="preserve">PAIS DE NACIMIENTO </t>
        </is>
      </c>
      <c r="D1963" t="inlineStr">
        <is>
          <t>F4</t>
        </is>
      </c>
      <c r="E1963" t="inlineStr">
        <is>
          <t>INHERENTE</t>
        </is>
      </c>
      <c r="F1963" t="inlineStr">
        <is>
          <t>PAP NUEVA GUINE</t>
        </is>
      </c>
      <c r="G1963" t="inlineStr">
        <is>
          <t>PG</t>
        </is>
      </c>
      <c r="H1963" t="n">
        <v>4</v>
      </c>
      <c r="I1963" t="n">
        <v>4</v>
      </c>
      <c r="J1963" t="n">
        <v>3</v>
      </c>
      <c r="K1963" t="n">
        <v>12</v>
      </c>
      <c r="L1963" t="n">
        <v>12</v>
      </c>
      <c r="M1963" t="n">
        <v>12</v>
      </c>
      <c r="N1963" t="n">
        <v>12</v>
      </c>
      <c r="O1963" t="n">
        <v>15</v>
      </c>
      <c r="P1963" t="n">
        <v>3</v>
      </c>
      <c r="Q1963" t="inlineStr">
        <is>
          <t>DETERMINANTE</t>
        </is>
      </c>
      <c r="R1963" s="9" t="n">
        <v>0.03</v>
      </c>
      <c r="S1963" s="10" t="inlineStr">
        <is>
          <t>SÍ — integrante</t>
        </is>
      </c>
      <c r="T1963" s="11" t="inlineStr">
        <is>
          <t>B · INTEGRANTE</t>
        </is>
      </c>
      <c r="U1963" s="11" t="inlineStr">
        <is>
          <t>DEL BANCO (se hereda)</t>
        </is>
      </c>
      <c r="V1963" s="11" t="n"/>
      <c r="W1963" s="12" t="n"/>
      <c r="X1963" s="12" t="n"/>
    </row>
    <row r="1964" ht="15" customHeight="1">
      <c r="C1964" t="inlineStr">
        <is>
          <t xml:space="preserve">PAIS DE NACIMIENTO </t>
        </is>
      </c>
      <c r="D1964" t="inlineStr">
        <is>
          <t>F4</t>
        </is>
      </c>
      <c r="E1964" t="inlineStr">
        <is>
          <t>INHERENTE</t>
        </is>
      </c>
      <c r="F1964" t="inlineStr">
        <is>
          <t>FILIPINAS</t>
        </is>
      </c>
      <c r="G1964" t="inlineStr">
        <is>
          <t>PH</t>
        </is>
      </c>
      <c r="H1964" t="n">
        <v>2</v>
      </c>
      <c r="I1964" t="n">
        <v>2</v>
      </c>
      <c r="J1964" t="n">
        <v>3</v>
      </c>
      <c r="K1964" t="n">
        <v>6</v>
      </c>
      <c r="L1964" t="n">
        <v>6</v>
      </c>
      <c r="M1964" t="n">
        <v>6</v>
      </c>
      <c r="N1964" t="n">
        <v>6</v>
      </c>
      <c r="O1964" t="n">
        <v>15</v>
      </c>
      <c r="P1964" t="n">
        <v>3</v>
      </c>
      <c r="R1964" s="9" t="n">
        <v>0.03</v>
      </c>
      <c r="S1964" s="10" t="inlineStr">
        <is>
          <t>SÍ — integrante</t>
        </is>
      </c>
      <c r="T1964" s="11" t="inlineStr">
        <is>
          <t>B · INTEGRANTE</t>
        </is>
      </c>
      <c r="U1964" s="11" t="inlineStr">
        <is>
          <t>DEL BANCO (se hereda)</t>
        </is>
      </c>
      <c r="V1964" s="11" t="n"/>
      <c r="W1964" s="12" t="n"/>
      <c r="X1964" s="12" t="n"/>
    </row>
    <row r="1965" ht="15" customHeight="1">
      <c r="C1965" t="inlineStr">
        <is>
          <t xml:space="preserve">PAIS DE NACIMIENTO </t>
        </is>
      </c>
      <c r="D1965" t="inlineStr">
        <is>
          <t>F4</t>
        </is>
      </c>
      <c r="E1965" t="inlineStr">
        <is>
          <t>INHERENTE</t>
        </is>
      </c>
      <c r="F1965" t="inlineStr">
        <is>
          <t>PAKISTAN</t>
        </is>
      </c>
      <c r="G1965" t="inlineStr">
        <is>
          <t>PK</t>
        </is>
      </c>
      <c r="H1965" t="n">
        <v>3</v>
      </c>
      <c r="I1965" t="n">
        <v>3</v>
      </c>
      <c r="J1965" t="n">
        <v>3</v>
      </c>
      <c r="K1965" t="n">
        <v>9</v>
      </c>
      <c r="L1965" t="n">
        <v>9</v>
      </c>
      <c r="M1965" t="n">
        <v>9</v>
      </c>
      <c r="N1965" t="n">
        <v>9</v>
      </c>
      <c r="O1965" t="n">
        <v>15</v>
      </c>
      <c r="P1965" t="n">
        <v>3</v>
      </c>
      <c r="R1965" s="9" t="n">
        <v>0.03</v>
      </c>
      <c r="S1965" s="10" t="inlineStr">
        <is>
          <t>SÍ — integrante</t>
        </is>
      </c>
      <c r="T1965" s="11" t="inlineStr">
        <is>
          <t>B · INTEGRANTE</t>
        </is>
      </c>
      <c r="U1965" s="11" t="inlineStr">
        <is>
          <t>DEL BANCO (se hereda)</t>
        </is>
      </c>
      <c r="V1965" s="11" t="n"/>
      <c r="W1965" s="12" t="n"/>
      <c r="X1965" s="12" t="n"/>
    </row>
    <row r="1966" ht="15" customHeight="1">
      <c r="C1966" t="inlineStr">
        <is>
          <t xml:space="preserve">PAIS DE NACIMIENTO </t>
        </is>
      </c>
      <c r="D1966" t="inlineStr">
        <is>
          <t>F4</t>
        </is>
      </c>
      <c r="E1966" t="inlineStr">
        <is>
          <t>INHERENTE</t>
        </is>
      </c>
      <c r="F1966" t="inlineStr">
        <is>
          <t>POLONIA</t>
        </is>
      </c>
      <c r="G1966" t="inlineStr">
        <is>
          <t>PL</t>
        </is>
      </c>
      <c r="H1966" t="n">
        <v>1</v>
      </c>
      <c r="I1966" t="n">
        <v>1</v>
      </c>
      <c r="J1966" t="n">
        <v>3</v>
      </c>
      <c r="K1966" t="n">
        <v>3</v>
      </c>
      <c r="L1966" t="n">
        <v>3</v>
      </c>
      <c r="M1966" t="n">
        <v>3</v>
      </c>
      <c r="N1966" t="n">
        <v>3</v>
      </c>
      <c r="O1966" t="n">
        <v>15</v>
      </c>
      <c r="P1966" t="n">
        <v>3</v>
      </c>
      <c r="R1966" s="9" t="n">
        <v>0.03</v>
      </c>
      <c r="S1966" s="10" t="inlineStr">
        <is>
          <t>SÍ — integrante</t>
        </is>
      </c>
      <c r="T1966" s="11" t="inlineStr">
        <is>
          <t>B · INTEGRANTE</t>
        </is>
      </c>
      <c r="U1966" s="11" t="inlineStr">
        <is>
          <t>DEL BANCO (se hereda)</t>
        </is>
      </c>
      <c r="V1966" s="11" t="n"/>
      <c r="W1966" s="12" t="n"/>
      <c r="X1966" s="12" t="n"/>
    </row>
    <row r="1967" ht="15" customHeight="1">
      <c r="C1967" t="inlineStr">
        <is>
          <t xml:space="preserve">PAIS DE NACIMIENTO </t>
        </is>
      </c>
      <c r="D1967" t="inlineStr">
        <is>
          <t>F4</t>
        </is>
      </c>
      <c r="E1967" t="inlineStr">
        <is>
          <t>INHERENTE</t>
        </is>
      </c>
      <c r="F1967" t="inlineStr">
        <is>
          <t>SAN PEDRO</t>
        </is>
      </c>
      <c r="G1967" t="inlineStr">
        <is>
          <t>PM</t>
        </is>
      </c>
      <c r="H1967" t="n">
        <v>1</v>
      </c>
      <c r="I1967" t="n">
        <v>1</v>
      </c>
      <c r="J1967" t="n">
        <v>3</v>
      </c>
      <c r="K1967" t="n">
        <v>3</v>
      </c>
      <c r="L1967" t="n">
        <v>3</v>
      </c>
      <c r="M1967" t="n">
        <v>3</v>
      </c>
      <c r="N1967" t="n">
        <v>3</v>
      </c>
      <c r="O1967" t="n">
        <v>15</v>
      </c>
      <c r="P1967" t="n">
        <v>3</v>
      </c>
      <c r="R1967" s="9" t="n">
        <v>0.03</v>
      </c>
      <c r="S1967" s="10" t="inlineStr">
        <is>
          <t>SÍ — integrante</t>
        </is>
      </c>
      <c r="T1967" s="11" t="inlineStr">
        <is>
          <t>B · INTEGRANTE</t>
        </is>
      </c>
      <c r="U1967" s="11" t="inlineStr">
        <is>
          <t>DEL BANCO (se hereda)</t>
        </is>
      </c>
      <c r="V1967" s="11" t="n"/>
      <c r="W1967" s="12" t="n"/>
      <c r="X1967" s="12" t="n"/>
    </row>
    <row r="1968" ht="15" customHeight="1">
      <c r="C1968" t="inlineStr">
        <is>
          <t xml:space="preserve">PAIS DE NACIMIENTO </t>
        </is>
      </c>
      <c r="D1968" t="inlineStr">
        <is>
          <t>F4</t>
        </is>
      </c>
      <c r="E1968" t="inlineStr">
        <is>
          <t>INHERENTE</t>
        </is>
      </c>
      <c r="F1968" t="inlineStr">
        <is>
          <t>PITCAIRN</t>
        </is>
      </c>
      <c r="G1968" t="inlineStr">
        <is>
          <t>PN</t>
        </is>
      </c>
      <c r="H1968" t="n">
        <v>1</v>
      </c>
      <c r="I1968" t="n">
        <v>1</v>
      </c>
      <c r="J1968" t="n">
        <v>3</v>
      </c>
      <c r="K1968" t="n">
        <v>3</v>
      </c>
      <c r="L1968" t="n">
        <v>3</v>
      </c>
      <c r="M1968" t="n">
        <v>3</v>
      </c>
      <c r="N1968" t="n">
        <v>3</v>
      </c>
      <c r="O1968" t="n">
        <v>15</v>
      </c>
      <c r="P1968" t="n">
        <v>3</v>
      </c>
      <c r="R1968" s="9" t="n">
        <v>0.03</v>
      </c>
      <c r="S1968" s="10" t="inlineStr">
        <is>
          <t>SÍ — integrante</t>
        </is>
      </c>
      <c r="T1968" s="11" t="inlineStr">
        <is>
          <t>B · INTEGRANTE</t>
        </is>
      </c>
      <c r="U1968" s="11" t="inlineStr">
        <is>
          <t>DEL BANCO (se hereda)</t>
        </is>
      </c>
      <c r="V1968" s="11" t="n"/>
      <c r="W1968" s="12" t="n"/>
      <c r="X1968" s="12" t="n"/>
    </row>
    <row r="1969" ht="15" customHeight="1">
      <c r="C1969" t="inlineStr">
        <is>
          <t xml:space="preserve">PAIS DE NACIMIENTO </t>
        </is>
      </c>
      <c r="D1969" t="inlineStr">
        <is>
          <t>F4</t>
        </is>
      </c>
      <c r="E1969" t="inlineStr">
        <is>
          <t>INHERENTE</t>
        </is>
      </c>
      <c r="F1969" t="inlineStr">
        <is>
          <t>PUERTO RICO</t>
        </is>
      </c>
      <c r="G1969" t="inlineStr">
        <is>
          <t>PR</t>
        </is>
      </c>
      <c r="H1969" t="n">
        <v>1</v>
      </c>
      <c r="I1969" t="n">
        <v>1</v>
      </c>
      <c r="J1969" t="n">
        <v>3</v>
      </c>
      <c r="K1969" t="n">
        <v>3</v>
      </c>
      <c r="L1969" t="n">
        <v>3</v>
      </c>
      <c r="M1969" t="n">
        <v>3</v>
      </c>
      <c r="N1969" t="n">
        <v>3</v>
      </c>
      <c r="O1969" t="n">
        <v>15</v>
      </c>
      <c r="P1969" t="n">
        <v>3</v>
      </c>
      <c r="R1969" s="9" t="n">
        <v>0.03</v>
      </c>
      <c r="S1969" s="10" t="inlineStr">
        <is>
          <t>SÍ — integrante</t>
        </is>
      </c>
      <c r="T1969" s="11" t="inlineStr">
        <is>
          <t>B · INTEGRANTE</t>
        </is>
      </c>
      <c r="U1969" s="11" t="inlineStr">
        <is>
          <t>DEL BANCO (se hereda)</t>
        </is>
      </c>
      <c r="V1969" s="11" t="n"/>
      <c r="W1969" s="12" t="n"/>
      <c r="X1969" s="12" t="n"/>
    </row>
    <row r="1970" ht="15" customHeight="1">
      <c r="C1970" t="inlineStr">
        <is>
          <t xml:space="preserve">PAIS DE NACIMIENTO </t>
        </is>
      </c>
      <c r="D1970" t="inlineStr">
        <is>
          <t>F4</t>
        </is>
      </c>
      <c r="E1970" t="inlineStr">
        <is>
          <t>INHERENTE</t>
        </is>
      </c>
      <c r="F1970" t="inlineStr">
        <is>
          <t>TERRITORIOS PALESTIN</t>
        </is>
      </c>
      <c r="G1970" t="inlineStr">
        <is>
          <t>PS</t>
        </is>
      </c>
      <c r="H1970" t="n">
        <v>4</v>
      </c>
      <c r="I1970" t="n">
        <v>4</v>
      </c>
      <c r="J1970" t="n">
        <v>3</v>
      </c>
      <c r="K1970" t="n">
        <v>12</v>
      </c>
      <c r="L1970" t="n">
        <v>12</v>
      </c>
      <c r="M1970" t="n">
        <v>12</v>
      </c>
      <c r="N1970" t="n">
        <v>12</v>
      </c>
      <c r="O1970" t="n">
        <v>15</v>
      </c>
      <c r="P1970" t="n">
        <v>3</v>
      </c>
      <c r="R1970" s="9" t="n">
        <v>0.03</v>
      </c>
      <c r="S1970" s="10" t="inlineStr">
        <is>
          <t>SÍ — integrante</t>
        </is>
      </c>
      <c r="T1970" s="11" t="inlineStr">
        <is>
          <t>B · INTEGRANTE</t>
        </is>
      </c>
      <c r="U1970" s="11" t="inlineStr">
        <is>
          <t>DEL BANCO (se hereda)</t>
        </is>
      </c>
      <c r="V1970" s="11" t="n"/>
      <c r="W1970" s="12" t="n"/>
      <c r="X1970" s="12" t="n"/>
    </row>
    <row r="1971" ht="15" customHeight="1">
      <c r="C1971" t="inlineStr">
        <is>
          <t xml:space="preserve">PAIS DE NACIMIENTO </t>
        </is>
      </c>
      <c r="D1971" t="inlineStr">
        <is>
          <t>F4</t>
        </is>
      </c>
      <c r="E1971" t="inlineStr">
        <is>
          <t>INHERENTE</t>
        </is>
      </c>
      <c r="F1971" t="inlineStr">
        <is>
          <t>PORTUGAL</t>
        </is>
      </c>
      <c r="G1971" t="inlineStr">
        <is>
          <t>PT</t>
        </is>
      </c>
      <c r="H1971" t="n">
        <v>1</v>
      </c>
      <c r="I1971" t="n">
        <v>1</v>
      </c>
      <c r="J1971" t="n">
        <v>3</v>
      </c>
      <c r="K1971" t="n">
        <v>3</v>
      </c>
      <c r="L1971" t="n">
        <v>3</v>
      </c>
      <c r="M1971" t="n">
        <v>3</v>
      </c>
      <c r="N1971" t="n">
        <v>3</v>
      </c>
      <c r="O1971" t="n">
        <v>15</v>
      </c>
      <c r="P1971" t="n">
        <v>3</v>
      </c>
      <c r="R1971" s="9" t="n">
        <v>0.03</v>
      </c>
      <c r="S1971" s="10" t="inlineStr">
        <is>
          <t>SÍ — integrante</t>
        </is>
      </c>
      <c r="T1971" s="11" t="inlineStr">
        <is>
          <t>B · INTEGRANTE</t>
        </is>
      </c>
      <c r="U1971" s="11" t="inlineStr">
        <is>
          <t>DEL BANCO (se hereda)</t>
        </is>
      </c>
      <c r="V1971" s="11" t="n"/>
      <c r="W1971" s="12" t="n"/>
      <c r="X1971" s="12" t="n"/>
    </row>
    <row r="1972" ht="15" customHeight="1">
      <c r="C1972" t="inlineStr">
        <is>
          <t xml:space="preserve">PAIS DE NACIMIENTO </t>
        </is>
      </c>
      <c r="D1972" t="inlineStr">
        <is>
          <t>F4</t>
        </is>
      </c>
      <c r="E1972" t="inlineStr">
        <is>
          <t>INHERENTE</t>
        </is>
      </c>
      <c r="F1972" t="inlineStr">
        <is>
          <t>PATAU</t>
        </is>
      </c>
      <c r="G1972" t="inlineStr">
        <is>
          <t>PW</t>
        </is>
      </c>
      <c r="H1972" t="n">
        <v>1</v>
      </c>
      <c r="I1972" t="n">
        <v>1</v>
      </c>
      <c r="J1972" t="n">
        <v>3</v>
      </c>
      <c r="K1972" t="n">
        <v>3</v>
      </c>
      <c r="L1972" t="n">
        <v>3</v>
      </c>
      <c r="M1972" t="n">
        <v>3</v>
      </c>
      <c r="N1972" t="n">
        <v>3</v>
      </c>
      <c r="O1972" t="n">
        <v>15</v>
      </c>
      <c r="P1972" t="n">
        <v>3</v>
      </c>
      <c r="R1972" s="9" t="n">
        <v>0.03</v>
      </c>
      <c r="S1972" s="10" t="inlineStr">
        <is>
          <t>SÍ — integrante</t>
        </is>
      </c>
      <c r="T1972" s="11" t="inlineStr">
        <is>
          <t>B · INTEGRANTE</t>
        </is>
      </c>
      <c r="U1972" s="11" t="inlineStr">
        <is>
          <t>DEL BANCO (se hereda)</t>
        </is>
      </c>
      <c r="V1972" s="11" t="n"/>
      <c r="W1972" s="12" t="n"/>
      <c r="X1972" s="12" t="n"/>
    </row>
    <row r="1973" ht="15" customHeight="1">
      <c r="C1973" t="inlineStr">
        <is>
          <t xml:space="preserve">PAIS DE NACIMIENTO </t>
        </is>
      </c>
      <c r="D1973" t="inlineStr">
        <is>
          <t>F4</t>
        </is>
      </c>
      <c r="E1973" t="inlineStr">
        <is>
          <t>INHERENTE</t>
        </is>
      </c>
      <c r="F1973" t="inlineStr">
        <is>
          <t>PARAGUAY</t>
        </is>
      </c>
      <c r="G1973" t="inlineStr">
        <is>
          <t>PY</t>
        </is>
      </c>
      <c r="H1973" t="n">
        <v>3</v>
      </c>
      <c r="I1973" t="n">
        <v>3</v>
      </c>
      <c r="J1973" t="n">
        <v>3</v>
      </c>
      <c r="K1973" t="n">
        <v>9</v>
      </c>
      <c r="L1973" t="n">
        <v>9</v>
      </c>
      <c r="M1973" t="n">
        <v>9</v>
      </c>
      <c r="N1973" t="n">
        <v>9</v>
      </c>
      <c r="O1973" t="n">
        <v>15</v>
      </c>
      <c r="P1973" t="n">
        <v>3</v>
      </c>
      <c r="R1973" s="9" t="n">
        <v>0.03</v>
      </c>
      <c r="S1973" s="10" t="inlineStr">
        <is>
          <t>SÍ — integrante</t>
        </is>
      </c>
      <c r="T1973" s="11" t="inlineStr">
        <is>
          <t>B · INTEGRANTE</t>
        </is>
      </c>
      <c r="U1973" s="11" t="inlineStr">
        <is>
          <t>DEL BANCO (se hereda)</t>
        </is>
      </c>
      <c r="V1973" s="11" t="n"/>
      <c r="W1973" s="12" t="n"/>
      <c r="X1973" s="12" t="n"/>
    </row>
    <row r="1974" ht="15" customHeight="1">
      <c r="C1974" t="inlineStr">
        <is>
          <t xml:space="preserve">PAIS DE NACIMIENTO </t>
        </is>
      </c>
      <c r="D1974" t="inlineStr">
        <is>
          <t>F4</t>
        </is>
      </c>
      <c r="E1974" t="inlineStr">
        <is>
          <t>INHERENTE</t>
        </is>
      </c>
      <c r="F1974" t="inlineStr">
        <is>
          <t>QATAR</t>
        </is>
      </c>
      <c r="G1974" t="inlineStr">
        <is>
          <t>QA</t>
        </is>
      </c>
      <c r="H1974" t="n">
        <v>3</v>
      </c>
      <c r="I1974" t="n">
        <v>3</v>
      </c>
      <c r="J1974" t="n">
        <v>3</v>
      </c>
      <c r="K1974" t="n">
        <v>9</v>
      </c>
      <c r="L1974" t="n">
        <v>9</v>
      </c>
      <c r="M1974" t="n">
        <v>9</v>
      </c>
      <c r="N1974" t="n">
        <v>9</v>
      </c>
      <c r="O1974" t="n">
        <v>15</v>
      </c>
      <c r="P1974" t="n">
        <v>3</v>
      </c>
      <c r="R1974" s="9" t="n">
        <v>0.03</v>
      </c>
      <c r="S1974" s="10" t="inlineStr">
        <is>
          <t>SÍ — integrante</t>
        </is>
      </c>
      <c r="T1974" s="11" t="inlineStr">
        <is>
          <t>B · INTEGRANTE</t>
        </is>
      </c>
      <c r="U1974" s="11" t="inlineStr">
        <is>
          <t>DEL BANCO (se hereda)</t>
        </is>
      </c>
      <c r="V1974" s="11" t="n"/>
      <c r="W1974" s="12" t="n"/>
      <c r="X1974" s="12" t="n"/>
    </row>
    <row r="1975" ht="15" customHeight="1">
      <c r="C1975" t="inlineStr">
        <is>
          <t xml:space="preserve">PAIS DE NACIMIENTO </t>
        </is>
      </c>
      <c r="D1975" t="inlineStr">
        <is>
          <t>F4</t>
        </is>
      </c>
      <c r="E1975" t="inlineStr">
        <is>
          <t>INHERENTE</t>
        </is>
      </c>
      <c r="F1975" t="inlineStr">
        <is>
          <t>REUNION</t>
        </is>
      </c>
      <c r="G1975" t="inlineStr">
        <is>
          <t>RE</t>
        </is>
      </c>
      <c r="H1975" t="n">
        <v>1</v>
      </c>
      <c r="I1975" t="n">
        <v>1</v>
      </c>
      <c r="J1975" t="n">
        <v>3</v>
      </c>
      <c r="K1975" t="n">
        <v>3</v>
      </c>
      <c r="L1975" t="n">
        <v>3</v>
      </c>
      <c r="M1975" t="n">
        <v>3</v>
      </c>
      <c r="N1975" t="n">
        <v>3</v>
      </c>
      <c r="O1975" t="n">
        <v>15</v>
      </c>
      <c r="P1975" t="n">
        <v>3</v>
      </c>
      <c r="R1975" s="9" t="n">
        <v>0.03</v>
      </c>
      <c r="S1975" s="10" t="inlineStr">
        <is>
          <t>SÍ — integrante</t>
        </is>
      </c>
      <c r="T1975" s="11" t="inlineStr">
        <is>
          <t>B · INTEGRANTE</t>
        </is>
      </c>
      <c r="U1975" s="11" t="inlineStr">
        <is>
          <t>DEL BANCO (se hereda)</t>
        </is>
      </c>
      <c r="V1975" s="11" t="n"/>
      <c r="W1975" s="12" t="n"/>
      <c r="X1975" s="12" t="n"/>
    </row>
    <row r="1976" ht="15" customHeight="1">
      <c r="C1976" t="inlineStr">
        <is>
          <t xml:space="preserve">PAIS DE NACIMIENTO </t>
        </is>
      </c>
      <c r="D1976" t="inlineStr">
        <is>
          <t>F4</t>
        </is>
      </c>
      <c r="E1976" t="inlineStr">
        <is>
          <t>INHERENTE</t>
        </is>
      </c>
      <c r="F1976" t="inlineStr">
        <is>
          <t>RUMANIA</t>
        </is>
      </c>
      <c r="G1976" t="inlineStr">
        <is>
          <t>RO</t>
        </is>
      </c>
      <c r="H1976" t="n">
        <v>1</v>
      </c>
      <c r="I1976" t="n">
        <v>1</v>
      </c>
      <c r="J1976" t="n">
        <v>3</v>
      </c>
      <c r="K1976" t="n">
        <v>3</v>
      </c>
      <c r="L1976" t="n">
        <v>3</v>
      </c>
      <c r="M1976" t="n">
        <v>3</v>
      </c>
      <c r="N1976" t="n">
        <v>3</v>
      </c>
      <c r="O1976" t="n">
        <v>15</v>
      </c>
      <c r="P1976" t="n">
        <v>3</v>
      </c>
      <c r="R1976" s="9" t="n">
        <v>0.03</v>
      </c>
      <c r="S1976" s="10" t="inlineStr">
        <is>
          <t>SÍ — integrante</t>
        </is>
      </c>
      <c r="T1976" s="11" t="inlineStr">
        <is>
          <t>B · INTEGRANTE</t>
        </is>
      </c>
      <c r="U1976" s="11" t="inlineStr">
        <is>
          <t>DEL BANCO (se hereda)</t>
        </is>
      </c>
      <c r="V1976" s="11" t="n"/>
      <c r="W1976" s="12" t="n"/>
      <c r="X1976" s="12" t="n"/>
    </row>
    <row r="1977" ht="15" customHeight="1">
      <c r="C1977" t="inlineStr">
        <is>
          <t xml:space="preserve">PAIS DE NACIMIENTO </t>
        </is>
      </c>
      <c r="D1977" t="inlineStr">
        <is>
          <t>F4</t>
        </is>
      </c>
      <c r="E1977" t="inlineStr">
        <is>
          <t>INHERENTE</t>
        </is>
      </c>
      <c r="F1977" t="inlineStr">
        <is>
          <t>SERBIA</t>
        </is>
      </c>
      <c r="G1977" t="inlineStr">
        <is>
          <t>RS</t>
        </is>
      </c>
      <c r="H1977" t="n">
        <v>2</v>
      </c>
      <c r="I1977" t="n">
        <v>2</v>
      </c>
      <c r="J1977" t="n">
        <v>3</v>
      </c>
      <c r="K1977" t="n">
        <v>6</v>
      </c>
      <c r="L1977" t="n">
        <v>6</v>
      </c>
      <c r="M1977" t="n">
        <v>6</v>
      </c>
      <c r="N1977" t="n">
        <v>6</v>
      </c>
      <c r="O1977" t="n">
        <v>15</v>
      </c>
      <c r="P1977" t="n">
        <v>3</v>
      </c>
      <c r="R1977" s="9" t="n">
        <v>0.03</v>
      </c>
      <c r="S1977" s="10" t="inlineStr">
        <is>
          <t>SÍ — integrante</t>
        </is>
      </c>
      <c r="T1977" s="11" t="inlineStr">
        <is>
          <t>B · INTEGRANTE</t>
        </is>
      </c>
      <c r="U1977" s="11" t="inlineStr">
        <is>
          <t>DEL BANCO (se hereda)</t>
        </is>
      </c>
      <c r="V1977" s="11" t="n"/>
      <c r="W1977" s="12" t="n"/>
      <c r="X1977" s="12" t="n"/>
    </row>
    <row r="1978" ht="15" customHeight="1">
      <c r="C1978" t="inlineStr">
        <is>
          <t xml:space="preserve">PAIS DE NACIMIENTO </t>
        </is>
      </c>
      <c r="D1978" t="inlineStr">
        <is>
          <t>F4</t>
        </is>
      </c>
      <c r="E1978" t="inlineStr">
        <is>
          <t>INHERENTE</t>
        </is>
      </c>
      <c r="F1978" t="inlineStr">
        <is>
          <t>FEDERACION RUSA</t>
        </is>
      </c>
      <c r="G1978" t="inlineStr">
        <is>
          <t>RU</t>
        </is>
      </c>
      <c r="H1978" t="n">
        <v>4</v>
      </c>
      <c r="I1978" t="n">
        <v>4</v>
      </c>
      <c r="J1978" t="n">
        <v>3</v>
      </c>
      <c r="K1978" t="n">
        <v>12</v>
      </c>
      <c r="L1978" t="n">
        <v>12</v>
      </c>
      <c r="M1978" t="n">
        <v>12</v>
      </c>
      <c r="N1978" t="n">
        <v>12</v>
      </c>
      <c r="O1978" t="n">
        <v>15</v>
      </c>
      <c r="P1978" t="n">
        <v>3</v>
      </c>
      <c r="R1978" s="9" t="n">
        <v>0.03</v>
      </c>
      <c r="S1978" s="10" t="inlineStr">
        <is>
          <t>SÍ — integrante</t>
        </is>
      </c>
      <c r="T1978" s="11" t="inlineStr">
        <is>
          <t>B · INTEGRANTE</t>
        </is>
      </c>
      <c r="U1978" s="11" t="inlineStr">
        <is>
          <t>DEL BANCO (se hereda)</t>
        </is>
      </c>
      <c r="V1978" s="11" t="n"/>
      <c r="W1978" s="12" t="n"/>
      <c r="X1978" s="12" t="n"/>
    </row>
    <row r="1979" ht="15" customHeight="1">
      <c r="C1979" t="inlineStr">
        <is>
          <t xml:space="preserve">PAIS DE NACIMIENTO </t>
        </is>
      </c>
      <c r="D1979" t="inlineStr">
        <is>
          <t>F4</t>
        </is>
      </c>
      <c r="E1979" t="inlineStr">
        <is>
          <t>INHERENTE</t>
        </is>
      </c>
      <c r="F1979" t="inlineStr">
        <is>
          <t>RWANDA</t>
        </is>
      </c>
      <c r="G1979" t="inlineStr">
        <is>
          <t>RW</t>
        </is>
      </c>
      <c r="H1979" t="n">
        <v>3</v>
      </c>
      <c r="I1979" t="n">
        <v>3</v>
      </c>
      <c r="J1979" t="n">
        <v>3</v>
      </c>
      <c r="K1979" t="n">
        <v>9</v>
      </c>
      <c r="L1979" t="n">
        <v>9</v>
      </c>
      <c r="M1979" t="n">
        <v>9</v>
      </c>
      <c r="N1979" t="n">
        <v>9</v>
      </c>
      <c r="O1979" t="n">
        <v>15</v>
      </c>
      <c r="P1979" t="n">
        <v>3</v>
      </c>
      <c r="R1979" s="9" t="n">
        <v>0.03</v>
      </c>
      <c r="S1979" s="10" t="inlineStr">
        <is>
          <t>SÍ — integrante</t>
        </is>
      </c>
      <c r="T1979" s="11" t="inlineStr">
        <is>
          <t>B · INTEGRANTE</t>
        </is>
      </c>
      <c r="U1979" s="11" t="inlineStr">
        <is>
          <t>DEL BANCO (se hereda)</t>
        </is>
      </c>
      <c r="V1979" s="11" t="n"/>
      <c r="W1979" s="12" t="n"/>
      <c r="X1979" s="12" t="n"/>
    </row>
    <row r="1980" ht="15" customHeight="1">
      <c r="C1980" t="inlineStr">
        <is>
          <t xml:space="preserve">PAIS DE NACIMIENTO </t>
        </is>
      </c>
      <c r="D1980" t="inlineStr">
        <is>
          <t>F4</t>
        </is>
      </c>
      <c r="E1980" t="inlineStr">
        <is>
          <t>INHERENTE</t>
        </is>
      </c>
      <c r="F1980" t="inlineStr">
        <is>
          <t>ARABIA SAUDI</t>
        </is>
      </c>
      <c r="G1980" t="inlineStr">
        <is>
          <t>SA</t>
        </is>
      </c>
      <c r="H1980" t="n">
        <v>3</v>
      </c>
      <c r="I1980" t="n">
        <v>3</v>
      </c>
      <c r="J1980" t="n">
        <v>3</v>
      </c>
      <c r="K1980" t="n">
        <v>9</v>
      </c>
      <c r="L1980" t="n">
        <v>9</v>
      </c>
      <c r="M1980" t="n">
        <v>9</v>
      </c>
      <c r="N1980" t="n">
        <v>9</v>
      </c>
      <c r="O1980" t="n">
        <v>15</v>
      </c>
      <c r="P1980" t="n">
        <v>3</v>
      </c>
      <c r="R1980" s="9" t="n">
        <v>0.03</v>
      </c>
      <c r="S1980" s="10" t="inlineStr">
        <is>
          <t>SÍ — integrante</t>
        </is>
      </c>
      <c r="T1980" s="11" t="inlineStr">
        <is>
          <t>B · INTEGRANTE</t>
        </is>
      </c>
      <c r="U1980" s="11" t="inlineStr">
        <is>
          <t>DEL BANCO (se hereda)</t>
        </is>
      </c>
      <c r="V1980" s="11" t="n"/>
      <c r="W1980" s="12" t="n"/>
      <c r="X1980" s="12" t="n"/>
    </row>
    <row r="1981" ht="15" customHeight="1">
      <c r="C1981" t="inlineStr">
        <is>
          <t xml:space="preserve">PAIS DE NACIMIENTO </t>
        </is>
      </c>
      <c r="D1981" t="inlineStr">
        <is>
          <t>F4</t>
        </is>
      </c>
      <c r="E1981" t="inlineStr">
        <is>
          <t>INHERENTE</t>
        </is>
      </c>
      <c r="F1981" t="inlineStr">
        <is>
          <t>ISLAS SOLOMON</t>
        </is>
      </c>
      <c r="G1981" t="inlineStr">
        <is>
          <t>SB</t>
        </is>
      </c>
      <c r="H1981" t="n">
        <v>3</v>
      </c>
      <c r="I1981" t="n">
        <v>3</v>
      </c>
      <c r="J1981" t="n">
        <v>3</v>
      </c>
      <c r="K1981" t="n">
        <v>9</v>
      </c>
      <c r="L1981" t="n">
        <v>9</v>
      </c>
      <c r="M1981" t="n">
        <v>9</v>
      </c>
      <c r="N1981" t="n">
        <v>9</v>
      </c>
      <c r="O1981" t="n">
        <v>15</v>
      </c>
      <c r="P1981" t="n">
        <v>3</v>
      </c>
      <c r="R1981" s="9" t="n">
        <v>0.03</v>
      </c>
      <c r="S1981" s="10" t="inlineStr">
        <is>
          <t>SÍ — integrante</t>
        </is>
      </c>
      <c r="T1981" s="11" t="inlineStr">
        <is>
          <t>B · INTEGRANTE</t>
        </is>
      </c>
      <c r="U1981" s="11" t="inlineStr">
        <is>
          <t>DEL BANCO (se hereda)</t>
        </is>
      </c>
      <c r="V1981" s="11" t="n"/>
      <c r="W1981" s="12" t="n"/>
      <c r="X1981" s="12" t="n"/>
    </row>
    <row r="1982" ht="15" customHeight="1">
      <c r="C1982" t="inlineStr">
        <is>
          <t xml:space="preserve">PAIS DE NACIMIENTO </t>
        </is>
      </c>
      <c r="D1982" t="inlineStr">
        <is>
          <t>F4</t>
        </is>
      </c>
      <c r="E1982" t="inlineStr">
        <is>
          <t>INHERENTE</t>
        </is>
      </c>
      <c r="F1982" t="inlineStr">
        <is>
          <t>SEYCHELLES</t>
        </is>
      </c>
      <c r="G1982" t="inlineStr">
        <is>
          <t>SC</t>
        </is>
      </c>
      <c r="H1982" t="n">
        <v>3</v>
      </c>
      <c r="I1982" t="n">
        <v>3</v>
      </c>
      <c r="J1982" t="n">
        <v>3</v>
      </c>
      <c r="K1982" t="n">
        <v>9</v>
      </c>
      <c r="L1982" t="n">
        <v>9</v>
      </c>
      <c r="M1982" t="n">
        <v>9</v>
      </c>
      <c r="N1982" t="n">
        <v>9</v>
      </c>
      <c r="O1982" t="n">
        <v>15</v>
      </c>
      <c r="P1982" t="n">
        <v>3</v>
      </c>
      <c r="R1982" s="9" t="n">
        <v>0.03</v>
      </c>
      <c r="S1982" s="10" t="inlineStr">
        <is>
          <t>SÍ — integrante</t>
        </is>
      </c>
      <c r="T1982" s="11" t="inlineStr">
        <is>
          <t>B · INTEGRANTE</t>
        </is>
      </c>
      <c r="U1982" s="11" t="inlineStr">
        <is>
          <t>DEL BANCO (se hereda)</t>
        </is>
      </c>
      <c r="V1982" s="11" t="n"/>
      <c r="W1982" s="12" t="n"/>
      <c r="X1982" s="12" t="n"/>
    </row>
    <row r="1983" ht="15" customHeight="1">
      <c r="C1983" t="inlineStr">
        <is>
          <t xml:space="preserve">PAIS DE NACIMIENTO </t>
        </is>
      </c>
      <c r="D1983" t="inlineStr">
        <is>
          <t>F4</t>
        </is>
      </c>
      <c r="E1983" t="inlineStr">
        <is>
          <t>INHERENTE</t>
        </is>
      </c>
      <c r="F1983" t="inlineStr">
        <is>
          <t>SUDAN</t>
        </is>
      </c>
      <c r="G1983" t="inlineStr">
        <is>
          <t>SD</t>
        </is>
      </c>
      <c r="H1983" t="n">
        <v>4</v>
      </c>
      <c r="I1983" t="n">
        <v>4</v>
      </c>
      <c r="J1983" t="n">
        <v>3</v>
      </c>
      <c r="K1983" t="n">
        <v>12</v>
      </c>
      <c r="L1983" t="n">
        <v>12</v>
      </c>
      <c r="M1983" t="n">
        <v>12</v>
      </c>
      <c r="N1983" t="n">
        <v>12</v>
      </c>
      <c r="O1983" t="n">
        <v>15</v>
      </c>
      <c r="P1983" t="n">
        <v>3</v>
      </c>
      <c r="R1983" s="9" t="n">
        <v>0.03</v>
      </c>
      <c r="S1983" s="10" t="inlineStr">
        <is>
          <t>SÍ — integrante</t>
        </is>
      </c>
      <c r="T1983" s="11" t="inlineStr">
        <is>
          <t>B · INTEGRANTE</t>
        </is>
      </c>
      <c r="U1983" s="11" t="inlineStr">
        <is>
          <t>DEL BANCO (se hereda)</t>
        </is>
      </c>
      <c r="V1983" s="11" t="n"/>
      <c r="W1983" s="12" t="n"/>
      <c r="X1983" s="12" t="n"/>
    </row>
    <row r="1984" ht="15" customHeight="1">
      <c r="C1984" t="inlineStr">
        <is>
          <t xml:space="preserve">PAIS DE NACIMIENTO </t>
        </is>
      </c>
      <c r="D1984" t="inlineStr">
        <is>
          <t>F4</t>
        </is>
      </c>
      <c r="E1984" t="inlineStr">
        <is>
          <t>INHERENTE</t>
        </is>
      </c>
      <c r="F1984" t="inlineStr">
        <is>
          <t>SUECIA</t>
        </is>
      </c>
      <c r="G1984" t="inlineStr">
        <is>
          <t>SE</t>
        </is>
      </c>
      <c r="H1984" t="n">
        <v>1</v>
      </c>
      <c r="I1984" t="n">
        <v>1</v>
      </c>
      <c r="J1984" t="n">
        <v>3</v>
      </c>
      <c r="K1984" t="n">
        <v>3</v>
      </c>
      <c r="L1984" t="n">
        <v>3</v>
      </c>
      <c r="M1984" t="n">
        <v>3</v>
      </c>
      <c r="N1984" t="n">
        <v>3</v>
      </c>
      <c r="O1984" t="n">
        <v>15</v>
      </c>
      <c r="P1984" t="n">
        <v>3</v>
      </c>
      <c r="R1984" s="9" t="n">
        <v>0.03</v>
      </c>
      <c r="S1984" s="10" t="inlineStr">
        <is>
          <t>SÍ — integrante</t>
        </is>
      </c>
      <c r="T1984" s="11" t="inlineStr">
        <is>
          <t>B · INTEGRANTE</t>
        </is>
      </c>
      <c r="U1984" s="11" t="inlineStr">
        <is>
          <t>DEL BANCO (se hereda)</t>
        </is>
      </c>
      <c r="V1984" s="11" t="n"/>
      <c r="W1984" s="12" t="n"/>
      <c r="X1984" s="12" t="n"/>
    </row>
    <row r="1985" ht="15" customHeight="1">
      <c r="C1985" t="inlineStr">
        <is>
          <t xml:space="preserve">PAIS DE NACIMIENTO </t>
        </is>
      </c>
      <c r="D1985" t="inlineStr">
        <is>
          <t>F4</t>
        </is>
      </c>
      <c r="E1985" t="inlineStr">
        <is>
          <t>INHERENTE</t>
        </is>
      </c>
      <c r="F1985" t="inlineStr">
        <is>
          <t>SINGAPUR</t>
        </is>
      </c>
      <c r="G1985" t="inlineStr">
        <is>
          <t>SG</t>
        </is>
      </c>
      <c r="H1985" t="n">
        <v>3</v>
      </c>
      <c r="I1985" t="n">
        <v>3</v>
      </c>
      <c r="J1985" t="n">
        <v>3</v>
      </c>
      <c r="K1985" t="n">
        <v>9</v>
      </c>
      <c r="L1985" t="n">
        <v>9</v>
      </c>
      <c r="M1985" t="n">
        <v>9</v>
      </c>
      <c r="N1985" t="n">
        <v>9</v>
      </c>
      <c r="O1985" t="n">
        <v>15</v>
      </c>
      <c r="P1985" t="n">
        <v>3</v>
      </c>
      <c r="R1985" s="9" t="n">
        <v>0.03</v>
      </c>
      <c r="S1985" s="10" t="inlineStr">
        <is>
          <t>SÍ — integrante</t>
        </is>
      </c>
      <c r="T1985" s="11" t="inlineStr">
        <is>
          <t>B · INTEGRANTE</t>
        </is>
      </c>
      <c r="U1985" s="11" t="inlineStr">
        <is>
          <t>DEL BANCO (se hereda)</t>
        </is>
      </c>
      <c r="V1985" s="11" t="n"/>
      <c r="W1985" s="12" t="n"/>
      <c r="X1985" s="12" t="n"/>
    </row>
    <row r="1986" ht="15" customHeight="1">
      <c r="C1986" t="inlineStr">
        <is>
          <t xml:space="preserve">PAIS DE NACIMIENTO </t>
        </is>
      </c>
      <c r="D1986" t="inlineStr">
        <is>
          <t>F4</t>
        </is>
      </c>
      <c r="E1986" t="inlineStr">
        <is>
          <t>INHERENTE</t>
        </is>
      </c>
      <c r="F1986" t="inlineStr">
        <is>
          <t>ST ELENA, ASCENSION</t>
        </is>
      </c>
      <c r="G1986" t="inlineStr">
        <is>
          <t>SH</t>
        </is>
      </c>
      <c r="H1986" t="n">
        <v>1</v>
      </c>
      <c r="I1986" t="n">
        <v>1</v>
      </c>
      <c r="J1986" t="n">
        <v>3</v>
      </c>
      <c r="K1986" t="n">
        <v>3</v>
      </c>
      <c r="L1986" t="n">
        <v>3</v>
      </c>
      <c r="M1986" t="n">
        <v>3</v>
      </c>
      <c r="N1986" t="n">
        <v>3</v>
      </c>
      <c r="O1986" t="n">
        <v>15</v>
      </c>
      <c r="P1986" t="n">
        <v>3</v>
      </c>
      <c r="R1986" s="9" t="n">
        <v>0.03</v>
      </c>
      <c r="S1986" s="10" t="inlineStr">
        <is>
          <t>SÍ — integrante</t>
        </is>
      </c>
      <c r="T1986" s="11" t="inlineStr">
        <is>
          <t>B · INTEGRANTE</t>
        </is>
      </c>
      <c r="U1986" s="11" t="inlineStr">
        <is>
          <t>DEL BANCO (se hereda)</t>
        </is>
      </c>
      <c r="V1986" s="11" t="n"/>
      <c r="W1986" s="12" t="n"/>
      <c r="X1986" s="12" t="n"/>
    </row>
    <row r="1987" ht="15" customHeight="1">
      <c r="C1987" t="inlineStr">
        <is>
          <t xml:space="preserve">PAIS DE NACIMIENTO </t>
        </is>
      </c>
      <c r="D1987" t="inlineStr">
        <is>
          <t>F4</t>
        </is>
      </c>
      <c r="E1987" t="inlineStr">
        <is>
          <t>INHERENTE</t>
        </is>
      </c>
      <c r="F1987" t="inlineStr">
        <is>
          <t>SLOVENIA</t>
        </is>
      </c>
      <c r="G1987" t="inlineStr">
        <is>
          <t>SI</t>
        </is>
      </c>
      <c r="H1987" t="n">
        <v>1</v>
      </c>
      <c r="I1987" t="n">
        <v>1</v>
      </c>
      <c r="J1987" t="n">
        <v>3</v>
      </c>
      <c r="K1987" t="n">
        <v>3</v>
      </c>
      <c r="L1987" t="n">
        <v>3</v>
      </c>
      <c r="M1987" t="n">
        <v>3</v>
      </c>
      <c r="N1987" t="n">
        <v>3</v>
      </c>
      <c r="O1987" t="n">
        <v>15</v>
      </c>
      <c r="P1987" t="n">
        <v>3</v>
      </c>
      <c r="R1987" s="9" t="n">
        <v>0.03</v>
      </c>
      <c r="S1987" s="10" t="inlineStr">
        <is>
          <t>SÍ — integrante</t>
        </is>
      </c>
      <c r="T1987" s="11" t="inlineStr">
        <is>
          <t>B · INTEGRANTE</t>
        </is>
      </c>
      <c r="U1987" s="11" t="inlineStr">
        <is>
          <t>DEL BANCO (se hereda)</t>
        </is>
      </c>
      <c r="V1987" s="11" t="n"/>
      <c r="W1987" s="12" t="n"/>
      <c r="X1987" s="12" t="n"/>
    </row>
    <row r="1988" ht="15" customHeight="1">
      <c r="C1988" t="inlineStr">
        <is>
          <t xml:space="preserve">PAIS DE NACIMIENTO </t>
        </is>
      </c>
      <c r="D1988" t="inlineStr">
        <is>
          <t>F4</t>
        </is>
      </c>
      <c r="E1988" t="inlineStr">
        <is>
          <t>INHERENTE</t>
        </is>
      </c>
      <c r="F1988" t="inlineStr">
        <is>
          <t>SVALBARD</t>
        </is>
      </c>
      <c r="G1988" t="inlineStr">
        <is>
          <t>SJ</t>
        </is>
      </c>
      <c r="H1988" t="n">
        <v>1</v>
      </c>
      <c r="I1988" t="n">
        <v>1</v>
      </c>
      <c r="J1988" t="n">
        <v>3</v>
      </c>
      <c r="K1988" t="n">
        <v>3</v>
      </c>
      <c r="L1988" t="n">
        <v>3</v>
      </c>
      <c r="M1988" t="n">
        <v>3</v>
      </c>
      <c r="N1988" t="n">
        <v>3</v>
      </c>
      <c r="O1988" t="n">
        <v>15</v>
      </c>
      <c r="P1988" t="n">
        <v>3</v>
      </c>
      <c r="R1988" s="9" t="n">
        <v>0.03</v>
      </c>
      <c r="S1988" s="10" t="inlineStr">
        <is>
          <t>SÍ — integrante</t>
        </is>
      </c>
      <c r="T1988" s="11" t="inlineStr">
        <is>
          <t>B · INTEGRANTE</t>
        </is>
      </c>
      <c r="U1988" s="11" t="inlineStr">
        <is>
          <t>DEL BANCO (se hereda)</t>
        </is>
      </c>
      <c r="V1988" s="11" t="n"/>
      <c r="W1988" s="12" t="n"/>
      <c r="X1988" s="12" t="n"/>
    </row>
    <row r="1989" ht="15" customHeight="1">
      <c r="C1989" t="inlineStr">
        <is>
          <t xml:space="preserve">PAIS DE NACIMIENTO </t>
        </is>
      </c>
      <c r="D1989" t="inlineStr">
        <is>
          <t>F4</t>
        </is>
      </c>
      <c r="E1989" t="inlineStr">
        <is>
          <t>INHERENTE</t>
        </is>
      </c>
      <c r="F1989" t="inlineStr">
        <is>
          <t>SLOVAKIA</t>
        </is>
      </c>
      <c r="G1989" t="inlineStr">
        <is>
          <t>SK</t>
        </is>
      </c>
      <c r="H1989" t="n">
        <v>1</v>
      </c>
      <c r="I1989" t="n">
        <v>1</v>
      </c>
      <c r="J1989" t="n">
        <v>3</v>
      </c>
      <c r="K1989" t="n">
        <v>3</v>
      </c>
      <c r="L1989" t="n">
        <v>3</v>
      </c>
      <c r="M1989" t="n">
        <v>3</v>
      </c>
      <c r="N1989" t="n">
        <v>3</v>
      </c>
      <c r="O1989" t="n">
        <v>15</v>
      </c>
      <c r="P1989" t="n">
        <v>3</v>
      </c>
      <c r="R1989" s="9" t="n">
        <v>0.03</v>
      </c>
      <c r="S1989" s="10" t="inlineStr">
        <is>
          <t>SÍ — integrante</t>
        </is>
      </c>
      <c r="T1989" s="11" t="inlineStr">
        <is>
          <t>B · INTEGRANTE</t>
        </is>
      </c>
      <c r="U1989" s="11" t="inlineStr">
        <is>
          <t>DEL BANCO (se hereda)</t>
        </is>
      </c>
      <c r="V1989" s="11" t="n"/>
      <c r="W1989" s="12" t="n"/>
      <c r="X1989" s="12" t="n"/>
    </row>
    <row r="1990" ht="15" customHeight="1">
      <c r="C1990" t="inlineStr">
        <is>
          <t xml:space="preserve">PAIS DE NACIMIENTO </t>
        </is>
      </c>
      <c r="D1990" t="inlineStr">
        <is>
          <t>F4</t>
        </is>
      </c>
      <c r="E1990" t="inlineStr">
        <is>
          <t>INHERENTE</t>
        </is>
      </c>
      <c r="F1990" t="inlineStr">
        <is>
          <t>SIERRA LEONA</t>
        </is>
      </c>
      <c r="G1990" t="inlineStr">
        <is>
          <t>SL</t>
        </is>
      </c>
      <c r="H1990" t="n">
        <v>3</v>
      </c>
      <c r="I1990" t="n">
        <v>3</v>
      </c>
      <c r="J1990" t="n">
        <v>3</v>
      </c>
      <c r="K1990" t="n">
        <v>9</v>
      </c>
      <c r="L1990" t="n">
        <v>9</v>
      </c>
      <c r="M1990" t="n">
        <v>9</v>
      </c>
      <c r="N1990" t="n">
        <v>9</v>
      </c>
      <c r="O1990" t="n">
        <v>15</v>
      </c>
      <c r="P1990" t="n">
        <v>3</v>
      </c>
      <c r="R1990" s="9" t="n">
        <v>0.03</v>
      </c>
      <c r="S1990" s="10" t="inlineStr">
        <is>
          <t>SÍ — integrante</t>
        </is>
      </c>
      <c r="T1990" s="11" t="inlineStr">
        <is>
          <t>B · INTEGRANTE</t>
        </is>
      </c>
      <c r="U1990" s="11" t="inlineStr">
        <is>
          <t>DEL BANCO (se hereda)</t>
        </is>
      </c>
      <c r="V1990" s="11" t="n"/>
      <c r="W1990" s="12" t="n"/>
      <c r="X1990" s="12" t="n"/>
    </row>
    <row r="1991" ht="15" customHeight="1">
      <c r="C1991" t="inlineStr">
        <is>
          <t xml:space="preserve">PAIS DE NACIMIENTO </t>
        </is>
      </c>
      <c r="D1991" t="inlineStr">
        <is>
          <t>F4</t>
        </is>
      </c>
      <c r="E1991" t="inlineStr">
        <is>
          <t>INHERENTE</t>
        </is>
      </c>
      <c r="F1991" t="inlineStr">
        <is>
          <t>SAN MARINO</t>
        </is>
      </c>
      <c r="G1991" t="inlineStr">
        <is>
          <t>SM</t>
        </is>
      </c>
      <c r="H1991" t="n">
        <v>1</v>
      </c>
      <c r="I1991" t="n">
        <v>1</v>
      </c>
      <c r="J1991" t="n">
        <v>3</v>
      </c>
      <c r="K1991" t="n">
        <v>3</v>
      </c>
      <c r="L1991" t="n">
        <v>3</v>
      </c>
      <c r="M1991" t="n">
        <v>3</v>
      </c>
      <c r="N1991" t="n">
        <v>3</v>
      </c>
      <c r="O1991" t="n">
        <v>15</v>
      </c>
      <c r="P1991" t="n">
        <v>3</v>
      </c>
      <c r="R1991" s="9" t="n">
        <v>0.03</v>
      </c>
      <c r="S1991" s="10" t="inlineStr">
        <is>
          <t>SÍ — integrante</t>
        </is>
      </c>
      <c r="T1991" s="11" t="inlineStr">
        <is>
          <t>B · INTEGRANTE</t>
        </is>
      </c>
      <c r="U1991" s="11" t="inlineStr">
        <is>
          <t>DEL BANCO (se hereda)</t>
        </is>
      </c>
      <c r="V1991" s="11" t="n"/>
      <c r="W1991" s="12" t="n"/>
      <c r="X1991" s="12" t="n"/>
    </row>
    <row r="1992" ht="15" customHeight="1">
      <c r="C1992" t="inlineStr">
        <is>
          <t xml:space="preserve">PAIS DE NACIMIENTO </t>
        </is>
      </c>
      <c r="D1992" t="inlineStr">
        <is>
          <t>F4</t>
        </is>
      </c>
      <c r="E1992" t="inlineStr">
        <is>
          <t>INHERENTE</t>
        </is>
      </c>
      <c r="F1992" t="inlineStr">
        <is>
          <t>SENEGAL</t>
        </is>
      </c>
      <c r="G1992" t="inlineStr">
        <is>
          <t>SN</t>
        </is>
      </c>
      <c r="H1992" t="n">
        <v>2</v>
      </c>
      <c r="I1992" t="n">
        <v>2</v>
      </c>
      <c r="J1992" t="n">
        <v>3</v>
      </c>
      <c r="K1992" t="n">
        <v>6</v>
      </c>
      <c r="L1992" t="n">
        <v>6</v>
      </c>
      <c r="M1992" t="n">
        <v>6</v>
      </c>
      <c r="N1992" t="n">
        <v>6</v>
      </c>
      <c r="O1992" t="n">
        <v>15</v>
      </c>
      <c r="P1992" t="n">
        <v>3</v>
      </c>
      <c r="R1992" s="9" t="n">
        <v>0.03</v>
      </c>
      <c r="S1992" s="10" t="inlineStr">
        <is>
          <t>SÍ — integrante</t>
        </is>
      </c>
      <c r="T1992" s="11" t="inlineStr">
        <is>
          <t>B · INTEGRANTE</t>
        </is>
      </c>
      <c r="U1992" s="11" t="inlineStr">
        <is>
          <t>DEL BANCO (se hereda)</t>
        </is>
      </c>
      <c r="V1992" s="11" t="n"/>
      <c r="W1992" s="12" t="n"/>
      <c r="X1992" s="12" t="n"/>
    </row>
    <row r="1993" ht="15" customHeight="1">
      <c r="C1993" t="inlineStr">
        <is>
          <t xml:space="preserve">PAIS DE NACIMIENTO </t>
        </is>
      </c>
      <c r="D1993" t="inlineStr">
        <is>
          <t>F4</t>
        </is>
      </c>
      <c r="E1993" t="inlineStr">
        <is>
          <t>INHERENTE</t>
        </is>
      </c>
      <c r="F1993" t="inlineStr">
        <is>
          <t>SOMALIA</t>
        </is>
      </c>
      <c r="G1993" t="inlineStr">
        <is>
          <t>SO</t>
        </is>
      </c>
      <c r="H1993" t="n">
        <v>4</v>
      </c>
      <c r="I1993" t="n">
        <v>4</v>
      </c>
      <c r="J1993" t="n">
        <v>3</v>
      </c>
      <c r="K1993" t="n">
        <v>12</v>
      </c>
      <c r="L1993" t="n">
        <v>12</v>
      </c>
      <c r="M1993" t="n">
        <v>12</v>
      </c>
      <c r="N1993" t="n">
        <v>12</v>
      </c>
      <c r="O1993" t="n">
        <v>15</v>
      </c>
      <c r="P1993" t="n">
        <v>3</v>
      </c>
      <c r="R1993" s="9" t="n">
        <v>0.03</v>
      </c>
      <c r="S1993" s="10" t="inlineStr">
        <is>
          <t>SÍ — integrante</t>
        </is>
      </c>
      <c r="T1993" s="11" t="inlineStr">
        <is>
          <t>B · INTEGRANTE</t>
        </is>
      </c>
      <c r="U1993" s="11" t="inlineStr">
        <is>
          <t>DEL BANCO (se hereda)</t>
        </is>
      </c>
      <c r="V1993" s="11" t="n"/>
      <c r="W1993" s="12" t="n"/>
      <c r="X1993" s="12" t="n"/>
    </row>
    <row r="1994" ht="15" customHeight="1">
      <c r="C1994" t="inlineStr">
        <is>
          <t xml:space="preserve">PAIS DE NACIMIENTO </t>
        </is>
      </c>
      <c r="D1994" t="inlineStr">
        <is>
          <t>F4</t>
        </is>
      </c>
      <c r="E1994" t="inlineStr">
        <is>
          <t>INHERENTE</t>
        </is>
      </c>
      <c r="F1994" t="inlineStr">
        <is>
          <t>SURINAM</t>
        </is>
      </c>
      <c r="G1994" t="inlineStr">
        <is>
          <t>SR</t>
        </is>
      </c>
      <c r="H1994" t="n">
        <v>3</v>
      </c>
      <c r="I1994" t="n">
        <v>3</v>
      </c>
      <c r="J1994" t="n">
        <v>3</v>
      </c>
      <c r="K1994" t="n">
        <v>9</v>
      </c>
      <c r="L1994" t="n">
        <v>9</v>
      </c>
      <c r="M1994" t="n">
        <v>9</v>
      </c>
      <c r="N1994" t="n">
        <v>9</v>
      </c>
      <c r="O1994" t="n">
        <v>15</v>
      </c>
      <c r="P1994" t="n">
        <v>3</v>
      </c>
      <c r="R1994" s="9" t="n">
        <v>0.03</v>
      </c>
      <c r="S1994" s="10" t="inlineStr">
        <is>
          <t>SÍ — integrante</t>
        </is>
      </c>
      <c r="T1994" s="11" t="inlineStr">
        <is>
          <t>B · INTEGRANTE</t>
        </is>
      </c>
      <c r="U1994" s="11" t="inlineStr">
        <is>
          <t>DEL BANCO (se hereda)</t>
        </is>
      </c>
      <c r="V1994" s="11" t="n"/>
      <c r="W1994" s="12" t="n"/>
      <c r="X1994" s="12" t="n"/>
    </row>
    <row r="1995" ht="15" customHeight="1">
      <c r="C1995" t="inlineStr">
        <is>
          <t xml:space="preserve">PAIS DE NACIMIENTO </t>
        </is>
      </c>
      <c r="D1995" t="inlineStr">
        <is>
          <t>F4</t>
        </is>
      </c>
      <c r="E1995" t="inlineStr">
        <is>
          <t>INHERENTE</t>
        </is>
      </c>
      <c r="F1995" t="inlineStr">
        <is>
          <t>SANTO TOME</t>
        </is>
      </c>
      <c r="G1995" t="inlineStr">
        <is>
          <t>ST</t>
        </is>
      </c>
      <c r="H1995" t="n">
        <v>2</v>
      </c>
      <c r="I1995" t="n">
        <v>2</v>
      </c>
      <c r="J1995" t="n">
        <v>3</v>
      </c>
      <c r="K1995" t="n">
        <v>6</v>
      </c>
      <c r="L1995" t="n">
        <v>6</v>
      </c>
      <c r="M1995" t="n">
        <v>6</v>
      </c>
      <c r="N1995" t="n">
        <v>6</v>
      </c>
      <c r="O1995" t="n">
        <v>15</v>
      </c>
      <c r="P1995" t="n">
        <v>3</v>
      </c>
      <c r="R1995" s="9" t="n">
        <v>0.03</v>
      </c>
      <c r="S1995" s="10" t="inlineStr">
        <is>
          <t>SÍ — integrante</t>
        </is>
      </c>
      <c r="T1995" s="11" t="inlineStr">
        <is>
          <t>B · INTEGRANTE</t>
        </is>
      </c>
      <c r="U1995" s="11" t="inlineStr">
        <is>
          <t>DEL BANCO (se hereda)</t>
        </is>
      </c>
      <c r="V1995" s="11" t="n"/>
      <c r="W1995" s="12" t="n"/>
      <c r="X1995" s="12" t="n"/>
    </row>
    <row r="1996" ht="15" customHeight="1">
      <c r="C1996" t="inlineStr">
        <is>
          <t xml:space="preserve">PAIS DE NACIMIENTO </t>
        </is>
      </c>
      <c r="D1996" t="inlineStr">
        <is>
          <t>F4</t>
        </is>
      </c>
      <c r="E1996" t="inlineStr">
        <is>
          <t>INHERENTE</t>
        </is>
      </c>
      <c r="F1996" t="inlineStr">
        <is>
          <t>EL SALVADOR</t>
        </is>
      </c>
      <c r="G1996" t="inlineStr">
        <is>
          <t>SV</t>
        </is>
      </c>
      <c r="H1996" t="n">
        <v>3</v>
      </c>
      <c r="I1996" t="n">
        <v>3</v>
      </c>
      <c r="J1996" t="n">
        <v>3</v>
      </c>
      <c r="K1996" t="n">
        <v>9</v>
      </c>
      <c r="L1996" t="n">
        <v>9</v>
      </c>
      <c r="M1996" t="n">
        <v>9</v>
      </c>
      <c r="N1996" t="n">
        <v>9</v>
      </c>
      <c r="O1996" t="n">
        <v>15</v>
      </c>
      <c r="P1996" t="n">
        <v>3</v>
      </c>
      <c r="R1996" s="9" t="n">
        <v>0.03</v>
      </c>
      <c r="S1996" s="10" t="inlineStr">
        <is>
          <t>SÍ — integrante</t>
        </is>
      </c>
      <c r="T1996" s="11" t="inlineStr">
        <is>
          <t>B · INTEGRANTE</t>
        </is>
      </c>
      <c r="U1996" s="11" t="inlineStr">
        <is>
          <t>DEL BANCO (se hereda)</t>
        </is>
      </c>
      <c r="V1996" s="11" t="n"/>
      <c r="W1996" s="12" t="n"/>
      <c r="X1996" s="12" t="n"/>
    </row>
    <row r="1997" ht="15" customHeight="1">
      <c r="C1997" t="inlineStr">
        <is>
          <t xml:space="preserve">PAIS DE NACIMIENTO </t>
        </is>
      </c>
      <c r="D1997" t="inlineStr">
        <is>
          <t>F4</t>
        </is>
      </c>
      <c r="E1997" t="inlineStr">
        <is>
          <t>INHERENTE</t>
        </is>
      </c>
      <c r="F1997" t="inlineStr">
        <is>
          <t>SIRIA</t>
        </is>
      </c>
      <c r="G1997" t="inlineStr">
        <is>
          <t>SY</t>
        </is>
      </c>
      <c r="H1997" t="n">
        <v>4</v>
      </c>
      <c r="I1997" t="n">
        <v>4</v>
      </c>
      <c r="J1997" t="n">
        <v>3</v>
      </c>
      <c r="K1997" t="n">
        <v>12</v>
      </c>
      <c r="L1997" t="n">
        <v>12</v>
      </c>
      <c r="M1997" t="n">
        <v>12</v>
      </c>
      <c r="N1997" t="n">
        <v>12</v>
      </c>
      <c r="O1997" t="n">
        <v>15</v>
      </c>
      <c r="P1997" t="n">
        <v>3</v>
      </c>
      <c r="Q1997" t="inlineStr">
        <is>
          <t>DETERMINANTE</t>
        </is>
      </c>
      <c r="R1997" s="9" t="n">
        <v>0.03</v>
      </c>
      <c r="S1997" s="10" t="inlineStr">
        <is>
          <t>SÍ — integrante</t>
        </is>
      </c>
      <c r="T1997" s="11" t="inlineStr">
        <is>
          <t>B · INTEGRANTE</t>
        </is>
      </c>
      <c r="U1997" s="11" t="inlineStr">
        <is>
          <t>DEL BANCO (se hereda)</t>
        </is>
      </c>
      <c r="V1997" s="11" t="n"/>
      <c r="W1997" s="12" t="n"/>
      <c r="X1997" s="12" t="n"/>
    </row>
    <row r="1998" ht="15" customHeight="1">
      <c r="C1998" t="inlineStr">
        <is>
          <t xml:space="preserve">PAIS DE NACIMIENTO </t>
        </is>
      </c>
      <c r="D1998" t="inlineStr">
        <is>
          <t>F4</t>
        </is>
      </c>
      <c r="E1998" t="inlineStr">
        <is>
          <t>INHERENTE</t>
        </is>
      </c>
      <c r="F1998" t="inlineStr">
        <is>
          <t>SWAZILANDIA</t>
        </is>
      </c>
      <c r="G1998" t="inlineStr">
        <is>
          <t>SZ</t>
        </is>
      </c>
      <c r="H1998" t="n">
        <v>4</v>
      </c>
      <c r="I1998" t="n">
        <v>4</v>
      </c>
      <c r="J1998" t="n">
        <v>3</v>
      </c>
      <c r="K1998" t="n">
        <v>12</v>
      </c>
      <c r="L1998" t="n">
        <v>12</v>
      </c>
      <c r="M1998" t="n">
        <v>12</v>
      </c>
      <c r="N1998" t="n">
        <v>12</v>
      </c>
      <c r="O1998" t="n">
        <v>15</v>
      </c>
      <c r="P1998" t="n">
        <v>3</v>
      </c>
      <c r="R1998" s="9" t="n">
        <v>0.03</v>
      </c>
      <c r="S1998" s="10" t="inlineStr">
        <is>
          <t>SÍ — integrante</t>
        </is>
      </c>
      <c r="T1998" s="11" t="inlineStr">
        <is>
          <t>B · INTEGRANTE</t>
        </is>
      </c>
      <c r="U1998" s="11" t="inlineStr">
        <is>
          <t>DEL BANCO (se hereda)</t>
        </is>
      </c>
      <c r="V1998" s="11" t="n"/>
      <c r="W1998" s="12" t="n"/>
      <c r="X1998" s="12" t="n"/>
    </row>
    <row r="1999" ht="15" customHeight="1">
      <c r="C1999" t="inlineStr">
        <is>
          <t xml:space="preserve">PAIS DE NACIMIENTO </t>
        </is>
      </c>
      <c r="D1999" t="inlineStr">
        <is>
          <t>F4</t>
        </is>
      </c>
      <c r="E1999" t="inlineStr">
        <is>
          <t>INHERENTE</t>
        </is>
      </c>
      <c r="F1999" t="inlineStr">
        <is>
          <t>ISLAS TURCAS Y CAICO</t>
        </is>
      </c>
      <c r="G1999" t="inlineStr">
        <is>
          <t>TC</t>
        </is>
      </c>
      <c r="H1999" t="n">
        <v>3</v>
      </c>
      <c r="I1999" t="n">
        <v>3</v>
      </c>
      <c r="J1999" t="n">
        <v>3</v>
      </c>
      <c r="K1999" t="n">
        <v>9</v>
      </c>
      <c r="L1999" t="n">
        <v>9</v>
      </c>
      <c r="M1999" t="n">
        <v>9</v>
      </c>
      <c r="N1999" t="n">
        <v>9</v>
      </c>
      <c r="O1999" t="n">
        <v>15</v>
      </c>
      <c r="P1999" t="n">
        <v>3</v>
      </c>
      <c r="R1999" s="9" t="n">
        <v>0.03</v>
      </c>
      <c r="S1999" s="10" t="inlineStr">
        <is>
          <t>SÍ — integrante</t>
        </is>
      </c>
      <c r="T1999" s="11" t="inlineStr">
        <is>
          <t>B · INTEGRANTE</t>
        </is>
      </c>
      <c r="U1999" s="11" t="inlineStr">
        <is>
          <t>DEL BANCO (se hereda)</t>
        </is>
      </c>
      <c r="V1999" s="11" t="n"/>
      <c r="W1999" s="12" t="n"/>
      <c r="X1999" s="12" t="n"/>
    </row>
    <row r="2000" ht="15" customHeight="1">
      <c r="C2000" t="inlineStr">
        <is>
          <t xml:space="preserve">PAIS DE NACIMIENTO </t>
        </is>
      </c>
      <c r="D2000" t="inlineStr">
        <is>
          <t>F4</t>
        </is>
      </c>
      <c r="E2000" t="inlineStr">
        <is>
          <t>INHERENTE</t>
        </is>
      </c>
      <c r="F2000" t="inlineStr">
        <is>
          <t>CHAD</t>
        </is>
      </c>
      <c r="G2000" t="inlineStr">
        <is>
          <t>TD</t>
        </is>
      </c>
      <c r="H2000" t="n">
        <v>4</v>
      </c>
      <c r="I2000" t="n">
        <v>4</v>
      </c>
      <c r="J2000" t="n">
        <v>3</v>
      </c>
      <c r="K2000" t="n">
        <v>12</v>
      </c>
      <c r="L2000" t="n">
        <v>12</v>
      </c>
      <c r="M2000" t="n">
        <v>12</v>
      </c>
      <c r="N2000" t="n">
        <v>12</v>
      </c>
      <c r="O2000" t="n">
        <v>15</v>
      </c>
      <c r="P2000" t="n">
        <v>3</v>
      </c>
      <c r="R2000" s="9" t="n">
        <v>0.03</v>
      </c>
      <c r="S2000" s="10" t="inlineStr">
        <is>
          <t>SÍ — integrante</t>
        </is>
      </c>
      <c r="T2000" s="11" t="inlineStr">
        <is>
          <t>B · INTEGRANTE</t>
        </is>
      </c>
      <c r="U2000" s="11" t="inlineStr">
        <is>
          <t>DEL BANCO (se hereda)</t>
        </is>
      </c>
      <c r="V2000" s="11" t="n"/>
      <c r="W2000" s="12" t="n"/>
      <c r="X2000" s="12" t="n"/>
    </row>
    <row r="2001" ht="15" customHeight="1">
      <c r="C2001" t="inlineStr">
        <is>
          <t xml:space="preserve">PAIS DE NACIMIENTO </t>
        </is>
      </c>
      <c r="D2001" t="inlineStr">
        <is>
          <t>F4</t>
        </is>
      </c>
      <c r="E2001" t="inlineStr">
        <is>
          <t>INHERENTE</t>
        </is>
      </c>
      <c r="F2001" t="inlineStr">
        <is>
          <t>TERRIT AUS FRAN</t>
        </is>
      </c>
      <c r="G2001" t="inlineStr">
        <is>
          <t>TF</t>
        </is>
      </c>
      <c r="H2001" t="n">
        <v>1</v>
      </c>
      <c r="I2001" t="n">
        <v>1</v>
      </c>
      <c r="J2001" t="n">
        <v>3</v>
      </c>
      <c r="K2001" t="n">
        <v>3</v>
      </c>
      <c r="L2001" t="n">
        <v>3</v>
      </c>
      <c r="M2001" t="n">
        <v>3</v>
      </c>
      <c r="N2001" t="n">
        <v>3</v>
      </c>
      <c r="O2001" t="n">
        <v>15</v>
      </c>
      <c r="P2001" t="n">
        <v>3</v>
      </c>
      <c r="R2001" s="9" t="n">
        <v>0.03</v>
      </c>
      <c r="S2001" s="10" t="inlineStr">
        <is>
          <t>SÍ — integrante</t>
        </is>
      </c>
      <c r="T2001" s="11" t="inlineStr">
        <is>
          <t>B · INTEGRANTE</t>
        </is>
      </c>
      <c r="U2001" s="11" t="inlineStr">
        <is>
          <t>DEL BANCO (se hereda)</t>
        </is>
      </c>
      <c r="V2001" s="11" t="n"/>
      <c r="W2001" s="12" t="n"/>
      <c r="X2001" s="12" t="n"/>
    </row>
    <row r="2002" ht="15" customHeight="1">
      <c r="C2002" t="inlineStr">
        <is>
          <t xml:space="preserve">PAIS DE NACIMIENTO </t>
        </is>
      </c>
      <c r="D2002" t="inlineStr">
        <is>
          <t>F4</t>
        </is>
      </c>
      <c r="E2002" t="inlineStr">
        <is>
          <t>INHERENTE</t>
        </is>
      </c>
      <c r="F2002" t="inlineStr">
        <is>
          <t>TOGO</t>
        </is>
      </c>
      <c r="G2002" t="inlineStr">
        <is>
          <t>TG</t>
        </is>
      </c>
      <c r="H2002" t="n">
        <v>3</v>
      </c>
      <c r="I2002" t="n">
        <v>3</v>
      </c>
      <c r="J2002" t="n">
        <v>3</v>
      </c>
      <c r="K2002" t="n">
        <v>9</v>
      </c>
      <c r="L2002" t="n">
        <v>9</v>
      </c>
      <c r="M2002" t="n">
        <v>9</v>
      </c>
      <c r="N2002" t="n">
        <v>9</v>
      </c>
      <c r="O2002" t="n">
        <v>15</v>
      </c>
      <c r="P2002" t="n">
        <v>3</v>
      </c>
      <c r="R2002" s="9" t="n">
        <v>0.03</v>
      </c>
      <c r="S2002" s="10" t="inlineStr">
        <is>
          <t>SÍ — integrante</t>
        </is>
      </c>
      <c r="T2002" s="11" t="inlineStr">
        <is>
          <t>B · INTEGRANTE</t>
        </is>
      </c>
      <c r="U2002" s="11" t="inlineStr">
        <is>
          <t>DEL BANCO (se hereda)</t>
        </is>
      </c>
      <c r="V2002" s="11" t="n"/>
      <c r="W2002" s="12" t="n"/>
      <c r="X2002" s="12" t="n"/>
    </row>
    <row r="2003" ht="15" customHeight="1">
      <c r="C2003" t="inlineStr">
        <is>
          <t xml:space="preserve">PAIS DE NACIMIENTO </t>
        </is>
      </c>
      <c r="D2003" t="inlineStr">
        <is>
          <t>F4</t>
        </is>
      </c>
      <c r="E2003" t="inlineStr">
        <is>
          <t>INHERENTE</t>
        </is>
      </c>
      <c r="F2003" t="inlineStr">
        <is>
          <t>TAILANDIA</t>
        </is>
      </c>
      <c r="G2003" t="inlineStr">
        <is>
          <t>TH</t>
        </is>
      </c>
      <c r="H2003" t="n">
        <v>3</v>
      </c>
      <c r="I2003" t="n">
        <v>3</v>
      </c>
      <c r="J2003" t="n">
        <v>3</v>
      </c>
      <c r="K2003" t="n">
        <v>9</v>
      </c>
      <c r="L2003" t="n">
        <v>9</v>
      </c>
      <c r="M2003" t="n">
        <v>9</v>
      </c>
      <c r="N2003" t="n">
        <v>9</v>
      </c>
      <c r="O2003" t="n">
        <v>15</v>
      </c>
      <c r="P2003" t="n">
        <v>3</v>
      </c>
      <c r="R2003" s="9" t="n">
        <v>0.03</v>
      </c>
      <c r="S2003" s="10" t="inlineStr">
        <is>
          <t>SÍ — integrante</t>
        </is>
      </c>
      <c r="T2003" s="11" t="inlineStr">
        <is>
          <t>B · INTEGRANTE</t>
        </is>
      </c>
      <c r="U2003" s="11" t="inlineStr">
        <is>
          <t>DEL BANCO (se hereda)</t>
        </is>
      </c>
      <c r="V2003" s="11" t="n"/>
      <c r="W2003" s="12" t="n"/>
      <c r="X2003" s="12" t="n"/>
    </row>
    <row r="2004" ht="15" customHeight="1">
      <c r="C2004" t="inlineStr">
        <is>
          <t xml:space="preserve">PAIS DE NACIMIENTO </t>
        </is>
      </c>
      <c r="D2004" t="inlineStr">
        <is>
          <t>F4</t>
        </is>
      </c>
      <c r="E2004" t="inlineStr">
        <is>
          <t>INHERENTE</t>
        </is>
      </c>
      <c r="F2004" t="inlineStr">
        <is>
          <t>TAJIKISTAN</t>
        </is>
      </c>
      <c r="G2004" t="inlineStr">
        <is>
          <t>TJ</t>
        </is>
      </c>
      <c r="H2004" t="n">
        <v>3</v>
      </c>
      <c r="I2004" t="n">
        <v>3</v>
      </c>
      <c r="J2004" t="n">
        <v>3</v>
      </c>
      <c r="K2004" t="n">
        <v>9</v>
      </c>
      <c r="L2004" t="n">
        <v>9</v>
      </c>
      <c r="M2004" t="n">
        <v>9</v>
      </c>
      <c r="N2004" t="n">
        <v>9</v>
      </c>
      <c r="O2004" t="n">
        <v>15</v>
      </c>
      <c r="P2004" t="n">
        <v>3</v>
      </c>
      <c r="R2004" s="9" t="n">
        <v>0.03</v>
      </c>
      <c r="S2004" s="10" t="inlineStr">
        <is>
          <t>SÍ — integrante</t>
        </is>
      </c>
      <c r="T2004" s="11" t="inlineStr">
        <is>
          <t>B · INTEGRANTE</t>
        </is>
      </c>
      <c r="U2004" s="11" t="inlineStr">
        <is>
          <t>DEL BANCO (se hereda)</t>
        </is>
      </c>
      <c r="V2004" s="11" t="n"/>
      <c r="W2004" s="12" t="n"/>
      <c r="X2004" s="12" t="n"/>
    </row>
    <row r="2005" ht="15" customHeight="1">
      <c r="C2005" t="inlineStr">
        <is>
          <t xml:space="preserve">PAIS DE NACIMIENTO </t>
        </is>
      </c>
      <c r="D2005" t="inlineStr">
        <is>
          <t>F4</t>
        </is>
      </c>
      <c r="E2005" t="inlineStr">
        <is>
          <t>INHERENTE</t>
        </is>
      </c>
      <c r="F2005" t="inlineStr">
        <is>
          <t>TOKELAU</t>
        </is>
      </c>
      <c r="G2005" t="inlineStr">
        <is>
          <t>TK</t>
        </is>
      </c>
      <c r="H2005" t="n">
        <v>1</v>
      </c>
      <c r="I2005" t="n">
        <v>1</v>
      </c>
      <c r="J2005" t="n">
        <v>3</v>
      </c>
      <c r="K2005" t="n">
        <v>3</v>
      </c>
      <c r="L2005" t="n">
        <v>3</v>
      </c>
      <c r="M2005" t="n">
        <v>3</v>
      </c>
      <c r="N2005" t="n">
        <v>3</v>
      </c>
      <c r="O2005" t="n">
        <v>15</v>
      </c>
      <c r="P2005" t="n">
        <v>3</v>
      </c>
      <c r="R2005" s="9" t="n">
        <v>0.03</v>
      </c>
      <c r="S2005" s="10" t="inlineStr">
        <is>
          <t>SÍ — integrante</t>
        </is>
      </c>
      <c r="T2005" s="11" t="inlineStr">
        <is>
          <t>B · INTEGRANTE</t>
        </is>
      </c>
      <c r="U2005" s="11" t="inlineStr">
        <is>
          <t>DEL BANCO (se hereda)</t>
        </is>
      </c>
      <c r="V2005" s="11" t="n"/>
      <c r="W2005" s="12" t="n"/>
      <c r="X2005" s="12" t="n"/>
    </row>
    <row r="2006" ht="15" customHeight="1">
      <c r="C2006" t="inlineStr">
        <is>
          <t xml:space="preserve">PAIS DE NACIMIENTO </t>
        </is>
      </c>
      <c r="D2006" t="inlineStr">
        <is>
          <t>F4</t>
        </is>
      </c>
      <c r="E2006" t="inlineStr">
        <is>
          <t>INHERENTE</t>
        </is>
      </c>
      <c r="F2006" t="inlineStr">
        <is>
          <t>TIMOR ORIENTAL</t>
        </is>
      </c>
      <c r="G2006" t="inlineStr">
        <is>
          <t>TL</t>
        </is>
      </c>
      <c r="H2006" t="n">
        <v>3</v>
      </c>
      <c r="I2006" t="n">
        <v>3</v>
      </c>
      <c r="J2006" t="n">
        <v>3</v>
      </c>
      <c r="K2006" t="n">
        <v>9</v>
      </c>
      <c r="L2006" t="n">
        <v>9</v>
      </c>
      <c r="M2006" t="n">
        <v>9</v>
      </c>
      <c r="N2006" t="n">
        <v>9</v>
      </c>
      <c r="O2006" t="n">
        <v>15</v>
      </c>
      <c r="P2006" t="n">
        <v>3</v>
      </c>
      <c r="R2006" s="9" t="n">
        <v>0.03</v>
      </c>
      <c r="S2006" s="10" t="inlineStr">
        <is>
          <t>SÍ — integrante</t>
        </is>
      </c>
      <c r="T2006" s="11" t="inlineStr">
        <is>
          <t>B · INTEGRANTE</t>
        </is>
      </c>
      <c r="U2006" s="11" t="inlineStr">
        <is>
          <t>DEL BANCO (se hereda)</t>
        </is>
      </c>
      <c r="V2006" s="11" t="n"/>
      <c r="W2006" s="12" t="n"/>
      <c r="X2006" s="12" t="n"/>
    </row>
    <row r="2007" ht="15" customHeight="1">
      <c r="C2007" t="inlineStr">
        <is>
          <t xml:space="preserve">PAIS DE NACIMIENTO </t>
        </is>
      </c>
      <c r="D2007" t="inlineStr">
        <is>
          <t>F4</t>
        </is>
      </c>
      <c r="E2007" t="inlineStr">
        <is>
          <t>INHERENTE</t>
        </is>
      </c>
      <c r="F2007" t="inlineStr">
        <is>
          <t>TURKMENISTAN</t>
        </is>
      </c>
      <c r="G2007" t="inlineStr">
        <is>
          <t>TM</t>
        </is>
      </c>
      <c r="H2007" t="n">
        <v>4</v>
      </c>
      <c r="I2007" t="n">
        <v>4</v>
      </c>
      <c r="J2007" t="n">
        <v>3</v>
      </c>
      <c r="K2007" t="n">
        <v>12</v>
      </c>
      <c r="L2007" t="n">
        <v>12</v>
      </c>
      <c r="M2007" t="n">
        <v>12</v>
      </c>
      <c r="N2007" t="n">
        <v>12</v>
      </c>
      <c r="O2007" t="n">
        <v>15</v>
      </c>
      <c r="P2007" t="n">
        <v>3</v>
      </c>
      <c r="R2007" s="9" t="n">
        <v>0.03</v>
      </c>
      <c r="S2007" s="10" t="inlineStr">
        <is>
          <t>SÍ — integrante</t>
        </is>
      </c>
      <c r="T2007" s="11" t="inlineStr">
        <is>
          <t>B · INTEGRANTE</t>
        </is>
      </c>
      <c r="U2007" s="11" t="inlineStr">
        <is>
          <t>DEL BANCO (se hereda)</t>
        </is>
      </c>
      <c r="V2007" s="11" t="n"/>
      <c r="W2007" s="12" t="n"/>
      <c r="X2007" s="12" t="n"/>
    </row>
    <row r="2008" ht="15" customHeight="1">
      <c r="C2008" t="inlineStr">
        <is>
          <t xml:space="preserve">PAIS DE NACIMIENTO </t>
        </is>
      </c>
      <c r="D2008" t="inlineStr">
        <is>
          <t>F4</t>
        </is>
      </c>
      <c r="E2008" t="inlineStr">
        <is>
          <t>INHERENTE</t>
        </is>
      </c>
      <c r="F2008" t="inlineStr">
        <is>
          <t>TUNEZ</t>
        </is>
      </c>
      <c r="G2008" t="inlineStr">
        <is>
          <t>TN</t>
        </is>
      </c>
      <c r="H2008" t="n">
        <v>2</v>
      </c>
      <c r="I2008" t="n">
        <v>2</v>
      </c>
      <c r="J2008" t="n">
        <v>3</v>
      </c>
      <c r="K2008" t="n">
        <v>6</v>
      </c>
      <c r="L2008" t="n">
        <v>6</v>
      </c>
      <c r="M2008" t="n">
        <v>6</v>
      </c>
      <c r="N2008" t="n">
        <v>6</v>
      </c>
      <c r="O2008" t="n">
        <v>15</v>
      </c>
      <c r="P2008" t="n">
        <v>3</v>
      </c>
      <c r="R2008" s="9" t="n">
        <v>0.03</v>
      </c>
      <c r="S2008" s="10" t="inlineStr">
        <is>
          <t>SÍ — integrante</t>
        </is>
      </c>
      <c r="T2008" s="11" t="inlineStr">
        <is>
          <t>B · INTEGRANTE</t>
        </is>
      </c>
      <c r="U2008" s="11" t="inlineStr">
        <is>
          <t>DEL BANCO (se hereda)</t>
        </is>
      </c>
      <c r="V2008" s="11" t="n"/>
      <c r="W2008" s="12" t="n"/>
      <c r="X2008" s="12" t="n"/>
    </row>
    <row r="2009" ht="15" customHeight="1">
      <c r="C2009" t="inlineStr">
        <is>
          <t xml:space="preserve">PAIS DE NACIMIENTO </t>
        </is>
      </c>
      <c r="D2009" t="inlineStr">
        <is>
          <t>F4</t>
        </is>
      </c>
      <c r="E2009" t="inlineStr">
        <is>
          <t>INHERENTE</t>
        </is>
      </c>
      <c r="F2009" t="inlineStr">
        <is>
          <t>TONGA</t>
        </is>
      </c>
      <c r="G2009" t="inlineStr">
        <is>
          <t>TO</t>
        </is>
      </c>
      <c r="H2009" t="n">
        <v>3</v>
      </c>
      <c r="I2009" t="n">
        <v>3</v>
      </c>
      <c r="J2009" t="n">
        <v>3</v>
      </c>
      <c r="K2009" t="n">
        <v>9</v>
      </c>
      <c r="L2009" t="n">
        <v>9</v>
      </c>
      <c r="M2009" t="n">
        <v>9</v>
      </c>
      <c r="N2009" t="n">
        <v>9</v>
      </c>
      <c r="O2009" t="n">
        <v>15</v>
      </c>
      <c r="P2009" t="n">
        <v>3</v>
      </c>
      <c r="R2009" s="9" t="n">
        <v>0.03</v>
      </c>
      <c r="S2009" s="10" t="inlineStr">
        <is>
          <t>SÍ — integrante</t>
        </is>
      </c>
      <c r="T2009" s="11" t="inlineStr">
        <is>
          <t>B · INTEGRANTE</t>
        </is>
      </c>
      <c r="U2009" s="11" t="inlineStr">
        <is>
          <t>DEL BANCO (se hereda)</t>
        </is>
      </c>
      <c r="V2009" s="11" t="n"/>
      <c r="W2009" s="12" t="n"/>
      <c r="X2009" s="12" t="n"/>
    </row>
    <row r="2010" ht="15" customHeight="1">
      <c r="C2010" t="inlineStr">
        <is>
          <t xml:space="preserve">PAIS DE NACIMIENTO </t>
        </is>
      </c>
      <c r="D2010" t="inlineStr">
        <is>
          <t>F4</t>
        </is>
      </c>
      <c r="E2010" t="inlineStr">
        <is>
          <t>INHERENTE</t>
        </is>
      </c>
      <c r="F2010" t="inlineStr">
        <is>
          <t>TIMOR</t>
        </is>
      </c>
      <c r="G2010" t="inlineStr">
        <is>
          <t>TP</t>
        </is>
      </c>
      <c r="H2010" t="n">
        <v>3</v>
      </c>
      <c r="I2010" t="n">
        <v>3</v>
      </c>
      <c r="J2010" t="n">
        <v>3</v>
      </c>
      <c r="K2010" t="n">
        <v>9</v>
      </c>
      <c r="L2010" t="n">
        <v>9</v>
      </c>
      <c r="M2010" t="n">
        <v>9</v>
      </c>
      <c r="N2010" t="n">
        <v>9</v>
      </c>
      <c r="O2010" t="n">
        <v>15</v>
      </c>
      <c r="P2010" t="n">
        <v>3</v>
      </c>
      <c r="R2010" s="9" t="n">
        <v>0.03</v>
      </c>
      <c r="S2010" s="10" t="inlineStr">
        <is>
          <t>SÍ — integrante</t>
        </is>
      </c>
      <c r="T2010" s="11" t="inlineStr">
        <is>
          <t>B · INTEGRANTE</t>
        </is>
      </c>
      <c r="U2010" s="11" t="inlineStr">
        <is>
          <t>DEL BANCO (se hereda)</t>
        </is>
      </c>
      <c r="V2010" s="11" t="n"/>
      <c r="W2010" s="12" t="n"/>
      <c r="X2010" s="12" t="n"/>
    </row>
    <row r="2011" ht="15" customHeight="1">
      <c r="C2011" t="inlineStr">
        <is>
          <t xml:space="preserve">PAIS DE NACIMIENTO </t>
        </is>
      </c>
      <c r="D2011" t="inlineStr">
        <is>
          <t>F4</t>
        </is>
      </c>
      <c r="E2011" t="inlineStr">
        <is>
          <t>INHERENTE</t>
        </is>
      </c>
      <c r="F2011" t="inlineStr">
        <is>
          <t>TURQUIA</t>
        </is>
      </c>
      <c r="G2011" t="inlineStr">
        <is>
          <t>TR</t>
        </is>
      </c>
      <c r="H2011" t="n">
        <v>3</v>
      </c>
      <c r="I2011" t="n">
        <v>3</v>
      </c>
      <c r="J2011" t="n">
        <v>3</v>
      </c>
      <c r="K2011" t="n">
        <v>9</v>
      </c>
      <c r="L2011" t="n">
        <v>9</v>
      </c>
      <c r="M2011" t="n">
        <v>9</v>
      </c>
      <c r="N2011" t="n">
        <v>9</v>
      </c>
      <c r="O2011" t="n">
        <v>15</v>
      </c>
      <c r="P2011" t="n">
        <v>3</v>
      </c>
      <c r="R2011" s="9" t="n">
        <v>0.03</v>
      </c>
      <c r="S2011" s="10" t="inlineStr">
        <is>
          <t>SÍ — integrante</t>
        </is>
      </c>
      <c r="T2011" s="11" t="inlineStr">
        <is>
          <t>B · INTEGRANTE</t>
        </is>
      </c>
      <c r="U2011" s="11" t="inlineStr">
        <is>
          <t>DEL BANCO (se hereda)</t>
        </is>
      </c>
      <c r="V2011" s="11" t="n"/>
      <c r="W2011" s="12" t="n"/>
      <c r="X2011" s="12" t="n"/>
    </row>
    <row r="2012" ht="15" customHeight="1">
      <c r="C2012" t="inlineStr">
        <is>
          <t xml:space="preserve">PAIS DE NACIMIENTO </t>
        </is>
      </c>
      <c r="D2012" t="inlineStr">
        <is>
          <t>F4</t>
        </is>
      </c>
      <c r="E2012" t="inlineStr">
        <is>
          <t>INHERENTE</t>
        </is>
      </c>
      <c r="F2012" t="inlineStr">
        <is>
          <t>TRIESTE ITALIA</t>
        </is>
      </c>
      <c r="G2012" t="inlineStr">
        <is>
          <t>TS</t>
        </is>
      </c>
      <c r="H2012" t="n">
        <v>1</v>
      </c>
      <c r="I2012" t="n">
        <v>1</v>
      </c>
      <c r="J2012" t="n">
        <v>3</v>
      </c>
      <c r="K2012" t="n">
        <v>3</v>
      </c>
      <c r="L2012" t="n">
        <v>3</v>
      </c>
      <c r="M2012" t="n">
        <v>3</v>
      </c>
      <c r="N2012" t="n">
        <v>3</v>
      </c>
      <c r="O2012" t="n">
        <v>15</v>
      </c>
      <c r="P2012" t="n">
        <v>3</v>
      </c>
      <c r="R2012" s="9" t="n">
        <v>0.03</v>
      </c>
      <c r="S2012" s="10" t="inlineStr">
        <is>
          <t>SÍ — integrante</t>
        </is>
      </c>
      <c r="T2012" s="11" t="inlineStr">
        <is>
          <t>B · INTEGRANTE</t>
        </is>
      </c>
      <c r="U2012" s="11" t="inlineStr">
        <is>
          <t>DEL BANCO (se hereda)</t>
        </is>
      </c>
      <c r="V2012" s="11" t="n"/>
      <c r="W2012" s="12" t="n"/>
      <c r="X2012" s="12" t="n"/>
    </row>
    <row r="2013" ht="15" customHeight="1">
      <c r="C2013" t="inlineStr">
        <is>
          <t xml:space="preserve">PAIS DE NACIMIENTO </t>
        </is>
      </c>
      <c r="D2013" t="inlineStr">
        <is>
          <t>F4</t>
        </is>
      </c>
      <c r="E2013" t="inlineStr">
        <is>
          <t>INHERENTE</t>
        </is>
      </c>
      <c r="F2013" t="inlineStr">
        <is>
          <t>TRINIDAD TOBAGO</t>
        </is>
      </c>
      <c r="G2013" t="inlineStr">
        <is>
          <t>TT</t>
        </is>
      </c>
      <c r="H2013" t="n">
        <v>3</v>
      </c>
      <c r="I2013" t="n">
        <v>3</v>
      </c>
      <c r="J2013" t="n">
        <v>3</v>
      </c>
      <c r="K2013" t="n">
        <v>9</v>
      </c>
      <c r="L2013" t="n">
        <v>9</v>
      </c>
      <c r="M2013" t="n">
        <v>9</v>
      </c>
      <c r="N2013" t="n">
        <v>9</v>
      </c>
      <c r="O2013" t="n">
        <v>15</v>
      </c>
      <c r="P2013" t="n">
        <v>3</v>
      </c>
      <c r="R2013" s="9" t="n">
        <v>0.03</v>
      </c>
      <c r="S2013" s="10" t="inlineStr">
        <is>
          <t>SÍ — integrante</t>
        </is>
      </c>
      <c r="T2013" s="11" t="inlineStr">
        <is>
          <t>B · INTEGRANTE</t>
        </is>
      </c>
      <c r="U2013" s="11" t="inlineStr">
        <is>
          <t>DEL BANCO (se hereda)</t>
        </is>
      </c>
      <c r="V2013" s="11" t="n"/>
      <c r="W2013" s="12" t="n"/>
      <c r="X2013" s="12" t="n"/>
    </row>
    <row r="2014" ht="15" customHeight="1">
      <c r="C2014" t="inlineStr">
        <is>
          <t xml:space="preserve">PAIS DE NACIMIENTO </t>
        </is>
      </c>
      <c r="D2014" t="inlineStr">
        <is>
          <t>F4</t>
        </is>
      </c>
      <c r="E2014" t="inlineStr">
        <is>
          <t>INHERENTE</t>
        </is>
      </c>
      <c r="F2014" t="inlineStr">
        <is>
          <t>TUVALU</t>
        </is>
      </c>
      <c r="G2014" t="inlineStr">
        <is>
          <t>TV</t>
        </is>
      </c>
      <c r="H2014" t="n">
        <v>1</v>
      </c>
      <c r="I2014" t="n">
        <v>1</v>
      </c>
      <c r="J2014" t="n">
        <v>3</v>
      </c>
      <c r="K2014" t="n">
        <v>3</v>
      </c>
      <c r="L2014" t="n">
        <v>3</v>
      </c>
      <c r="M2014" t="n">
        <v>3</v>
      </c>
      <c r="N2014" t="n">
        <v>3</v>
      </c>
      <c r="O2014" t="n">
        <v>15</v>
      </c>
      <c r="P2014" t="n">
        <v>3</v>
      </c>
      <c r="R2014" s="9" t="n">
        <v>0.03</v>
      </c>
      <c r="S2014" s="10" t="inlineStr">
        <is>
          <t>SÍ — integrante</t>
        </is>
      </c>
      <c r="T2014" s="11" t="inlineStr">
        <is>
          <t>B · INTEGRANTE</t>
        </is>
      </c>
      <c r="U2014" s="11" t="inlineStr">
        <is>
          <t>DEL BANCO (se hereda)</t>
        </is>
      </c>
      <c r="V2014" s="11" t="n"/>
      <c r="W2014" s="12" t="n"/>
      <c r="X2014" s="12" t="n"/>
    </row>
    <row r="2015" ht="15" customHeight="1">
      <c r="C2015" t="inlineStr">
        <is>
          <t xml:space="preserve">PAIS DE NACIMIENTO </t>
        </is>
      </c>
      <c r="D2015" t="inlineStr">
        <is>
          <t>F4</t>
        </is>
      </c>
      <c r="E2015" t="inlineStr">
        <is>
          <t>INHERENTE</t>
        </is>
      </c>
      <c r="F2015" t="inlineStr">
        <is>
          <t>TAIWAN</t>
        </is>
      </c>
      <c r="G2015" t="inlineStr">
        <is>
          <t>TW</t>
        </is>
      </c>
      <c r="H2015" t="n">
        <v>1</v>
      </c>
      <c r="I2015" t="n">
        <v>1</v>
      </c>
      <c r="J2015" t="n">
        <v>3</v>
      </c>
      <c r="K2015" t="n">
        <v>3</v>
      </c>
      <c r="L2015" t="n">
        <v>3</v>
      </c>
      <c r="M2015" t="n">
        <v>3</v>
      </c>
      <c r="N2015" t="n">
        <v>3</v>
      </c>
      <c r="O2015" t="n">
        <v>15</v>
      </c>
      <c r="P2015" t="n">
        <v>3</v>
      </c>
      <c r="R2015" s="9" t="n">
        <v>0.03</v>
      </c>
      <c r="S2015" s="10" t="inlineStr">
        <is>
          <t>SÍ — integrante</t>
        </is>
      </c>
      <c r="T2015" s="11" t="inlineStr">
        <is>
          <t>B · INTEGRANTE</t>
        </is>
      </c>
      <c r="U2015" s="11" t="inlineStr">
        <is>
          <t>DEL BANCO (se hereda)</t>
        </is>
      </c>
      <c r="V2015" s="11" t="n"/>
      <c r="W2015" s="12" t="n"/>
      <c r="X2015" s="12" t="n"/>
    </row>
    <row r="2016" ht="15" customHeight="1">
      <c r="C2016" t="inlineStr">
        <is>
          <t xml:space="preserve">PAIS DE NACIMIENTO </t>
        </is>
      </c>
      <c r="D2016" t="inlineStr">
        <is>
          <t>F4</t>
        </is>
      </c>
      <c r="E2016" t="inlineStr">
        <is>
          <t>INHERENTE</t>
        </is>
      </c>
      <c r="F2016" t="inlineStr">
        <is>
          <t>TANZANIA</t>
        </is>
      </c>
      <c r="G2016" t="inlineStr">
        <is>
          <t>TZ</t>
        </is>
      </c>
      <c r="H2016" t="n">
        <v>3</v>
      </c>
      <c r="I2016" t="n">
        <v>3</v>
      </c>
      <c r="J2016" t="n">
        <v>3</v>
      </c>
      <c r="K2016" t="n">
        <v>9</v>
      </c>
      <c r="L2016" t="n">
        <v>9</v>
      </c>
      <c r="M2016" t="n">
        <v>9</v>
      </c>
      <c r="N2016" t="n">
        <v>9</v>
      </c>
      <c r="O2016" t="n">
        <v>15</v>
      </c>
      <c r="P2016" t="n">
        <v>3</v>
      </c>
      <c r="R2016" s="9" t="n">
        <v>0.03</v>
      </c>
      <c r="S2016" s="10" t="inlineStr">
        <is>
          <t>SÍ — integrante</t>
        </is>
      </c>
      <c r="T2016" s="11" t="inlineStr">
        <is>
          <t>B · INTEGRANTE</t>
        </is>
      </c>
      <c r="U2016" s="11" t="inlineStr">
        <is>
          <t>DEL BANCO (se hereda)</t>
        </is>
      </c>
      <c r="V2016" s="11" t="n"/>
      <c r="W2016" s="12" t="n"/>
      <c r="X2016" s="12" t="n"/>
    </row>
    <row r="2017" ht="15" customHeight="1">
      <c r="C2017" t="inlineStr">
        <is>
          <t xml:space="preserve">PAIS DE NACIMIENTO </t>
        </is>
      </c>
      <c r="D2017" t="inlineStr">
        <is>
          <t>F4</t>
        </is>
      </c>
      <c r="E2017" t="inlineStr">
        <is>
          <t>INHERENTE</t>
        </is>
      </c>
      <c r="F2017" t="inlineStr">
        <is>
          <t>UCRANIA</t>
        </is>
      </c>
      <c r="G2017" t="inlineStr">
        <is>
          <t>UA</t>
        </is>
      </c>
      <c r="H2017" t="n">
        <v>2</v>
      </c>
      <c r="I2017" t="n">
        <v>2</v>
      </c>
      <c r="J2017" t="n">
        <v>3</v>
      </c>
      <c r="K2017" t="n">
        <v>6</v>
      </c>
      <c r="L2017" t="n">
        <v>6</v>
      </c>
      <c r="M2017" t="n">
        <v>6</v>
      </c>
      <c r="N2017" t="n">
        <v>6</v>
      </c>
      <c r="O2017" t="n">
        <v>15</v>
      </c>
      <c r="P2017" t="n">
        <v>3</v>
      </c>
      <c r="R2017" s="9" t="n">
        <v>0.03</v>
      </c>
      <c r="S2017" s="10" t="inlineStr">
        <is>
          <t>SÍ — integrante</t>
        </is>
      </c>
      <c r="T2017" s="11" t="inlineStr">
        <is>
          <t>B · INTEGRANTE</t>
        </is>
      </c>
      <c r="U2017" s="11" t="inlineStr">
        <is>
          <t>DEL BANCO (se hereda)</t>
        </is>
      </c>
      <c r="V2017" s="11" t="n"/>
      <c r="W2017" s="12" t="n"/>
      <c r="X2017" s="12" t="n"/>
    </row>
    <row r="2018" ht="15" customHeight="1">
      <c r="C2018" t="inlineStr">
        <is>
          <t xml:space="preserve">PAIS DE NACIMIENTO </t>
        </is>
      </c>
      <c r="D2018" t="inlineStr">
        <is>
          <t>F4</t>
        </is>
      </c>
      <c r="E2018" t="inlineStr">
        <is>
          <t>INHERENTE</t>
        </is>
      </c>
      <c r="F2018" t="inlineStr">
        <is>
          <t>UGANDA</t>
        </is>
      </c>
      <c r="G2018" t="inlineStr">
        <is>
          <t>UG</t>
        </is>
      </c>
      <c r="H2018" t="n">
        <v>3</v>
      </c>
      <c r="I2018" t="n">
        <v>3</v>
      </c>
      <c r="J2018" t="n">
        <v>3</v>
      </c>
      <c r="K2018" t="n">
        <v>9</v>
      </c>
      <c r="L2018" t="n">
        <v>9</v>
      </c>
      <c r="M2018" t="n">
        <v>9</v>
      </c>
      <c r="N2018" t="n">
        <v>9</v>
      </c>
      <c r="O2018" t="n">
        <v>15</v>
      </c>
      <c r="P2018" t="n">
        <v>3</v>
      </c>
      <c r="R2018" s="9" t="n">
        <v>0.03</v>
      </c>
      <c r="S2018" s="10" t="inlineStr">
        <is>
          <t>SÍ — integrante</t>
        </is>
      </c>
      <c r="T2018" s="11" t="inlineStr">
        <is>
          <t>B · INTEGRANTE</t>
        </is>
      </c>
      <c r="U2018" s="11" t="inlineStr">
        <is>
          <t>DEL BANCO (se hereda)</t>
        </is>
      </c>
      <c r="V2018" s="11" t="n"/>
      <c r="W2018" s="12" t="n"/>
      <c r="X2018" s="12" t="n"/>
    </row>
    <row r="2019" ht="15" customHeight="1">
      <c r="C2019" t="inlineStr">
        <is>
          <t xml:space="preserve">PAIS DE NACIMIENTO </t>
        </is>
      </c>
      <c r="D2019" t="inlineStr">
        <is>
          <t>F4</t>
        </is>
      </c>
      <c r="E2019" t="inlineStr">
        <is>
          <t>INHERENTE</t>
        </is>
      </c>
      <c r="F2019" t="inlineStr">
        <is>
          <t>REINO UNIDO</t>
        </is>
      </c>
      <c r="G2019" t="inlineStr">
        <is>
          <t>UK</t>
        </is>
      </c>
      <c r="H2019" t="n">
        <v>1</v>
      </c>
      <c r="I2019" t="n">
        <v>1</v>
      </c>
      <c r="J2019" t="n">
        <v>3</v>
      </c>
      <c r="K2019" t="n">
        <v>3</v>
      </c>
      <c r="L2019" t="n">
        <v>3</v>
      </c>
      <c r="M2019" t="n">
        <v>3</v>
      </c>
      <c r="N2019" t="n">
        <v>3</v>
      </c>
      <c r="O2019" t="n">
        <v>15</v>
      </c>
      <c r="P2019" t="n">
        <v>3</v>
      </c>
      <c r="R2019" s="9" t="n">
        <v>0.03</v>
      </c>
      <c r="S2019" s="10" t="inlineStr">
        <is>
          <t>SÍ — integrante</t>
        </is>
      </c>
      <c r="T2019" s="11" t="inlineStr">
        <is>
          <t>B · INTEGRANTE</t>
        </is>
      </c>
      <c r="U2019" s="11" t="inlineStr">
        <is>
          <t>DEL BANCO (se hereda)</t>
        </is>
      </c>
      <c r="V2019" s="11" t="n"/>
      <c r="W2019" s="12" t="n"/>
      <c r="X2019" s="12" t="n"/>
    </row>
    <row r="2020" ht="15" customHeight="1">
      <c r="C2020" t="inlineStr">
        <is>
          <t xml:space="preserve">PAIS DE NACIMIENTO </t>
        </is>
      </c>
      <c r="D2020" t="inlineStr">
        <is>
          <t>F4</t>
        </is>
      </c>
      <c r="E2020" t="inlineStr">
        <is>
          <t>INHERENTE</t>
        </is>
      </c>
      <c r="F2020" t="inlineStr">
        <is>
          <t>ISLAS REMOT. US</t>
        </is>
      </c>
      <c r="G2020" t="inlineStr">
        <is>
          <t>UM</t>
        </is>
      </c>
      <c r="H2020" t="n">
        <v>1</v>
      </c>
      <c r="I2020" t="n">
        <v>1</v>
      </c>
      <c r="J2020" t="n">
        <v>3</v>
      </c>
      <c r="K2020" t="n">
        <v>3</v>
      </c>
      <c r="L2020" t="n">
        <v>3</v>
      </c>
      <c r="M2020" t="n">
        <v>3</v>
      </c>
      <c r="N2020" t="n">
        <v>3</v>
      </c>
      <c r="O2020" t="n">
        <v>15</v>
      </c>
      <c r="P2020" t="n">
        <v>3</v>
      </c>
      <c r="R2020" s="9" t="n">
        <v>0.03</v>
      </c>
      <c r="S2020" s="10" t="inlineStr">
        <is>
          <t>SÍ — integrante</t>
        </is>
      </c>
      <c r="T2020" s="11" t="inlineStr">
        <is>
          <t>B · INTEGRANTE</t>
        </is>
      </c>
      <c r="U2020" s="11" t="inlineStr">
        <is>
          <t>DEL BANCO (se hereda)</t>
        </is>
      </c>
      <c r="V2020" s="11" t="n"/>
      <c r="W2020" s="12" t="n"/>
      <c r="X2020" s="12" t="n"/>
    </row>
    <row r="2021" ht="15" customHeight="1">
      <c r="C2021" t="inlineStr">
        <is>
          <t xml:space="preserve">PAIS DE NACIMIENTO </t>
        </is>
      </c>
      <c r="D2021" t="inlineStr">
        <is>
          <t>F4</t>
        </is>
      </c>
      <c r="E2021" t="inlineStr">
        <is>
          <t>INHERENTE</t>
        </is>
      </c>
      <c r="F2021" t="inlineStr">
        <is>
          <t>ESTADOS UNIDOS DE AM</t>
        </is>
      </c>
      <c r="G2021" t="inlineStr">
        <is>
          <t>US</t>
        </is>
      </c>
      <c r="H2021" t="n">
        <v>1</v>
      </c>
      <c r="I2021" t="n">
        <v>1</v>
      </c>
      <c r="J2021" t="n">
        <v>3</v>
      </c>
      <c r="K2021" t="n">
        <v>3</v>
      </c>
      <c r="L2021" t="n">
        <v>3</v>
      </c>
      <c r="M2021" t="n">
        <v>3</v>
      </c>
      <c r="N2021" t="n">
        <v>3</v>
      </c>
      <c r="O2021" t="n">
        <v>15</v>
      </c>
      <c r="P2021" t="n">
        <v>3</v>
      </c>
      <c r="R2021" s="9" t="n">
        <v>0.03</v>
      </c>
      <c r="S2021" s="10" t="inlineStr">
        <is>
          <t>SÍ — integrante</t>
        </is>
      </c>
      <c r="T2021" s="11" t="inlineStr">
        <is>
          <t>B · INTEGRANTE</t>
        </is>
      </c>
      <c r="U2021" s="11" t="inlineStr">
        <is>
          <t>DEL BANCO (se hereda)</t>
        </is>
      </c>
      <c r="V2021" s="11" t="n"/>
      <c r="W2021" s="12" t="n"/>
      <c r="X2021" s="12" t="n"/>
    </row>
    <row r="2022" ht="15" customHeight="1">
      <c r="C2022" t="inlineStr">
        <is>
          <t xml:space="preserve">PAIS DE NACIMIENTO </t>
        </is>
      </c>
      <c r="D2022" t="inlineStr">
        <is>
          <t>F4</t>
        </is>
      </c>
      <c r="E2022" t="inlineStr">
        <is>
          <t>INHERENTE</t>
        </is>
      </c>
      <c r="F2022" t="inlineStr">
        <is>
          <t>URUGUAY</t>
        </is>
      </c>
      <c r="G2022" t="inlineStr">
        <is>
          <t>UY</t>
        </is>
      </c>
      <c r="H2022" t="n">
        <v>1</v>
      </c>
      <c r="I2022" t="n">
        <v>1</v>
      </c>
      <c r="J2022" t="n">
        <v>3</v>
      </c>
      <c r="K2022" t="n">
        <v>3</v>
      </c>
      <c r="L2022" t="n">
        <v>3</v>
      </c>
      <c r="M2022" t="n">
        <v>3</v>
      </c>
      <c r="N2022" t="n">
        <v>3</v>
      </c>
      <c r="O2022" t="n">
        <v>15</v>
      </c>
      <c r="P2022" t="n">
        <v>3</v>
      </c>
      <c r="R2022" s="9" t="n">
        <v>0.03</v>
      </c>
      <c r="S2022" s="10" t="inlineStr">
        <is>
          <t>SÍ — integrante</t>
        </is>
      </c>
      <c r="T2022" s="11" t="inlineStr">
        <is>
          <t>B · INTEGRANTE</t>
        </is>
      </c>
      <c r="U2022" s="11" t="inlineStr">
        <is>
          <t>DEL BANCO (se hereda)</t>
        </is>
      </c>
      <c r="V2022" s="11" t="n"/>
      <c r="W2022" s="12" t="n"/>
      <c r="X2022" s="12" t="n"/>
    </row>
    <row r="2023" ht="15" customHeight="1">
      <c r="C2023" t="inlineStr">
        <is>
          <t xml:space="preserve">PAIS DE NACIMIENTO </t>
        </is>
      </c>
      <c r="D2023" t="inlineStr">
        <is>
          <t>F4</t>
        </is>
      </c>
      <c r="E2023" t="inlineStr">
        <is>
          <t>INHERENTE</t>
        </is>
      </c>
      <c r="F2023" t="inlineStr">
        <is>
          <t>UZBEKISTAN</t>
        </is>
      </c>
      <c r="G2023" t="inlineStr">
        <is>
          <t>UZ</t>
        </is>
      </c>
      <c r="H2023" t="n">
        <v>2</v>
      </c>
      <c r="I2023" t="n">
        <v>2</v>
      </c>
      <c r="J2023" t="n">
        <v>3</v>
      </c>
      <c r="K2023" t="n">
        <v>6</v>
      </c>
      <c r="L2023" t="n">
        <v>6</v>
      </c>
      <c r="M2023" t="n">
        <v>6</v>
      </c>
      <c r="N2023" t="n">
        <v>6</v>
      </c>
      <c r="O2023" t="n">
        <v>15</v>
      </c>
      <c r="P2023" t="n">
        <v>3</v>
      </c>
      <c r="R2023" s="9" t="n">
        <v>0.03</v>
      </c>
      <c r="S2023" s="10" t="inlineStr">
        <is>
          <t>SÍ — integrante</t>
        </is>
      </c>
      <c r="T2023" s="11" t="inlineStr">
        <is>
          <t>B · INTEGRANTE</t>
        </is>
      </c>
      <c r="U2023" s="11" t="inlineStr">
        <is>
          <t>DEL BANCO (se hereda)</t>
        </is>
      </c>
      <c r="V2023" s="11" t="n"/>
      <c r="W2023" s="12" t="n"/>
      <c r="X2023" s="12" t="n"/>
    </row>
    <row r="2024" ht="15" customHeight="1">
      <c r="C2024" t="inlineStr">
        <is>
          <t xml:space="preserve">PAIS DE NACIMIENTO </t>
        </is>
      </c>
      <c r="D2024" t="inlineStr">
        <is>
          <t>F4</t>
        </is>
      </c>
      <c r="E2024" t="inlineStr">
        <is>
          <t>INHERENTE</t>
        </is>
      </c>
      <c r="F2024" t="inlineStr">
        <is>
          <t>ISLA DE MARGARITA</t>
        </is>
      </c>
      <c r="G2024" t="inlineStr">
        <is>
          <t>VA</t>
        </is>
      </c>
      <c r="H2024" t="n">
        <v>1</v>
      </c>
      <c r="I2024" t="n">
        <v>1</v>
      </c>
      <c r="J2024" t="n">
        <v>3</v>
      </c>
      <c r="K2024" t="n">
        <v>3</v>
      </c>
      <c r="L2024" t="n">
        <v>3</v>
      </c>
      <c r="M2024" t="n">
        <v>3</v>
      </c>
      <c r="N2024" t="n">
        <v>3</v>
      </c>
      <c r="O2024" t="n">
        <v>15</v>
      </c>
      <c r="P2024" t="n">
        <v>3</v>
      </c>
      <c r="R2024" s="9" t="n">
        <v>0.03</v>
      </c>
      <c r="S2024" s="10" t="inlineStr">
        <is>
          <t>SÍ — integrante</t>
        </is>
      </c>
      <c r="T2024" s="11" t="inlineStr">
        <is>
          <t>B · INTEGRANTE</t>
        </is>
      </c>
      <c r="U2024" s="11" t="inlineStr">
        <is>
          <t>DEL BANCO (se hereda)</t>
        </is>
      </c>
      <c r="V2024" s="11" t="n"/>
      <c r="W2024" s="12" t="n"/>
      <c r="X2024" s="12" t="n"/>
    </row>
    <row r="2025" ht="15" customHeight="1">
      <c r="C2025" t="inlineStr">
        <is>
          <t xml:space="preserve">PAIS DE NACIMIENTO </t>
        </is>
      </c>
      <c r="D2025" t="inlineStr">
        <is>
          <t>F4</t>
        </is>
      </c>
      <c r="E2025" t="inlineStr">
        <is>
          <t>INHERENTE</t>
        </is>
      </c>
      <c r="F2025" t="inlineStr">
        <is>
          <t>SAN VINCENTE Y LAS G</t>
        </is>
      </c>
      <c r="G2025" t="inlineStr">
        <is>
          <t>VC</t>
        </is>
      </c>
      <c r="H2025" t="n">
        <v>3</v>
      </c>
      <c r="I2025" t="n">
        <v>3</v>
      </c>
      <c r="J2025" t="n">
        <v>3</v>
      </c>
      <c r="K2025" t="n">
        <v>9</v>
      </c>
      <c r="L2025" t="n">
        <v>9</v>
      </c>
      <c r="M2025" t="n">
        <v>9</v>
      </c>
      <c r="N2025" t="n">
        <v>9</v>
      </c>
      <c r="O2025" t="n">
        <v>15</v>
      </c>
      <c r="P2025" t="n">
        <v>3</v>
      </c>
      <c r="R2025" s="9" t="n">
        <v>0.03</v>
      </c>
      <c r="S2025" s="10" t="inlineStr">
        <is>
          <t>SÍ — integrante</t>
        </is>
      </c>
      <c r="T2025" s="11" t="inlineStr">
        <is>
          <t>B · INTEGRANTE</t>
        </is>
      </c>
      <c r="U2025" s="11" t="inlineStr">
        <is>
          <t>DEL BANCO (se hereda)</t>
        </is>
      </c>
      <c r="V2025" s="11" t="n"/>
      <c r="W2025" s="12" t="n"/>
      <c r="X2025" s="12" t="n"/>
    </row>
    <row r="2026" ht="15" customHeight="1">
      <c r="C2026" t="inlineStr">
        <is>
          <t xml:space="preserve">PAIS DE NACIMIENTO </t>
        </is>
      </c>
      <c r="D2026" t="inlineStr">
        <is>
          <t>F4</t>
        </is>
      </c>
      <c r="E2026" t="inlineStr">
        <is>
          <t>INHERENTE</t>
        </is>
      </c>
      <c r="F2026" t="inlineStr">
        <is>
          <t>VENEZUELA</t>
        </is>
      </c>
      <c r="G2026" t="inlineStr">
        <is>
          <t>VE</t>
        </is>
      </c>
      <c r="H2026" t="n">
        <v>4</v>
      </c>
      <c r="I2026" t="n">
        <v>4</v>
      </c>
      <c r="J2026" t="n">
        <v>3</v>
      </c>
      <c r="K2026" t="n">
        <v>12</v>
      </c>
      <c r="L2026" t="n">
        <v>12</v>
      </c>
      <c r="M2026" t="n">
        <v>12</v>
      </c>
      <c r="N2026" t="n">
        <v>12</v>
      </c>
      <c r="O2026" t="n">
        <v>15</v>
      </c>
      <c r="P2026" t="n">
        <v>3</v>
      </c>
      <c r="Q2026" t="inlineStr">
        <is>
          <t>DETERMINANTE</t>
        </is>
      </c>
      <c r="R2026" s="9" t="n">
        <v>0.03</v>
      </c>
      <c r="S2026" s="10" t="inlineStr">
        <is>
          <t>SÍ — integrante</t>
        </is>
      </c>
      <c r="T2026" s="11" t="inlineStr">
        <is>
          <t>B · INTEGRANTE</t>
        </is>
      </c>
      <c r="U2026" s="11" t="inlineStr">
        <is>
          <t>DEL BANCO (se hereda)</t>
        </is>
      </c>
      <c r="V2026" s="11" t="n"/>
      <c r="W2026" s="12" t="n"/>
      <c r="X2026" s="12" t="n"/>
    </row>
    <row r="2027" ht="15" customHeight="1">
      <c r="C2027" t="inlineStr">
        <is>
          <t xml:space="preserve">PAIS DE NACIMIENTO </t>
        </is>
      </c>
      <c r="D2027" t="inlineStr">
        <is>
          <t>F4</t>
        </is>
      </c>
      <c r="E2027" t="inlineStr">
        <is>
          <t>INHERENTE</t>
        </is>
      </c>
      <c r="F2027" t="inlineStr">
        <is>
          <t>ISLAS VIRGENES DE EU</t>
        </is>
      </c>
      <c r="G2027" t="inlineStr">
        <is>
          <t>VG</t>
        </is>
      </c>
      <c r="H2027" t="n">
        <v>3</v>
      </c>
      <c r="I2027" t="n">
        <v>3</v>
      </c>
      <c r="J2027" t="n">
        <v>3</v>
      </c>
      <c r="K2027" t="n">
        <v>9</v>
      </c>
      <c r="L2027" t="n">
        <v>9</v>
      </c>
      <c r="M2027" t="n">
        <v>9</v>
      </c>
      <c r="N2027" t="n">
        <v>9</v>
      </c>
      <c r="O2027" t="n">
        <v>15</v>
      </c>
      <c r="P2027" t="n">
        <v>3</v>
      </c>
      <c r="R2027" s="9" t="n">
        <v>0.03</v>
      </c>
      <c r="S2027" s="10" t="inlineStr">
        <is>
          <t>SÍ — integrante</t>
        </is>
      </c>
      <c r="T2027" s="11" t="inlineStr">
        <is>
          <t>B · INTEGRANTE</t>
        </is>
      </c>
      <c r="U2027" s="11" t="inlineStr">
        <is>
          <t>DEL BANCO (se hereda)</t>
        </is>
      </c>
      <c r="V2027" s="11" t="n"/>
      <c r="W2027" s="12" t="n"/>
      <c r="X2027" s="12" t="n"/>
    </row>
    <row r="2028" ht="15" customHeight="1">
      <c r="C2028" t="inlineStr">
        <is>
          <t xml:space="preserve">PAIS DE NACIMIENTO </t>
        </is>
      </c>
      <c r="D2028" t="inlineStr">
        <is>
          <t>F4</t>
        </is>
      </c>
      <c r="E2028" t="inlineStr">
        <is>
          <t>INHERENTE</t>
        </is>
      </c>
      <c r="F2028" t="inlineStr">
        <is>
          <t>VIETNAM</t>
        </is>
      </c>
      <c r="G2028" t="inlineStr">
        <is>
          <t>VI</t>
        </is>
      </c>
      <c r="H2028" t="n">
        <v>4</v>
      </c>
      <c r="I2028" t="n">
        <v>4</v>
      </c>
      <c r="J2028" t="n">
        <v>3</v>
      </c>
      <c r="K2028" t="n">
        <v>12</v>
      </c>
      <c r="L2028" t="n">
        <v>12</v>
      </c>
      <c r="M2028" t="n">
        <v>12</v>
      </c>
      <c r="N2028" t="n">
        <v>12</v>
      </c>
      <c r="O2028" t="n">
        <v>15</v>
      </c>
      <c r="P2028" t="n">
        <v>3</v>
      </c>
      <c r="Q2028" t="inlineStr">
        <is>
          <t>DETERMINANTE</t>
        </is>
      </c>
      <c r="R2028" s="9" t="n">
        <v>0.03</v>
      </c>
      <c r="S2028" s="10" t="inlineStr">
        <is>
          <t>SÍ — integrante</t>
        </is>
      </c>
      <c r="T2028" s="11" t="inlineStr">
        <is>
          <t>B · INTEGRANTE</t>
        </is>
      </c>
      <c r="U2028" s="11" t="inlineStr">
        <is>
          <t>DEL BANCO (se hereda)</t>
        </is>
      </c>
      <c r="V2028" s="11" t="n"/>
      <c r="W2028" s="12" t="n"/>
      <c r="X2028" s="12" t="n"/>
    </row>
    <row r="2029" ht="15" customHeight="1">
      <c r="C2029" t="inlineStr">
        <is>
          <t xml:space="preserve">PAIS DE NACIMIENTO </t>
        </is>
      </c>
      <c r="D2029" t="inlineStr">
        <is>
          <t>F4</t>
        </is>
      </c>
      <c r="E2029" t="inlineStr">
        <is>
          <t>INHERENTE</t>
        </is>
      </c>
      <c r="F2029" t="inlineStr">
        <is>
          <t>VANUATU</t>
        </is>
      </c>
      <c r="G2029" t="inlineStr">
        <is>
          <t>VN</t>
        </is>
      </c>
      <c r="H2029" t="n">
        <v>2</v>
      </c>
      <c r="I2029" t="n">
        <v>2</v>
      </c>
      <c r="J2029" t="n">
        <v>3</v>
      </c>
      <c r="K2029" t="n">
        <v>6</v>
      </c>
      <c r="L2029" t="n">
        <v>6</v>
      </c>
      <c r="M2029" t="n">
        <v>6</v>
      </c>
      <c r="N2029" t="n">
        <v>6</v>
      </c>
      <c r="O2029" t="n">
        <v>15</v>
      </c>
      <c r="P2029" t="n">
        <v>3</v>
      </c>
      <c r="R2029" s="9" t="n">
        <v>0.03</v>
      </c>
      <c r="S2029" s="10" t="inlineStr">
        <is>
          <t>SÍ — integrante</t>
        </is>
      </c>
      <c r="T2029" s="11" t="inlineStr">
        <is>
          <t>B · INTEGRANTE</t>
        </is>
      </c>
      <c r="U2029" s="11" t="inlineStr">
        <is>
          <t>DEL BANCO (se hereda)</t>
        </is>
      </c>
      <c r="V2029" s="11" t="n"/>
      <c r="W2029" s="12" t="n"/>
      <c r="X2029" s="12" t="n"/>
    </row>
    <row r="2030" ht="15" customHeight="1">
      <c r="C2030" t="inlineStr">
        <is>
          <t xml:space="preserve">PAIS DE NACIMIENTO </t>
        </is>
      </c>
      <c r="D2030" t="inlineStr">
        <is>
          <t>F4</t>
        </is>
      </c>
      <c r="E2030" t="inlineStr">
        <is>
          <t>INHERENTE</t>
        </is>
      </c>
      <c r="F2030" t="inlineStr">
        <is>
          <t>MADEIRA</t>
        </is>
      </c>
      <c r="G2030" t="inlineStr">
        <is>
          <t>VU</t>
        </is>
      </c>
      <c r="H2030" t="n">
        <v>3</v>
      </c>
      <c r="I2030" t="n">
        <v>3</v>
      </c>
      <c r="J2030" t="n">
        <v>3</v>
      </c>
      <c r="K2030" t="n">
        <v>9</v>
      </c>
      <c r="L2030" t="n">
        <v>9</v>
      </c>
      <c r="M2030" t="n">
        <v>9</v>
      </c>
      <c r="N2030" t="n">
        <v>9</v>
      </c>
      <c r="O2030" t="n">
        <v>15</v>
      </c>
      <c r="P2030" t="n">
        <v>3</v>
      </c>
      <c r="R2030" s="9" t="n">
        <v>0.03</v>
      </c>
      <c r="S2030" s="10" t="inlineStr">
        <is>
          <t>SÍ — integrante</t>
        </is>
      </c>
      <c r="T2030" s="11" t="inlineStr">
        <is>
          <t>B · INTEGRANTE</t>
        </is>
      </c>
      <c r="U2030" s="11" t="inlineStr">
        <is>
          <t>DEL BANCO (se hereda)</t>
        </is>
      </c>
      <c r="V2030" s="11" t="n"/>
      <c r="W2030" s="12" t="n"/>
      <c r="X2030" s="12" t="n"/>
    </row>
    <row r="2031" ht="15" customHeight="1">
      <c r="C2031" t="inlineStr">
        <is>
          <t xml:space="preserve">PAIS DE NACIMIENTO </t>
        </is>
      </c>
      <c r="D2031" t="inlineStr">
        <is>
          <t>F4</t>
        </is>
      </c>
      <c r="E2031" t="inlineStr">
        <is>
          <t>INHERENTE</t>
        </is>
      </c>
      <c r="F2031" t="inlineStr">
        <is>
          <t>ISLA DE SAN PEDRO Y</t>
        </is>
      </c>
      <c r="G2031" t="inlineStr">
        <is>
          <t>WF</t>
        </is>
      </c>
      <c r="H2031" t="n">
        <v>1</v>
      </c>
      <c r="I2031" t="n">
        <v>1</v>
      </c>
      <c r="J2031" t="n">
        <v>3</v>
      </c>
      <c r="K2031" t="n">
        <v>3</v>
      </c>
      <c r="L2031" t="n">
        <v>3</v>
      </c>
      <c r="M2031" t="n">
        <v>3</v>
      </c>
      <c r="N2031" t="n">
        <v>3</v>
      </c>
      <c r="O2031" t="n">
        <v>15</v>
      </c>
      <c r="P2031" t="n">
        <v>3</v>
      </c>
      <c r="R2031" s="9" t="n">
        <v>0.03</v>
      </c>
      <c r="S2031" s="10" t="inlineStr">
        <is>
          <t>SÍ — integrante</t>
        </is>
      </c>
      <c r="T2031" s="11" t="inlineStr">
        <is>
          <t>B · INTEGRANTE</t>
        </is>
      </c>
      <c r="U2031" s="11" t="inlineStr">
        <is>
          <t>DEL BANCO (se hereda)</t>
        </is>
      </c>
      <c r="V2031" s="11" t="n"/>
      <c r="W2031" s="12" t="n"/>
      <c r="X2031" s="12" t="n"/>
    </row>
    <row r="2032" ht="15" customHeight="1">
      <c r="C2032" t="inlineStr">
        <is>
          <t xml:space="preserve">PAIS DE NACIMIENTO </t>
        </is>
      </c>
      <c r="D2032" t="inlineStr">
        <is>
          <t>F4</t>
        </is>
      </c>
      <c r="E2032" t="inlineStr">
        <is>
          <t>INHERENTE</t>
        </is>
      </c>
      <c r="F2032" t="inlineStr">
        <is>
          <t>SAMOA AMERICANA</t>
        </is>
      </c>
      <c r="G2032" t="inlineStr">
        <is>
          <t>WS</t>
        </is>
      </c>
      <c r="H2032" t="n">
        <v>1</v>
      </c>
      <c r="I2032" t="n">
        <v>1</v>
      </c>
      <c r="J2032" t="n">
        <v>3</v>
      </c>
      <c r="K2032" t="n">
        <v>3</v>
      </c>
      <c r="L2032" t="n">
        <v>3</v>
      </c>
      <c r="M2032" t="n">
        <v>3</v>
      </c>
      <c r="N2032" t="n">
        <v>3</v>
      </c>
      <c r="O2032" t="n">
        <v>15</v>
      </c>
      <c r="P2032" t="n">
        <v>3</v>
      </c>
      <c r="R2032" s="9" t="n">
        <v>0.03</v>
      </c>
      <c r="S2032" s="10" t="inlineStr">
        <is>
          <t>SÍ — integrante</t>
        </is>
      </c>
      <c r="T2032" s="11" t="inlineStr">
        <is>
          <t>B · INTEGRANTE</t>
        </is>
      </c>
      <c r="U2032" s="11" t="inlineStr">
        <is>
          <t>DEL BANCO (se hereda)</t>
        </is>
      </c>
      <c r="V2032" s="11" t="n"/>
      <c r="W2032" s="12" t="n"/>
      <c r="X2032" s="12" t="n"/>
    </row>
    <row r="2033" ht="15" customHeight="1">
      <c r="C2033" t="inlineStr">
        <is>
          <t xml:space="preserve">PAIS DE NACIMIENTO </t>
        </is>
      </c>
      <c r="D2033" t="inlineStr">
        <is>
          <t>F4</t>
        </is>
      </c>
      <c r="E2033" t="inlineStr">
        <is>
          <t>INHERENTE</t>
        </is>
      </c>
      <c r="F2033" t="inlineStr">
        <is>
          <t>ISLAS CANARIAS</t>
        </is>
      </c>
      <c r="G2033" t="inlineStr">
        <is>
          <t>XE</t>
        </is>
      </c>
      <c r="H2033" t="n">
        <v>1</v>
      </c>
      <c r="I2033" t="n">
        <v>1</v>
      </c>
      <c r="J2033" t="n">
        <v>3</v>
      </c>
      <c r="K2033" t="n">
        <v>3</v>
      </c>
      <c r="L2033" t="n">
        <v>3</v>
      </c>
      <c r="M2033" t="n">
        <v>3</v>
      </c>
      <c r="N2033" t="n">
        <v>3</v>
      </c>
      <c r="O2033" t="n">
        <v>15</v>
      </c>
      <c r="P2033" t="n">
        <v>3</v>
      </c>
      <c r="R2033" s="9" t="n">
        <v>0.03</v>
      </c>
      <c r="S2033" s="10" t="inlineStr">
        <is>
          <t>SÍ — integrante</t>
        </is>
      </c>
      <c r="T2033" s="11" t="inlineStr">
        <is>
          <t>B · INTEGRANTE</t>
        </is>
      </c>
      <c r="U2033" s="11" t="inlineStr">
        <is>
          <t>DEL BANCO (se hereda)</t>
        </is>
      </c>
      <c r="V2033" s="11" t="n"/>
      <c r="W2033" s="12" t="n"/>
      <c r="X2033" s="12" t="n"/>
    </row>
    <row r="2034" ht="15" customHeight="1">
      <c r="C2034" t="inlineStr">
        <is>
          <t xml:space="preserve">PAIS DE NACIMIENTO </t>
        </is>
      </c>
      <c r="D2034" t="inlineStr">
        <is>
          <t>F4</t>
        </is>
      </c>
      <c r="E2034" t="inlineStr">
        <is>
          <t>INHERENTE</t>
        </is>
      </c>
      <c r="F2034" t="inlineStr">
        <is>
          <t>ISLAS AZORES PORTUGA</t>
        </is>
      </c>
      <c r="G2034" t="inlineStr">
        <is>
          <t>XG</t>
        </is>
      </c>
      <c r="H2034" t="n">
        <v>1</v>
      </c>
      <c r="I2034" t="n">
        <v>1</v>
      </c>
      <c r="J2034" t="n">
        <v>3</v>
      </c>
      <c r="K2034" t="n">
        <v>3</v>
      </c>
      <c r="L2034" t="n">
        <v>3</v>
      </c>
      <c r="M2034" t="n">
        <v>3</v>
      </c>
      <c r="N2034" t="n">
        <v>3</v>
      </c>
      <c r="O2034" t="n">
        <v>15</v>
      </c>
      <c r="P2034" t="n">
        <v>3</v>
      </c>
      <c r="R2034" s="9" t="n">
        <v>0.03</v>
      </c>
      <c r="S2034" s="10" t="inlineStr">
        <is>
          <t>SÍ — integrante</t>
        </is>
      </c>
      <c r="T2034" s="11" t="inlineStr">
        <is>
          <t>B · INTEGRANTE</t>
        </is>
      </c>
      <c r="U2034" s="11" t="inlineStr">
        <is>
          <t>DEL BANCO (se hereda)</t>
        </is>
      </c>
      <c r="V2034" s="11" t="n"/>
      <c r="W2034" s="12" t="n"/>
      <c r="X2034" s="12" t="n"/>
    </row>
    <row r="2035" ht="15" customHeight="1">
      <c r="C2035" t="inlineStr">
        <is>
          <t xml:space="preserve">PAIS DE NACIMIENTO </t>
        </is>
      </c>
      <c r="D2035" t="inlineStr">
        <is>
          <t>F4</t>
        </is>
      </c>
      <c r="E2035" t="inlineStr">
        <is>
          <t>INHERENTE</t>
        </is>
      </c>
      <c r="F2035" t="inlineStr">
        <is>
          <t>LABUAN MALAYSIA</t>
        </is>
      </c>
      <c r="G2035" t="inlineStr">
        <is>
          <t>XS</t>
        </is>
      </c>
      <c r="H2035" t="n">
        <v>3</v>
      </c>
      <c r="I2035" t="n">
        <v>3</v>
      </c>
      <c r="J2035" t="n">
        <v>3</v>
      </c>
      <c r="K2035" t="n">
        <v>9</v>
      </c>
      <c r="L2035" t="n">
        <v>9</v>
      </c>
      <c r="M2035" t="n">
        <v>9</v>
      </c>
      <c r="N2035" t="n">
        <v>9</v>
      </c>
      <c r="O2035" t="n">
        <v>15</v>
      </c>
      <c r="P2035" t="n">
        <v>3</v>
      </c>
      <c r="R2035" s="9" t="n">
        <v>0.03</v>
      </c>
      <c r="S2035" s="10" t="inlineStr">
        <is>
          <t>SÍ — integrante</t>
        </is>
      </c>
      <c r="T2035" s="11" t="inlineStr">
        <is>
          <t>B · INTEGRANTE</t>
        </is>
      </c>
      <c r="U2035" s="11" t="inlineStr">
        <is>
          <t>DEL BANCO (se hereda)</t>
        </is>
      </c>
      <c r="V2035" s="11" t="n"/>
      <c r="W2035" s="12" t="n"/>
      <c r="X2035" s="12" t="n"/>
    </row>
    <row r="2036" ht="15" customHeight="1">
      <c r="C2036" t="inlineStr">
        <is>
          <t xml:space="preserve">PAIS DE NACIMIENTO </t>
        </is>
      </c>
      <c r="D2036" t="inlineStr">
        <is>
          <t>F4</t>
        </is>
      </c>
      <c r="E2036" t="inlineStr">
        <is>
          <t>INHERENTE</t>
        </is>
      </c>
      <c r="F2036" t="inlineStr">
        <is>
          <t>YEMEN</t>
        </is>
      </c>
      <c r="G2036" t="inlineStr">
        <is>
          <t>YE</t>
        </is>
      </c>
      <c r="H2036" t="n">
        <v>4</v>
      </c>
      <c r="I2036" t="n">
        <v>4</v>
      </c>
      <c r="J2036" t="n">
        <v>3</v>
      </c>
      <c r="K2036" t="n">
        <v>12</v>
      </c>
      <c r="L2036" t="n">
        <v>12</v>
      </c>
      <c r="M2036" t="n">
        <v>12</v>
      </c>
      <c r="N2036" t="n">
        <v>12</v>
      </c>
      <c r="O2036" t="n">
        <v>15</v>
      </c>
      <c r="P2036" t="n">
        <v>3</v>
      </c>
      <c r="Q2036" t="inlineStr">
        <is>
          <t>DETERMINANTE</t>
        </is>
      </c>
      <c r="R2036" s="9" t="n">
        <v>0.03</v>
      </c>
      <c r="S2036" s="10" t="inlineStr">
        <is>
          <t>SÍ — integrante</t>
        </is>
      </c>
      <c r="T2036" s="11" t="inlineStr">
        <is>
          <t>B · INTEGRANTE</t>
        </is>
      </c>
      <c r="U2036" s="11" t="inlineStr">
        <is>
          <t>DEL BANCO (se hereda)</t>
        </is>
      </c>
      <c r="V2036" s="11" t="n"/>
      <c r="W2036" s="12" t="n"/>
      <c r="X2036" s="12" t="n"/>
    </row>
    <row r="2037" ht="15" customHeight="1">
      <c r="C2037" t="inlineStr">
        <is>
          <t xml:space="preserve">PAIS DE NACIMIENTO </t>
        </is>
      </c>
      <c r="D2037" t="inlineStr">
        <is>
          <t>F4</t>
        </is>
      </c>
      <c r="E2037" t="inlineStr">
        <is>
          <t>INHERENTE</t>
        </is>
      </c>
      <c r="F2037" t="inlineStr">
        <is>
          <t>MAYOTTE</t>
        </is>
      </c>
      <c r="G2037" t="inlineStr">
        <is>
          <t>YT</t>
        </is>
      </c>
      <c r="H2037" t="n">
        <v>1</v>
      </c>
      <c r="I2037" t="n">
        <v>1</v>
      </c>
      <c r="J2037" t="n">
        <v>3</v>
      </c>
      <c r="K2037" t="n">
        <v>3</v>
      </c>
      <c r="L2037" t="n">
        <v>3</v>
      </c>
      <c r="M2037" t="n">
        <v>3</v>
      </c>
      <c r="N2037" t="n">
        <v>3</v>
      </c>
      <c r="O2037" t="n">
        <v>15</v>
      </c>
      <c r="P2037" t="n">
        <v>3</v>
      </c>
      <c r="R2037" s="9" t="n">
        <v>0.03</v>
      </c>
      <c r="S2037" s="10" t="inlineStr">
        <is>
          <t>SÍ — integrante</t>
        </is>
      </c>
      <c r="T2037" s="11" t="inlineStr">
        <is>
          <t>B · INTEGRANTE</t>
        </is>
      </c>
      <c r="U2037" s="11" t="inlineStr">
        <is>
          <t>DEL BANCO (se hereda)</t>
        </is>
      </c>
      <c r="V2037" s="11" t="n"/>
      <c r="W2037" s="12" t="n"/>
      <c r="X2037" s="12" t="n"/>
    </row>
    <row r="2038" ht="15" customHeight="1">
      <c r="C2038" t="inlineStr">
        <is>
          <t xml:space="preserve">PAIS DE NACIMIENTO </t>
        </is>
      </c>
      <c r="D2038" t="inlineStr">
        <is>
          <t>F4</t>
        </is>
      </c>
      <c r="E2038" t="inlineStr">
        <is>
          <t>INHERENTE</t>
        </is>
      </c>
      <c r="F2038" t="inlineStr">
        <is>
          <t>ISLA QESHM, IRAN</t>
        </is>
      </c>
      <c r="G2038" t="inlineStr">
        <is>
          <t>YU</t>
        </is>
      </c>
      <c r="H2038" t="n">
        <v>5</v>
      </c>
      <c r="I2038" t="n">
        <v>5</v>
      </c>
      <c r="J2038" t="n">
        <v>3</v>
      </c>
      <c r="K2038" t="n">
        <v>15</v>
      </c>
      <c r="L2038" t="n">
        <v>15</v>
      </c>
      <c r="M2038" t="n">
        <v>15</v>
      </c>
      <c r="N2038" t="n">
        <v>15</v>
      </c>
      <c r="O2038" t="n">
        <v>15</v>
      </c>
      <c r="P2038" t="n">
        <v>3</v>
      </c>
      <c r="Q2038" t="inlineStr">
        <is>
          <t>PROHIBITIVO</t>
        </is>
      </c>
      <c r="R2038" s="9" t="n">
        <v>0.03</v>
      </c>
      <c r="S2038" s="10" t="inlineStr">
        <is>
          <t>SÍ — integrante</t>
        </is>
      </c>
      <c r="T2038" s="11" t="inlineStr">
        <is>
          <t>B · INTEGRANTE</t>
        </is>
      </c>
      <c r="U2038" s="11" t="inlineStr">
        <is>
          <t>DEL BANCO (se hereda)</t>
        </is>
      </c>
      <c r="V2038" s="11" t="n"/>
      <c r="W2038" s="12" t="n"/>
      <c r="X2038" s="12" t="n"/>
    </row>
    <row r="2039" ht="15" customHeight="1">
      <c r="C2039" t="inlineStr">
        <is>
          <t xml:space="preserve">PAIS DE NACIMIENTO </t>
        </is>
      </c>
      <c r="D2039" t="inlineStr">
        <is>
          <t>F4</t>
        </is>
      </c>
      <c r="E2039" t="inlineStr">
        <is>
          <t>INHERENTE</t>
        </is>
      </c>
      <c r="F2039" t="inlineStr">
        <is>
          <t>SUDAFRICA</t>
        </is>
      </c>
      <c r="G2039" t="inlineStr">
        <is>
          <t>ZA</t>
        </is>
      </c>
      <c r="H2039" t="n">
        <v>3</v>
      </c>
      <c r="I2039" t="n">
        <v>3</v>
      </c>
      <c r="J2039" t="n">
        <v>3</v>
      </c>
      <c r="K2039" t="n">
        <v>9</v>
      </c>
      <c r="L2039" t="n">
        <v>9</v>
      </c>
      <c r="M2039" t="n">
        <v>9</v>
      </c>
      <c r="N2039" t="n">
        <v>9</v>
      </c>
      <c r="O2039" t="n">
        <v>15</v>
      </c>
      <c r="P2039" t="n">
        <v>3</v>
      </c>
      <c r="R2039" s="9" t="n">
        <v>0.03</v>
      </c>
      <c r="S2039" s="10" t="inlineStr">
        <is>
          <t>SÍ — integrante</t>
        </is>
      </c>
      <c r="T2039" s="11" t="inlineStr">
        <is>
          <t>B · INTEGRANTE</t>
        </is>
      </c>
      <c r="U2039" s="11" t="inlineStr">
        <is>
          <t>DEL BANCO (se hereda)</t>
        </is>
      </c>
      <c r="V2039" s="11" t="n"/>
      <c r="W2039" s="12" t="n"/>
      <c r="X2039" s="12" t="n"/>
    </row>
    <row r="2040" ht="15" customHeight="1">
      <c r="C2040" t="inlineStr">
        <is>
          <t xml:space="preserve">PAIS DE NACIMIENTO </t>
        </is>
      </c>
      <c r="D2040" t="inlineStr">
        <is>
          <t>F4</t>
        </is>
      </c>
      <c r="E2040" t="inlineStr">
        <is>
          <t>INHERENTE</t>
        </is>
      </c>
      <c r="F2040" t="inlineStr">
        <is>
          <t>ZAMBIA</t>
        </is>
      </c>
      <c r="G2040" t="inlineStr">
        <is>
          <t>ZM</t>
        </is>
      </c>
      <c r="H2040" t="n">
        <v>2</v>
      </c>
      <c r="I2040" t="n">
        <v>2</v>
      </c>
      <c r="J2040" t="n">
        <v>3</v>
      </c>
      <c r="K2040" t="n">
        <v>6</v>
      </c>
      <c r="L2040" t="n">
        <v>6</v>
      </c>
      <c r="M2040" t="n">
        <v>6</v>
      </c>
      <c r="N2040" t="n">
        <v>6</v>
      </c>
      <c r="O2040" t="n">
        <v>15</v>
      </c>
      <c r="P2040" t="n">
        <v>3</v>
      </c>
      <c r="R2040" s="9" t="n">
        <v>0.03</v>
      </c>
      <c r="S2040" s="10" t="inlineStr">
        <is>
          <t>SÍ — integrante</t>
        </is>
      </c>
      <c r="T2040" s="11" t="inlineStr">
        <is>
          <t>B · INTEGRANTE</t>
        </is>
      </c>
      <c r="U2040" s="11" t="inlineStr">
        <is>
          <t>DEL BANCO (se hereda)</t>
        </is>
      </c>
      <c r="V2040" s="11" t="n"/>
      <c r="W2040" s="12" t="n"/>
      <c r="X2040" s="12" t="n"/>
    </row>
    <row r="2041" ht="15" customHeight="1">
      <c r="C2041" t="inlineStr">
        <is>
          <t xml:space="preserve">PAIS DE NACIMIENTO </t>
        </is>
      </c>
      <c r="D2041" t="inlineStr">
        <is>
          <t>F4</t>
        </is>
      </c>
      <c r="E2041" t="inlineStr">
        <is>
          <t>INHERENTE</t>
        </is>
      </c>
      <c r="F2041" t="inlineStr">
        <is>
          <t>ZIMBABUE</t>
        </is>
      </c>
      <c r="G2041" t="inlineStr">
        <is>
          <t>ZW</t>
        </is>
      </c>
      <c r="H2041" t="n">
        <v>4</v>
      </c>
      <c r="I2041" t="n">
        <v>4</v>
      </c>
      <c r="J2041" t="n">
        <v>3</v>
      </c>
      <c r="K2041" t="n">
        <v>12</v>
      </c>
      <c r="L2041" t="n">
        <v>12</v>
      </c>
      <c r="M2041" t="n">
        <v>12</v>
      </c>
      <c r="N2041" t="n">
        <v>12</v>
      </c>
      <c r="O2041" t="n">
        <v>15</v>
      </c>
      <c r="P2041" t="n">
        <v>3</v>
      </c>
      <c r="R2041" s="9" t="n">
        <v>0.03</v>
      </c>
      <c r="S2041" s="10" t="inlineStr">
        <is>
          <t>SÍ — integrante</t>
        </is>
      </c>
      <c r="T2041" s="11" t="inlineStr">
        <is>
          <t>B · INTEGRANTE</t>
        </is>
      </c>
      <c r="U2041" s="11" t="inlineStr">
        <is>
          <t>DEL BANCO (se hereda)</t>
        </is>
      </c>
      <c r="V2041" s="11" t="n"/>
      <c r="W2041" s="12" t="n"/>
      <c r="X2041" s="12" t="n"/>
    </row>
    <row r="2042" ht="15" customHeight="1">
      <c r="C2042" t="inlineStr">
        <is>
          <t>NACIONALIDAD</t>
        </is>
      </c>
      <c r="D2042" t="inlineStr">
        <is>
          <t>F5</t>
        </is>
      </c>
      <c r="E2042" t="inlineStr">
        <is>
          <t>INHERENTE</t>
        </is>
      </c>
      <c r="F2042" t="inlineStr">
        <is>
          <t>ANDORRA</t>
        </is>
      </c>
      <c r="G2042" t="inlineStr">
        <is>
          <t>AD</t>
        </is>
      </c>
      <c r="H2042" t="n">
        <v>1</v>
      </c>
      <c r="I2042" t="n">
        <v>1</v>
      </c>
      <c r="J2042" t="n">
        <v>4</v>
      </c>
      <c r="K2042" t="n">
        <v>4</v>
      </c>
      <c r="L2042" t="n">
        <v>4</v>
      </c>
      <c r="M2042" t="n">
        <v>4</v>
      </c>
      <c r="N2042" t="n">
        <v>4</v>
      </c>
      <c r="O2042" t="n">
        <v>20</v>
      </c>
      <c r="P2042" t="n">
        <v>4</v>
      </c>
      <c r="R2042" s="9" t="n">
        <v>0.04</v>
      </c>
      <c r="S2042" s="10" t="inlineStr">
        <is>
          <t>SÍ — integrante</t>
        </is>
      </c>
      <c r="T2042" s="11" t="inlineStr">
        <is>
          <t>B · INTEGRANTE</t>
        </is>
      </c>
      <c r="U2042" s="11" t="inlineStr">
        <is>
          <t>DEL BANCO (se hereda)</t>
        </is>
      </c>
      <c r="V2042" s="11" t="n"/>
      <c r="W2042" s="12" t="n"/>
      <c r="X2042" s="12" t="n"/>
    </row>
    <row r="2043" ht="15" customHeight="1">
      <c r="C2043" t="inlineStr">
        <is>
          <t>NACIONALIDAD</t>
        </is>
      </c>
      <c r="D2043" t="inlineStr">
        <is>
          <t>F5</t>
        </is>
      </c>
      <c r="E2043" t="inlineStr">
        <is>
          <t>INHERENTE</t>
        </is>
      </c>
      <c r="F2043" t="inlineStr">
        <is>
          <t>EMIRATOS ARABES UNID</t>
        </is>
      </c>
      <c r="G2043" t="inlineStr">
        <is>
          <t>AE</t>
        </is>
      </c>
      <c r="H2043" t="n">
        <v>3</v>
      </c>
      <c r="I2043" t="n">
        <v>3</v>
      </c>
      <c r="J2043" t="n">
        <v>4</v>
      </c>
      <c r="K2043" t="n">
        <v>12</v>
      </c>
      <c r="L2043" t="n">
        <v>12</v>
      </c>
      <c r="M2043" t="n">
        <v>12</v>
      </c>
      <c r="N2043" t="n">
        <v>12</v>
      </c>
      <c r="O2043" t="n">
        <v>20</v>
      </c>
      <c r="P2043" t="n">
        <v>4</v>
      </c>
      <c r="R2043" s="9" t="n">
        <v>0.04</v>
      </c>
      <c r="S2043" s="10" t="inlineStr">
        <is>
          <t>SÍ — integrante</t>
        </is>
      </c>
      <c r="T2043" s="11" t="inlineStr">
        <is>
          <t>B · INTEGRANTE</t>
        </is>
      </c>
      <c r="U2043" s="11" t="inlineStr">
        <is>
          <t>DEL BANCO (se hereda)</t>
        </is>
      </c>
      <c r="V2043" s="11" t="n"/>
      <c r="W2043" s="12" t="n"/>
      <c r="X2043" s="12" t="n"/>
    </row>
    <row r="2044" ht="15" customHeight="1">
      <c r="C2044" t="inlineStr">
        <is>
          <t>NACIONALIDAD</t>
        </is>
      </c>
      <c r="D2044" t="inlineStr">
        <is>
          <t>F5</t>
        </is>
      </c>
      <c r="E2044" t="inlineStr">
        <is>
          <t>INHERENTE</t>
        </is>
      </c>
      <c r="F2044" t="inlineStr">
        <is>
          <t>AFGANISTAN (GFG)</t>
        </is>
      </c>
      <c r="G2044" t="inlineStr">
        <is>
          <t>AF</t>
        </is>
      </c>
      <c r="H2044" t="n">
        <v>4</v>
      </c>
      <c r="I2044" t="n">
        <v>4</v>
      </c>
      <c r="J2044" t="n">
        <v>4</v>
      </c>
      <c r="K2044" t="n">
        <v>16</v>
      </c>
      <c r="L2044" t="n">
        <v>16</v>
      </c>
      <c r="M2044" t="n">
        <v>16</v>
      </c>
      <c r="N2044" t="n">
        <v>16</v>
      </c>
      <c r="O2044" t="n">
        <v>20</v>
      </c>
      <c r="P2044" t="n">
        <v>4</v>
      </c>
      <c r="R2044" s="9" t="n">
        <v>0.04</v>
      </c>
      <c r="S2044" s="10" t="inlineStr">
        <is>
          <t>SÍ — integrante</t>
        </is>
      </c>
      <c r="T2044" s="11" t="inlineStr">
        <is>
          <t>B · INTEGRANTE</t>
        </is>
      </c>
      <c r="U2044" s="11" t="inlineStr">
        <is>
          <t>DEL BANCO (se hereda)</t>
        </is>
      </c>
      <c r="V2044" s="11" t="n"/>
      <c r="W2044" s="12" t="n"/>
      <c r="X2044" s="12" t="n"/>
    </row>
    <row r="2045" ht="15" customHeight="1">
      <c r="C2045" t="inlineStr">
        <is>
          <t>NACIONALIDAD</t>
        </is>
      </c>
      <c r="D2045" t="inlineStr">
        <is>
          <t>F5</t>
        </is>
      </c>
      <c r="E2045" t="inlineStr">
        <is>
          <t>INHERENTE</t>
        </is>
      </c>
      <c r="F2045" t="inlineStr">
        <is>
          <t>ANTIGUA Y BARBUDA</t>
        </is>
      </c>
      <c r="G2045" t="inlineStr">
        <is>
          <t>AG</t>
        </is>
      </c>
      <c r="H2045" t="n">
        <v>3</v>
      </c>
      <c r="I2045" t="n">
        <v>3</v>
      </c>
      <c r="J2045" t="n">
        <v>4</v>
      </c>
      <c r="K2045" t="n">
        <v>12</v>
      </c>
      <c r="L2045" t="n">
        <v>12</v>
      </c>
      <c r="M2045" t="n">
        <v>12</v>
      </c>
      <c r="N2045" t="n">
        <v>12</v>
      </c>
      <c r="O2045" t="n">
        <v>20</v>
      </c>
      <c r="P2045" t="n">
        <v>4</v>
      </c>
      <c r="R2045" s="9" t="n">
        <v>0.04</v>
      </c>
      <c r="S2045" s="10" t="inlineStr">
        <is>
          <t>SÍ — integrante</t>
        </is>
      </c>
      <c r="T2045" s="11" t="inlineStr">
        <is>
          <t>B · INTEGRANTE</t>
        </is>
      </c>
      <c r="U2045" s="11" t="inlineStr">
        <is>
          <t>DEL BANCO (se hereda)</t>
        </is>
      </c>
      <c r="V2045" s="11" t="n"/>
      <c r="W2045" s="12" t="n"/>
      <c r="X2045" s="12" t="n"/>
    </row>
    <row r="2046" ht="15" customHeight="1">
      <c r="C2046" t="inlineStr">
        <is>
          <t>NACIONALIDAD</t>
        </is>
      </c>
      <c r="D2046" t="inlineStr">
        <is>
          <t>F5</t>
        </is>
      </c>
      <c r="E2046" t="inlineStr">
        <is>
          <t>INHERENTE</t>
        </is>
      </c>
      <c r="F2046" t="inlineStr">
        <is>
          <t>ANGUILA</t>
        </is>
      </c>
      <c r="G2046" t="inlineStr">
        <is>
          <t>AI</t>
        </is>
      </c>
      <c r="H2046" t="n">
        <v>3</v>
      </c>
      <c r="I2046" t="n">
        <v>3</v>
      </c>
      <c r="J2046" t="n">
        <v>4</v>
      </c>
      <c r="K2046" t="n">
        <v>12</v>
      </c>
      <c r="L2046" t="n">
        <v>12</v>
      </c>
      <c r="M2046" t="n">
        <v>12</v>
      </c>
      <c r="N2046" t="n">
        <v>12</v>
      </c>
      <c r="O2046" t="n">
        <v>20</v>
      </c>
      <c r="P2046" t="n">
        <v>4</v>
      </c>
      <c r="R2046" s="9" t="n">
        <v>0.04</v>
      </c>
      <c r="S2046" s="10" t="inlineStr">
        <is>
          <t>SÍ — integrante</t>
        </is>
      </c>
      <c r="T2046" s="11" t="inlineStr">
        <is>
          <t>B · INTEGRANTE</t>
        </is>
      </c>
      <c r="U2046" s="11" t="inlineStr">
        <is>
          <t>DEL BANCO (se hereda)</t>
        </is>
      </c>
      <c r="V2046" s="11" t="n"/>
      <c r="W2046" s="12" t="n"/>
      <c r="X2046" s="12" t="n"/>
    </row>
    <row r="2047" ht="15" customHeight="1">
      <c r="C2047" t="inlineStr">
        <is>
          <t>NACIONALIDAD</t>
        </is>
      </c>
      <c r="D2047" t="inlineStr">
        <is>
          <t>F5</t>
        </is>
      </c>
      <c r="E2047" t="inlineStr">
        <is>
          <t>INHERENTE</t>
        </is>
      </c>
      <c r="F2047" t="inlineStr">
        <is>
          <t>ALBANIA</t>
        </is>
      </c>
      <c r="G2047" t="inlineStr">
        <is>
          <t>AL</t>
        </is>
      </c>
      <c r="H2047" t="n">
        <v>2</v>
      </c>
      <c r="I2047" t="n">
        <v>2</v>
      </c>
      <c r="J2047" t="n">
        <v>4</v>
      </c>
      <c r="K2047" t="n">
        <v>8</v>
      </c>
      <c r="L2047" t="n">
        <v>8</v>
      </c>
      <c r="M2047" t="n">
        <v>8</v>
      </c>
      <c r="N2047" t="n">
        <v>8</v>
      </c>
      <c r="O2047" t="n">
        <v>20</v>
      </c>
      <c r="P2047" t="n">
        <v>4</v>
      </c>
      <c r="R2047" s="9" t="n">
        <v>0.04</v>
      </c>
      <c r="S2047" s="10" t="inlineStr">
        <is>
          <t>SÍ — integrante</t>
        </is>
      </c>
      <c r="T2047" s="11" t="inlineStr">
        <is>
          <t>B · INTEGRANTE</t>
        </is>
      </c>
      <c r="U2047" s="11" t="inlineStr">
        <is>
          <t>DEL BANCO (se hereda)</t>
        </is>
      </c>
      <c r="V2047" s="11" t="n"/>
      <c r="W2047" s="12" t="n"/>
      <c r="X2047" s="12" t="n"/>
    </row>
    <row r="2048" ht="15" customHeight="1">
      <c r="C2048" t="inlineStr">
        <is>
          <t>NACIONALIDAD</t>
        </is>
      </c>
      <c r="D2048" t="inlineStr">
        <is>
          <t>F5</t>
        </is>
      </c>
      <c r="E2048" t="inlineStr">
        <is>
          <t>INHERENTE</t>
        </is>
      </c>
      <c r="F2048" t="inlineStr">
        <is>
          <t>ARMENIA</t>
        </is>
      </c>
      <c r="G2048" t="inlineStr">
        <is>
          <t>AM</t>
        </is>
      </c>
      <c r="H2048" t="n">
        <v>2</v>
      </c>
      <c r="I2048" t="n">
        <v>2</v>
      </c>
      <c r="J2048" t="n">
        <v>4</v>
      </c>
      <c r="K2048" t="n">
        <v>8</v>
      </c>
      <c r="L2048" t="n">
        <v>8</v>
      </c>
      <c r="M2048" t="n">
        <v>8</v>
      </c>
      <c r="N2048" t="n">
        <v>8</v>
      </c>
      <c r="O2048" t="n">
        <v>20</v>
      </c>
      <c r="P2048" t="n">
        <v>4</v>
      </c>
      <c r="R2048" s="9" t="n">
        <v>0.04</v>
      </c>
      <c r="S2048" s="10" t="inlineStr">
        <is>
          <t>SÍ — integrante</t>
        </is>
      </c>
      <c r="T2048" s="11" t="inlineStr">
        <is>
          <t>B · INTEGRANTE</t>
        </is>
      </c>
      <c r="U2048" s="11" t="inlineStr">
        <is>
          <t>DEL BANCO (se hereda)</t>
        </is>
      </c>
      <c r="V2048" s="11" t="n"/>
      <c r="W2048" s="12" t="n"/>
      <c r="X2048" s="12" t="n"/>
    </row>
    <row r="2049" ht="15" customHeight="1">
      <c r="C2049" t="inlineStr">
        <is>
          <t>NACIONALIDAD</t>
        </is>
      </c>
      <c r="D2049" t="inlineStr">
        <is>
          <t>F5</t>
        </is>
      </c>
      <c r="E2049" t="inlineStr">
        <is>
          <t>INHERENTE</t>
        </is>
      </c>
      <c r="F2049" t="inlineStr">
        <is>
          <t>ANTILLAS NEERLANDESA</t>
        </is>
      </c>
      <c r="G2049" t="inlineStr">
        <is>
          <t>AN</t>
        </is>
      </c>
      <c r="H2049" t="n">
        <v>3</v>
      </c>
      <c r="I2049" t="n">
        <v>3</v>
      </c>
      <c r="J2049" t="n">
        <v>4</v>
      </c>
      <c r="K2049" t="n">
        <v>12</v>
      </c>
      <c r="L2049" t="n">
        <v>12</v>
      </c>
      <c r="M2049" t="n">
        <v>12</v>
      </c>
      <c r="N2049" t="n">
        <v>12</v>
      </c>
      <c r="O2049" t="n">
        <v>20</v>
      </c>
      <c r="P2049" t="n">
        <v>4</v>
      </c>
      <c r="R2049" s="9" t="n">
        <v>0.04</v>
      </c>
      <c r="S2049" s="10" t="inlineStr">
        <is>
          <t>SÍ — integrante</t>
        </is>
      </c>
      <c r="T2049" s="11" t="inlineStr">
        <is>
          <t>B · INTEGRANTE</t>
        </is>
      </c>
      <c r="U2049" s="11" t="inlineStr">
        <is>
          <t>DEL BANCO (se hereda)</t>
        </is>
      </c>
      <c r="V2049" s="11" t="n"/>
      <c r="W2049" s="12" t="n"/>
      <c r="X2049" s="12" t="n"/>
    </row>
    <row r="2050" ht="15" customHeight="1">
      <c r="C2050" t="inlineStr">
        <is>
          <t>NACIONALIDAD</t>
        </is>
      </c>
      <c r="D2050" t="inlineStr">
        <is>
          <t>F5</t>
        </is>
      </c>
      <c r="E2050" t="inlineStr">
        <is>
          <t>INHERENTE</t>
        </is>
      </c>
      <c r="F2050" t="inlineStr">
        <is>
          <t>ANGOLA</t>
        </is>
      </c>
      <c r="G2050" t="inlineStr">
        <is>
          <t>AO</t>
        </is>
      </c>
      <c r="H2050" t="n">
        <v>4</v>
      </c>
      <c r="I2050" t="n">
        <v>4</v>
      </c>
      <c r="J2050" t="n">
        <v>4</v>
      </c>
      <c r="K2050" t="n">
        <v>16</v>
      </c>
      <c r="L2050" t="n">
        <v>16</v>
      </c>
      <c r="M2050" t="n">
        <v>16</v>
      </c>
      <c r="N2050" t="n">
        <v>16</v>
      </c>
      <c r="O2050" t="n">
        <v>20</v>
      </c>
      <c r="P2050" t="n">
        <v>4</v>
      </c>
      <c r="Q2050" t="inlineStr">
        <is>
          <t>DETERMINANTE</t>
        </is>
      </c>
      <c r="R2050" s="9" t="n">
        <v>0.04</v>
      </c>
      <c r="S2050" s="10" t="inlineStr">
        <is>
          <t>SÍ — integrante</t>
        </is>
      </c>
      <c r="T2050" s="11" t="inlineStr">
        <is>
          <t>B · INTEGRANTE</t>
        </is>
      </c>
      <c r="U2050" s="11" t="inlineStr">
        <is>
          <t>DEL BANCO (se hereda)</t>
        </is>
      </c>
      <c r="V2050" s="11" t="n"/>
      <c r="W2050" s="12" t="n"/>
      <c r="X2050" s="12" t="n"/>
    </row>
    <row r="2051" ht="15" customHeight="1">
      <c r="C2051" t="inlineStr">
        <is>
          <t>NACIONALIDAD</t>
        </is>
      </c>
      <c r="D2051" t="inlineStr">
        <is>
          <t>F5</t>
        </is>
      </c>
      <c r="E2051" t="inlineStr">
        <is>
          <t>INHERENTE</t>
        </is>
      </c>
      <c r="F2051" t="inlineStr">
        <is>
          <t>ANTARTICA</t>
        </is>
      </c>
      <c r="G2051" t="inlineStr">
        <is>
          <t>AQ</t>
        </is>
      </c>
      <c r="H2051" t="n">
        <v>1</v>
      </c>
      <c r="I2051" t="n">
        <v>1</v>
      </c>
      <c r="J2051" t="n">
        <v>4</v>
      </c>
      <c r="K2051" t="n">
        <v>4</v>
      </c>
      <c r="L2051" t="n">
        <v>4</v>
      </c>
      <c r="M2051" t="n">
        <v>4</v>
      </c>
      <c r="N2051" t="n">
        <v>4</v>
      </c>
      <c r="O2051" t="n">
        <v>20</v>
      </c>
      <c r="P2051" t="n">
        <v>4</v>
      </c>
      <c r="R2051" s="9" t="n">
        <v>0.04</v>
      </c>
      <c r="S2051" s="10" t="inlineStr">
        <is>
          <t>SÍ — integrante</t>
        </is>
      </c>
      <c r="T2051" s="11" t="inlineStr">
        <is>
          <t>B · INTEGRANTE</t>
        </is>
      </c>
      <c r="U2051" s="11" t="inlineStr">
        <is>
          <t>DEL BANCO (se hereda)</t>
        </is>
      </c>
      <c r="V2051" s="11" t="n"/>
      <c r="W2051" s="12" t="n"/>
      <c r="X2051" s="12" t="n"/>
    </row>
    <row r="2052" ht="15" customHeight="1">
      <c r="C2052" t="inlineStr">
        <is>
          <t>NACIONALIDAD</t>
        </is>
      </c>
      <c r="D2052" t="inlineStr">
        <is>
          <t>F5</t>
        </is>
      </c>
      <c r="E2052" t="inlineStr">
        <is>
          <t>INHERENTE</t>
        </is>
      </c>
      <c r="F2052" t="inlineStr">
        <is>
          <t>ARGENTINA</t>
        </is>
      </c>
      <c r="G2052" t="inlineStr">
        <is>
          <t>AR</t>
        </is>
      </c>
      <c r="H2052" t="n">
        <v>2</v>
      </c>
      <c r="I2052" t="n">
        <v>2</v>
      </c>
      <c r="J2052" t="n">
        <v>4</v>
      </c>
      <c r="K2052" t="n">
        <v>8</v>
      </c>
      <c r="L2052" t="n">
        <v>8</v>
      </c>
      <c r="M2052" t="n">
        <v>8</v>
      </c>
      <c r="N2052" t="n">
        <v>8</v>
      </c>
      <c r="O2052" t="n">
        <v>20</v>
      </c>
      <c r="P2052" t="n">
        <v>4</v>
      </c>
      <c r="R2052" s="9" t="n">
        <v>0.04</v>
      </c>
      <c r="S2052" s="10" t="inlineStr">
        <is>
          <t>SÍ — integrante</t>
        </is>
      </c>
      <c r="T2052" s="11" t="inlineStr">
        <is>
          <t>B · INTEGRANTE</t>
        </is>
      </c>
      <c r="U2052" s="11" t="inlineStr">
        <is>
          <t>DEL BANCO (se hereda)</t>
        </is>
      </c>
      <c r="V2052" s="11" t="n"/>
      <c r="W2052" s="12" t="n"/>
      <c r="X2052" s="12" t="n"/>
    </row>
    <row r="2053" ht="15" customHeight="1">
      <c r="C2053" t="inlineStr">
        <is>
          <t>NACIONALIDAD</t>
        </is>
      </c>
      <c r="D2053" t="inlineStr">
        <is>
          <t>F5</t>
        </is>
      </c>
      <c r="E2053" t="inlineStr">
        <is>
          <t>INHERENTE</t>
        </is>
      </c>
      <c r="F2053" t="inlineStr">
        <is>
          <t>SAMOA</t>
        </is>
      </c>
      <c r="G2053" t="inlineStr">
        <is>
          <t>AS</t>
        </is>
      </c>
      <c r="H2053" t="n">
        <v>1</v>
      </c>
      <c r="I2053" t="n">
        <v>1</v>
      </c>
      <c r="J2053" t="n">
        <v>4</v>
      </c>
      <c r="K2053" t="n">
        <v>4</v>
      </c>
      <c r="L2053" t="n">
        <v>4</v>
      </c>
      <c r="M2053" t="n">
        <v>4</v>
      </c>
      <c r="N2053" t="n">
        <v>4</v>
      </c>
      <c r="O2053" t="n">
        <v>20</v>
      </c>
      <c r="P2053" t="n">
        <v>4</v>
      </c>
      <c r="R2053" s="9" t="n">
        <v>0.04</v>
      </c>
      <c r="S2053" s="10" t="inlineStr">
        <is>
          <t>SÍ — integrante</t>
        </is>
      </c>
      <c r="T2053" s="11" t="inlineStr">
        <is>
          <t>B · INTEGRANTE</t>
        </is>
      </c>
      <c r="U2053" s="11" t="inlineStr">
        <is>
          <t>DEL BANCO (se hereda)</t>
        </is>
      </c>
      <c r="V2053" s="11" t="n"/>
      <c r="W2053" s="12" t="n"/>
      <c r="X2053" s="12" t="n"/>
    </row>
    <row r="2054" ht="15" customHeight="1">
      <c r="C2054" t="inlineStr">
        <is>
          <t>NACIONALIDAD</t>
        </is>
      </c>
      <c r="D2054" t="inlineStr">
        <is>
          <t>F5</t>
        </is>
      </c>
      <c r="E2054" t="inlineStr">
        <is>
          <t>INHERENTE</t>
        </is>
      </c>
      <c r="F2054" t="inlineStr">
        <is>
          <t>AUSTRIA</t>
        </is>
      </c>
      <c r="G2054" t="inlineStr">
        <is>
          <t>AT</t>
        </is>
      </c>
      <c r="H2054" t="n">
        <v>1</v>
      </c>
      <c r="I2054" t="n">
        <v>1</v>
      </c>
      <c r="J2054" t="n">
        <v>4</v>
      </c>
      <c r="K2054" t="n">
        <v>4</v>
      </c>
      <c r="L2054" t="n">
        <v>4</v>
      </c>
      <c r="M2054" t="n">
        <v>4</v>
      </c>
      <c r="N2054" t="n">
        <v>4</v>
      </c>
      <c r="O2054" t="n">
        <v>20</v>
      </c>
      <c r="P2054" t="n">
        <v>4</v>
      </c>
      <c r="R2054" s="9" t="n">
        <v>0.04</v>
      </c>
      <c r="S2054" s="10" t="inlineStr">
        <is>
          <t>SÍ — integrante</t>
        </is>
      </c>
      <c r="T2054" s="11" t="inlineStr">
        <is>
          <t>B · INTEGRANTE</t>
        </is>
      </c>
      <c r="U2054" s="11" t="inlineStr">
        <is>
          <t>DEL BANCO (se hereda)</t>
        </is>
      </c>
      <c r="V2054" s="11" t="n"/>
      <c r="W2054" s="12" t="n"/>
      <c r="X2054" s="12" t="n"/>
    </row>
    <row r="2055" ht="15" customHeight="1">
      <c r="C2055" t="inlineStr">
        <is>
          <t>NACIONALIDAD</t>
        </is>
      </c>
      <c r="D2055" t="inlineStr">
        <is>
          <t>F5</t>
        </is>
      </c>
      <c r="E2055" t="inlineStr">
        <is>
          <t>INHERENTE</t>
        </is>
      </c>
      <c r="F2055" t="inlineStr">
        <is>
          <t>AUSTRALIA</t>
        </is>
      </c>
      <c r="G2055" t="inlineStr">
        <is>
          <t>AU</t>
        </is>
      </c>
      <c r="H2055" t="n">
        <v>1</v>
      </c>
      <c r="I2055" t="n">
        <v>1</v>
      </c>
      <c r="J2055" t="n">
        <v>4</v>
      </c>
      <c r="K2055" t="n">
        <v>4</v>
      </c>
      <c r="L2055" t="n">
        <v>4</v>
      </c>
      <c r="M2055" t="n">
        <v>4</v>
      </c>
      <c r="N2055" t="n">
        <v>4</v>
      </c>
      <c r="O2055" t="n">
        <v>20</v>
      </c>
      <c r="P2055" t="n">
        <v>4</v>
      </c>
      <c r="R2055" s="9" t="n">
        <v>0.04</v>
      </c>
      <c r="S2055" s="10" t="inlineStr">
        <is>
          <t>SÍ — integrante</t>
        </is>
      </c>
      <c r="T2055" s="11" t="inlineStr">
        <is>
          <t>B · INTEGRANTE</t>
        </is>
      </c>
      <c r="U2055" s="11" t="inlineStr">
        <is>
          <t>DEL BANCO (se hereda)</t>
        </is>
      </c>
      <c r="V2055" s="11" t="n"/>
      <c r="W2055" s="12" t="n"/>
      <c r="X2055" s="12" t="n"/>
    </row>
    <row r="2056" ht="15" customHeight="1">
      <c r="C2056" t="inlineStr">
        <is>
          <t>NACIONALIDAD</t>
        </is>
      </c>
      <c r="D2056" t="inlineStr">
        <is>
          <t>F5</t>
        </is>
      </c>
      <c r="E2056" t="inlineStr">
        <is>
          <t>INHERENTE</t>
        </is>
      </c>
      <c r="F2056" t="inlineStr">
        <is>
          <t>ARUBA</t>
        </is>
      </c>
      <c r="G2056" t="inlineStr">
        <is>
          <t>AW</t>
        </is>
      </c>
      <c r="H2056" t="n">
        <v>3</v>
      </c>
      <c r="I2056" t="n">
        <v>3</v>
      </c>
      <c r="J2056" t="n">
        <v>4</v>
      </c>
      <c r="K2056" t="n">
        <v>12</v>
      </c>
      <c r="L2056" t="n">
        <v>12</v>
      </c>
      <c r="M2056" t="n">
        <v>12</v>
      </c>
      <c r="N2056" t="n">
        <v>12</v>
      </c>
      <c r="O2056" t="n">
        <v>20</v>
      </c>
      <c r="P2056" t="n">
        <v>4</v>
      </c>
      <c r="R2056" s="9" t="n">
        <v>0.04</v>
      </c>
      <c r="S2056" s="10" t="inlineStr">
        <is>
          <t>SÍ — integrante</t>
        </is>
      </c>
      <c r="T2056" s="11" t="inlineStr">
        <is>
          <t>B · INTEGRANTE</t>
        </is>
      </c>
      <c r="U2056" s="11" t="inlineStr">
        <is>
          <t>DEL BANCO (se hereda)</t>
        </is>
      </c>
      <c r="V2056" s="11" t="n"/>
      <c r="W2056" s="12" t="n"/>
      <c r="X2056" s="12" t="n"/>
    </row>
    <row r="2057" ht="15" customHeight="1">
      <c r="C2057" t="inlineStr">
        <is>
          <t>NACIONALIDAD</t>
        </is>
      </c>
      <c r="D2057" t="inlineStr">
        <is>
          <t>F5</t>
        </is>
      </c>
      <c r="E2057" t="inlineStr">
        <is>
          <t>INHERENTE</t>
        </is>
      </c>
      <c r="F2057" t="inlineStr">
        <is>
          <t>ALAND</t>
        </is>
      </c>
      <c r="G2057" t="inlineStr">
        <is>
          <t>AX</t>
        </is>
      </c>
      <c r="H2057" t="n">
        <v>1</v>
      </c>
      <c r="I2057" t="n">
        <v>1</v>
      </c>
      <c r="J2057" t="n">
        <v>4</v>
      </c>
      <c r="K2057" t="n">
        <v>4</v>
      </c>
      <c r="L2057" t="n">
        <v>4</v>
      </c>
      <c r="M2057" t="n">
        <v>4</v>
      </c>
      <c r="N2057" t="n">
        <v>4</v>
      </c>
      <c r="O2057" t="n">
        <v>20</v>
      </c>
      <c r="P2057" t="n">
        <v>4</v>
      </c>
      <c r="R2057" s="9" t="n">
        <v>0.04</v>
      </c>
      <c r="S2057" s="10" t="inlineStr">
        <is>
          <t>SÍ — integrante</t>
        </is>
      </c>
      <c r="T2057" s="11" t="inlineStr">
        <is>
          <t>B · INTEGRANTE</t>
        </is>
      </c>
      <c r="U2057" s="11" t="inlineStr">
        <is>
          <t>DEL BANCO (se hereda)</t>
        </is>
      </c>
      <c r="V2057" s="11" t="n"/>
      <c r="W2057" s="12" t="n"/>
      <c r="X2057" s="12" t="n"/>
    </row>
    <row r="2058" ht="15" customHeight="1">
      <c r="C2058" t="inlineStr">
        <is>
          <t>NACIONALIDAD</t>
        </is>
      </c>
      <c r="D2058" t="inlineStr">
        <is>
          <t>F5</t>
        </is>
      </c>
      <c r="E2058" t="inlineStr">
        <is>
          <t>INHERENTE</t>
        </is>
      </c>
      <c r="F2058" t="inlineStr">
        <is>
          <t>AZERBAIJAN</t>
        </is>
      </c>
      <c r="G2058" t="inlineStr">
        <is>
          <t>AZ</t>
        </is>
      </c>
      <c r="H2058" t="n">
        <v>3</v>
      </c>
      <c r="I2058" t="n">
        <v>3</v>
      </c>
      <c r="J2058" t="n">
        <v>4</v>
      </c>
      <c r="K2058" t="n">
        <v>12</v>
      </c>
      <c r="L2058" t="n">
        <v>12</v>
      </c>
      <c r="M2058" t="n">
        <v>12</v>
      </c>
      <c r="N2058" t="n">
        <v>12</v>
      </c>
      <c r="O2058" t="n">
        <v>20</v>
      </c>
      <c r="P2058" t="n">
        <v>4</v>
      </c>
      <c r="R2058" s="9" t="n">
        <v>0.04</v>
      </c>
      <c r="S2058" s="10" t="inlineStr">
        <is>
          <t>SÍ — integrante</t>
        </is>
      </c>
      <c r="T2058" s="11" t="inlineStr">
        <is>
          <t>B · INTEGRANTE</t>
        </is>
      </c>
      <c r="U2058" s="11" t="inlineStr">
        <is>
          <t>DEL BANCO (se hereda)</t>
        </is>
      </c>
      <c r="V2058" s="11" t="n"/>
      <c r="W2058" s="12" t="n"/>
      <c r="X2058" s="12" t="n"/>
    </row>
    <row r="2059" ht="15" customHeight="1">
      <c r="C2059" t="inlineStr">
        <is>
          <t>NACIONALIDAD</t>
        </is>
      </c>
      <c r="D2059" t="inlineStr">
        <is>
          <t>F5</t>
        </is>
      </c>
      <c r="E2059" t="inlineStr">
        <is>
          <t>INHERENTE</t>
        </is>
      </c>
      <c r="F2059" t="inlineStr">
        <is>
          <t>BOSNIE-HERZ</t>
        </is>
      </c>
      <c r="G2059" t="inlineStr">
        <is>
          <t>BA</t>
        </is>
      </c>
      <c r="H2059" t="n">
        <v>2</v>
      </c>
      <c r="I2059" t="n">
        <v>2</v>
      </c>
      <c r="J2059" t="n">
        <v>4</v>
      </c>
      <c r="K2059" t="n">
        <v>8</v>
      </c>
      <c r="L2059" t="n">
        <v>8</v>
      </c>
      <c r="M2059" t="n">
        <v>8</v>
      </c>
      <c r="N2059" t="n">
        <v>8</v>
      </c>
      <c r="O2059" t="n">
        <v>20</v>
      </c>
      <c r="P2059" t="n">
        <v>4</v>
      </c>
      <c r="R2059" s="9" t="n">
        <v>0.04</v>
      </c>
      <c r="S2059" s="10" t="inlineStr">
        <is>
          <t>SÍ — integrante</t>
        </is>
      </c>
      <c r="T2059" s="11" t="inlineStr">
        <is>
          <t>B · INTEGRANTE</t>
        </is>
      </c>
      <c r="U2059" s="11" t="inlineStr">
        <is>
          <t>DEL BANCO (se hereda)</t>
        </is>
      </c>
      <c r="V2059" s="11" t="n"/>
      <c r="W2059" s="12" t="n"/>
      <c r="X2059" s="12" t="n"/>
    </row>
    <row r="2060" ht="15" customHeight="1">
      <c r="C2060" t="inlineStr">
        <is>
          <t>NACIONALIDAD</t>
        </is>
      </c>
      <c r="D2060" t="inlineStr">
        <is>
          <t>F5</t>
        </is>
      </c>
      <c r="E2060" t="inlineStr">
        <is>
          <t>INHERENTE</t>
        </is>
      </c>
      <c r="F2060" t="inlineStr">
        <is>
          <t>BARBADOS</t>
        </is>
      </c>
      <c r="G2060" t="inlineStr">
        <is>
          <t>BB</t>
        </is>
      </c>
      <c r="H2060" t="n">
        <v>3</v>
      </c>
      <c r="I2060" t="n">
        <v>3</v>
      </c>
      <c r="J2060" t="n">
        <v>4</v>
      </c>
      <c r="K2060" t="n">
        <v>12</v>
      </c>
      <c r="L2060" t="n">
        <v>12</v>
      </c>
      <c r="M2060" t="n">
        <v>12</v>
      </c>
      <c r="N2060" t="n">
        <v>12</v>
      </c>
      <c r="O2060" t="n">
        <v>20</v>
      </c>
      <c r="P2060" t="n">
        <v>4</v>
      </c>
      <c r="R2060" s="9" t="n">
        <v>0.04</v>
      </c>
      <c r="S2060" s="10" t="inlineStr">
        <is>
          <t>SÍ — integrante</t>
        </is>
      </c>
      <c r="T2060" s="11" t="inlineStr">
        <is>
          <t>B · INTEGRANTE</t>
        </is>
      </c>
      <c r="U2060" s="11" t="inlineStr">
        <is>
          <t>DEL BANCO (se hereda)</t>
        </is>
      </c>
      <c r="V2060" s="11" t="n"/>
      <c r="W2060" s="12" t="n"/>
      <c r="X2060" s="12" t="n"/>
    </row>
    <row r="2061" ht="15" customHeight="1">
      <c r="C2061" t="inlineStr">
        <is>
          <t>NACIONALIDAD</t>
        </is>
      </c>
      <c r="D2061" t="inlineStr">
        <is>
          <t>F5</t>
        </is>
      </c>
      <c r="E2061" t="inlineStr">
        <is>
          <t>INHERENTE</t>
        </is>
      </c>
      <c r="F2061" t="inlineStr">
        <is>
          <t>BANGLADESH</t>
        </is>
      </c>
      <c r="G2061" t="inlineStr">
        <is>
          <t>BD</t>
        </is>
      </c>
      <c r="H2061" t="n">
        <v>3</v>
      </c>
      <c r="I2061" t="n">
        <v>3</v>
      </c>
      <c r="J2061" t="n">
        <v>4</v>
      </c>
      <c r="K2061" t="n">
        <v>12</v>
      </c>
      <c r="L2061" t="n">
        <v>12</v>
      </c>
      <c r="M2061" t="n">
        <v>12</v>
      </c>
      <c r="N2061" t="n">
        <v>12</v>
      </c>
      <c r="O2061" t="n">
        <v>20</v>
      </c>
      <c r="P2061" t="n">
        <v>4</v>
      </c>
      <c r="R2061" s="9" t="n">
        <v>0.04</v>
      </c>
      <c r="S2061" s="10" t="inlineStr">
        <is>
          <t>SÍ — integrante</t>
        </is>
      </c>
      <c r="T2061" s="11" t="inlineStr">
        <is>
          <t>B · INTEGRANTE</t>
        </is>
      </c>
      <c r="U2061" s="11" t="inlineStr">
        <is>
          <t>DEL BANCO (se hereda)</t>
        </is>
      </c>
      <c r="V2061" s="11" t="n"/>
      <c r="W2061" s="12" t="n"/>
      <c r="X2061" s="12" t="n"/>
    </row>
    <row r="2062" ht="15" customHeight="1">
      <c r="C2062" t="inlineStr">
        <is>
          <t>NACIONALIDAD</t>
        </is>
      </c>
      <c r="D2062" t="inlineStr">
        <is>
          <t>F5</t>
        </is>
      </c>
      <c r="E2062" t="inlineStr">
        <is>
          <t>INHERENTE</t>
        </is>
      </c>
      <c r="F2062" t="inlineStr">
        <is>
          <t>BELGICA</t>
        </is>
      </c>
      <c r="G2062" t="inlineStr">
        <is>
          <t>BE</t>
        </is>
      </c>
      <c r="H2062" t="n">
        <v>1</v>
      </c>
      <c r="I2062" t="n">
        <v>1</v>
      </c>
      <c r="J2062" t="n">
        <v>4</v>
      </c>
      <c r="K2062" t="n">
        <v>4</v>
      </c>
      <c r="L2062" t="n">
        <v>4</v>
      </c>
      <c r="M2062" t="n">
        <v>4</v>
      </c>
      <c r="N2062" t="n">
        <v>4</v>
      </c>
      <c r="O2062" t="n">
        <v>20</v>
      </c>
      <c r="P2062" t="n">
        <v>4</v>
      </c>
      <c r="R2062" s="9" t="n">
        <v>0.04</v>
      </c>
      <c r="S2062" s="10" t="inlineStr">
        <is>
          <t>SÍ — integrante</t>
        </is>
      </c>
      <c r="T2062" s="11" t="inlineStr">
        <is>
          <t>B · INTEGRANTE</t>
        </is>
      </c>
      <c r="U2062" s="11" t="inlineStr">
        <is>
          <t>DEL BANCO (se hereda)</t>
        </is>
      </c>
      <c r="V2062" s="11" t="n"/>
      <c r="W2062" s="12" t="n"/>
      <c r="X2062" s="12" t="n"/>
    </row>
    <row r="2063" ht="15" customHeight="1">
      <c r="C2063" t="inlineStr">
        <is>
          <t>NACIONALIDAD</t>
        </is>
      </c>
      <c r="D2063" t="inlineStr">
        <is>
          <t>F5</t>
        </is>
      </c>
      <c r="E2063" t="inlineStr">
        <is>
          <t>INHERENTE</t>
        </is>
      </c>
      <c r="F2063" t="inlineStr">
        <is>
          <t>BURKINA FASO</t>
        </is>
      </c>
      <c r="G2063" t="inlineStr">
        <is>
          <t>BF</t>
        </is>
      </c>
      <c r="H2063" t="n">
        <v>3</v>
      </c>
      <c r="I2063" t="n">
        <v>3</v>
      </c>
      <c r="J2063" t="n">
        <v>4</v>
      </c>
      <c r="K2063" t="n">
        <v>12</v>
      </c>
      <c r="L2063" t="n">
        <v>12</v>
      </c>
      <c r="M2063" t="n">
        <v>12</v>
      </c>
      <c r="N2063" t="n">
        <v>12</v>
      </c>
      <c r="O2063" t="n">
        <v>20</v>
      </c>
      <c r="P2063" t="n">
        <v>4</v>
      </c>
      <c r="R2063" s="9" t="n">
        <v>0.04</v>
      </c>
      <c r="S2063" s="10" t="inlineStr">
        <is>
          <t>SÍ — integrante</t>
        </is>
      </c>
      <c r="T2063" s="11" t="inlineStr">
        <is>
          <t>B · INTEGRANTE</t>
        </is>
      </c>
      <c r="U2063" s="11" t="inlineStr">
        <is>
          <t>DEL BANCO (se hereda)</t>
        </is>
      </c>
      <c r="V2063" s="11" t="n"/>
      <c r="W2063" s="12" t="n"/>
      <c r="X2063" s="12" t="n"/>
    </row>
    <row r="2064" ht="15" customHeight="1">
      <c r="C2064" t="inlineStr">
        <is>
          <t>NACIONALIDAD</t>
        </is>
      </c>
      <c r="D2064" t="inlineStr">
        <is>
          <t>F5</t>
        </is>
      </c>
      <c r="E2064" t="inlineStr">
        <is>
          <t>INHERENTE</t>
        </is>
      </c>
      <c r="F2064" t="inlineStr">
        <is>
          <t>BULGARIA</t>
        </is>
      </c>
      <c r="G2064" t="inlineStr">
        <is>
          <t>BG</t>
        </is>
      </c>
      <c r="H2064" t="n">
        <v>4</v>
      </c>
      <c r="I2064" t="n">
        <v>4</v>
      </c>
      <c r="J2064" t="n">
        <v>4</v>
      </c>
      <c r="K2064" t="n">
        <v>16</v>
      </c>
      <c r="L2064" t="n">
        <v>16</v>
      </c>
      <c r="M2064" t="n">
        <v>16</v>
      </c>
      <c r="N2064" t="n">
        <v>16</v>
      </c>
      <c r="O2064" t="n">
        <v>20</v>
      </c>
      <c r="P2064" t="n">
        <v>4</v>
      </c>
      <c r="Q2064" t="inlineStr">
        <is>
          <t>DETERMINANTE</t>
        </is>
      </c>
      <c r="R2064" s="9" t="n">
        <v>0.04</v>
      </c>
      <c r="S2064" s="10" t="inlineStr">
        <is>
          <t>SÍ — integrante</t>
        </is>
      </c>
      <c r="T2064" s="11" t="inlineStr">
        <is>
          <t>B · INTEGRANTE</t>
        </is>
      </c>
      <c r="U2064" s="11" t="inlineStr">
        <is>
          <t>DEL BANCO (se hereda)</t>
        </is>
      </c>
      <c r="V2064" s="11" t="n"/>
      <c r="W2064" s="12" t="n"/>
      <c r="X2064" s="12" t="n"/>
    </row>
    <row r="2065" ht="15" customHeight="1">
      <c r="C2065" t="inlineStr">
        <is>
          <t>NACIONALIDAD</t>
        </is>
      </c>
      <c r="D2065" t="inlineStr">
        <is>
          <t>F5</t>
        </is>
      </c>
      <c r="E2065" t="inlineStr">
        <is>
          <t>INHERENTE</t>
        </is>
      </c>
      <c r="F2065" t="inlineStr">
        <is>
          <t>BAHREIN</t>
        </is>
      </c>
      <c r="G2065" t="inlineStr">
        <is>
          <t>BH</t>
        </is>
      </c>
      <c r="H2065" t="n">
        <v>3</v>
      </c>
      <c r="I2065" t="n">
        <v>3</v>
      </c>
      <c r="J2065" t="n">
        <v>4</v>
      </c>
      <c r="K2065" t="n">
        <v>12</v>
      </c>
      <c r="L2065" t="n">
        <v>12</v>
      </c>
      <c r="M2065" t="n">
        <v>12</v>
      </c>
      <c r="N2065" t="n">
        <v>12</v>
      </c>
      <c r="O2065" t="n">
        <v>20</v>
      </c>
      <c r="P2065" t="n">
        <v>4</v>
      </c>
      <c r="R2065" s="9" t="n">
        <v>0.04</v>
      </c>
      <c r="S2065" s="10" t="inlineStr">
        <is>
          <t>SÍ — integrante</t>
        </is>
      </c>
      <c r="T2065" s="11" t="inlineStr">
        <is>
          <t>B · INTEGRANTE</t>
        </is>
      </c>
      <c r="U2065" s="11" t="inlineStr">
        <is>
          <t>DEL BANCO (se hereda)</t>
        </is>
      </c>
      <c r="V2065" s="11" t="n"/>
      <c r="W2065" s="12" t="n"/>
      <c r="X2065" s="12" t="n"/>
    </row>
    <row r="2066" ht="15" customHeight="1">
      <c r="C2066" t="inlineStr">
        <is>
          <t>NACIONALIDAD</t>
        </is>
      </c>
      <c r="D2066" t="inlineStr">
        <is>
          <t>F5</t>
        </is>
      </c>
      <c r="E2066" t="inlineStr">
        <is>
          <t>INHERENTE</t>
        </is>
      </c>
      <c r="F2066" t="inlineStr">
        <is>
          <t>BURUNDI</t>
        </is>
      </c>
      <c r="G2066" t="inlineStr">
        <is>
          <t>BI</t>
        </is>
      </c>
      <c r="H2066" t="n">
        <v>4</v>
      </c>
      <c r="I2066" t="n">
        <v>4</v>
      </c>
      <c r="J2066" t="n">
        <v>4</v>
      </c>
      <c r="K2066" t="n">
        <v>16</v>
      </c>
      <c r="L2066" t="n">
        <v>16</v>
      </c>
      <c r="M2066" t="n">
        <v>16</v>
      </c>
      <c r="N2066" t="n">
        <v>16</v>
      </c>
      <c r="O2066" t="n">
        <v>20</v>
      </c>
      <c r="P2066" t="n">
        <v>4</v>
      </c>
      <c r="R2066" s="9" t="n">
        <v>0.04</v>
      </c>
      <c r="S2066" s="10" t="inlineStr">
        <is>
          <t>SÍ — integrante</t>
        </is>
      </c>
      <c r="T2066" s="11" t="inlineStr">
        <is>
          <t>B · INTEGRANTE</t>
        </is>
      </c>
      <c r="U2066" s="11" t="inlineStr">
        <is>
          <t>DEL BANCO (se hereda)</t>
        </is>
      </c>
      <c r="V2066" s="11" t="n"/>
      <c r="W2066" s="12" t="n"/>
      <c r="X2066" s="12" t="n"/>
    </row>
    <row r="2067" ht="15" customHeight="1">
      <c r="C2067" t="inlineStr">
        <is>
          <t>NACIONALIDAD</t>
        </is>
      </c>
      <c r="D2067" t="inlineStr">
        <is>
          <t>F5</t>
        </is>
      </c>
      <c r="E2067" t="inlineStr">
        <is>
          <t>INHERENTE</t>
        </is>
      </c>
      <c r="F2067" t="inlineStr">
        <is>
          <t>BENIN</t>
        </is>
      </c>
      <c r="G2067" t="inlineStr">
        <is>
          <t>BJ</t>
        </is>
      </c>
      <c r="H2067" t="n">
        <v>3</v>
      </c>
      <c r="I2067" t="n">
        <v>3</v>
      </c>
      <c r="J2067" t="n">
        <v>4</v>
      </c>
      <c r="K2067" t="n">
        <v>12</v>
      </c>
      <c r="L2067" t="n">
        <v>12</v>
      </c>
      <c r="M2067" t="n">
        <v>12</v>
      </c>
      <c r="N2067" t="n">
        <v>12</v>
      </c>
      <c r="O2067" t="n">
        <v>20</v>
      </c>
      <c r="P2067" t="n">
        <v>4</v>
      </c>
      <c r="R2067" s="9" t="n">
        <v>0.04</v>
      </c>
      <c r="S2067" s="10" t="inlineStr">
        <is>
          <t>SÍ — integrante</t>
        </is>
      </c>
      <c r="T2067" s="11" t="inlineStr">
        <is>
          <t>B · INTEGRANTE</t>
        </is>
      </c>
      <c r="U2067" s="11" t="inlineStr">
        <is>
          <t>DEL BANCO (se hereda)</t>
        </is>
      </c>
      <c r="V2067" s="11" t="n"/>
      <c r="W2067" s="12" t="n"/>
      <c r="X2067" s="12" t="n"/>
    </row>
    <row r="2068" ht="15" customHeight="1">
      <c r="C2068" t="inlineStr">
        <is>
          <t>NACIONALIDAD</t>
        </is>
      </c>
      <c r="D2068" t="inlineStr">
        <is>
          <t>F5</t>
        </is>
      </c>
      <c r="E2068" t="inlineStr">
        <is>
          <t>INHERENTE</t>
        </is>
      </c>
      <c r="F2068" t="inlineStr">
        <is>
          <t>SAN BARTOLOME</t>
        </is>
      </c>
      <c r="G2068" t="inlineStr">
        <is>
          <t>BL</t>
        </is>
      </c>
      <c r="H2068" t="n">
        <v>1</v>
      </c>
      <c r="I2068" t="n">
        <v>1</v>
      </c>
      <c r="J2068" t="n">
        <v>4</v>
      </c>
      <c r="K2068" t="n">
        <v>4</v>
      </c>
      <c r="L2068" t="n">
        <v>4</v>
      </c>
      <c r="M2068" t="n">
        <v>4</v>
      </c>
      <c r="N2068" t="n">
        <v>4</v>
      </c>
      <c r="O2068" t="n">
        <v>20</v>
      </c>
      <c r="P2068" t="n">
        <v>4</v>
      </c>
      <c r="R2068" s="9" t="n">
        <v>0.04</v>
      </c>
      <c r="S2068" s="10" t="inlineStr">
        <is>
          <t>SÍ — integrante</t>
        </is>
      </c>
      <c r="T2068" s="11" t="inlineStr">
        <is>
          <t>B · INTEGRANTE</t>
        </is>
      </c>
      <c r="U2068" s="11" t="inlineStr">
        <is>
          <t>DEL BANCO (se hereda)</t>
        </is>
      </c>
      <c r="V2068" s="11" t="n"/>
      <c r="W2068" s="12" t="n"/>
      <c r="X2068" s="12" t="n"/>
    </row>
    <row r="2069" ht="15" customHeight="1">
      <c r="C2069" t="inlineStr">
        <is>
          <t>NACIONALIDAD</t>
        </is>
      </c>
      <c r="D2069" t="inlineStr">
        <is>
          <t>F5</t>
        </is>
      </c>
      <c r="E2069" t="inlineStr">
        <is>
          <t>INHERENTE</t>
        </is>
      </c>
      <c r="F2069" t="inlineStr">
        <is>
          <t>BERMUDAS</t>
        </is>
      </c>
      <c r="G2069" t="inlineStr">
        <is>
          <t>BM</t>
        </is>
      </c>
      <c r="H2069" t="n">
        <v>3</v>
      </c>
      <c r="I2069" t="n">
        <v>3</v>
      </c>
      <c r="J2069" t="n">
        <v>4</v>
      </c>
      <c r="K2069" t="n">
        <v>12</v>
      </c>
      <c r="L2069" t="n">
        <v>12</v>
      </c>
      <c r="M2069" t="n">
        <v>12</v>
      </c>
      <c r="N2069" t="n">
        <v>12</v>
      </c>
      <c r="O2069" t="n">
        <v>20</v>
      </c>
      <c r="P2069" t="n">
        <v>4</v>
      </c>
      <c r="R2069" s="9" t="n">
        <v>0.04</v>
      </c>
      <c r="S2069" s="10" t="inlineStr">
        <is>
          <t>SÍ — integrante</t>
        </is>
      </c>
      <c r="T2069" s="11" t="inlineStr">
        <is>
          <t>B · INTEGRANTE</t>
        </is>
      </c>
      <c r="U2069" s="11" t="inlineStr">
        <is>
          <t>DEL BANCO (se hereda)</t>
        </is>
      </c>
      <c r="V2069" s="11" t="n"/>
      <c r="W2069" s="12" t="n"/>
      <c r="X2069" s="12" t="n"/>
    </row>
    <row r="2070" ht="15" customHeight="1">
      <c r="C2070" t="inlineStr">
        <is>
          <t>NACIONALIDAD</t>
        </is>
      </c>
      <c r="D2070" t="inlineStr">
        <is>
          <t>F5</t>
        </is>
      </c>
      <c r="E2070" t="inlineStr">
        <is>
          <t>INHERENTE</t>
        </is>
      </c>
      <c r="F2070" t="inlineStr">
        <is>
          <t>BRUNEI</t>
        </is>
      </c>
      <c r="G2070" t="inlineStr">
        <is>
          <t>BN</t>
        </is>
      </c>
      <c r="H2070" t="n">
        <v>3</v>
      </c>
      <c r="I2070" t="n">
        <v>3</v>
      </c>
      <c r="J2070" t="n">
        <v>4</v>
      </c>
      <c r="K2070" t="n">
        <v>12</v>
      </c>
      <c r="L2070" t="n">
        <v>12</v>
      </c>
      <c r="M2070" t="n">
        <v>12</v>
      </c>
      <c r="N2070" t="n">
        <v>12</v>
      </c>
      <c r="O2070" t="n">
        <v>20</v>
      </c>
      <c r="P2070" t="n">
        <v>4</v>
      </c>
      <c r="R2070" s="9" t="n">
        <v>0.04</v>
      </c>
      <c r="S2070" s="10" t="inlineStr">
        <is>
          <t>SÍ — integrante</t>
        </is>
      </c>
      <c r="T2070" s="11" t="inlineStr">
        <is>
          <t>B · INTEGRANTE</t>
        </is>
      </c>
      <c r="U2070" s="11" t="inlineStr">
        <is>
          <t>DEL BANCO (se hereda)</t>
        </is>
      </c>
      <c r="V2070" s="11" t="n"/>
      <c r="W2070" s="12" t="n"/>
      <c r="X2070" s="12" t="n"/>
    </row>
    <row r="2071" ht="15" customHeight="1">
      <c r="C2071" t="inlineStr">
        <is>
          <t>NACIONALIDAD</t>
        </is>
      </c>
      <c r="D2071" t="inlineStr">
        <is>
          <t>F5</t>
        </is>
      </c>
      <c r="E2071" t="inlineStr">
        <is>
          <t>INHERENTE</t>
        </is>
      </c>
      <c r="F2071" t="inlineStr">
        <is>
          <t>BOLIVIA</t>
        </is>
      </c>
      <c r="G2071" t="inlineStr">
        <is>
          <t>BO</t>
        </is>
      </c>
      <c r="H2071" t="n">
        <v>4</v>
      </c>
      <c r="I2071" t="n">
        <v>4</v>
      </c>
      <c r="J2071" t="n">
        <v>4</v>
      </c>
      <c r="K2071" t="n">
        <v>16</v>
      </c>
      <c r="L2071" t="n">
        <v>16</v>
      </c>
      <c r="M2071" t="n">
        <v>16</v>
      </c>
      <c r="N2071" t="n">
        <v>16</v>
      </c>
      <c r="O2071" t="n">
        <v>20</v>
      </c>
      <c r="P2071" t="n">
        <v>4</v>
      </c>
      <c r="Q2071" t="inlineStr">
        <is>
          <t>DETERMINANTE</t>
        </is>
      </c>
      <c r="R2071" s="9" t="n">
        <v>0.04</v>
      </c>
      <c r="S2071" s="10" t="inlineStr">
        <is>
          <t>SÍ — integrante</t>
        </is>
      </c>
      <c r="T2071" s="11" t="inlineStr">
        <is>
          <t>B · INTEGRANTE</t>
        </is>
      </c>
      <c r="U2071" s="11" t="inlineStr">
        <is>
          <t>DEL BANCO (se hereda)</t>
        </is>
      </c>
      <c r="V2071" s="11" t="n"/>
      <c r="W2071" s="12" t="n"/>
      <c r="X2071" s="12" t="n"/>
    </row>
    <row r="2072" ht="15" customHeight="1">
      <c r="C2072" t="inlineStr">
        <is>
          <t>NACIONALIDAD</t>
        </is>
      </c>
      <c r="D2072" t="inlineStr">
        <is>
          <t>F5</t>
        </is>
      </c>
      <c r="E2072" t="inlineStr">
        <is>
          <t>INHERENTE</t>
        </is>
      </c>
      <c r="F2072" t="inlineStr">
        <is>
          <t>BRASIL</t>
        </is>
      </c>
      <c r="G2072" t="inlineStr">
        <is>
          <t>BR</t>
        </is>
      </c>
      <c r="H2072" t="n">
        <v>2</v>
      </c>
      <c r="I2072" t="n">
        <v>2</v>
      </c>
      <c r="J2072" t="n">
        <v>4</v>
      </c>
      <c r="K2072" t="n">
        <v>8</v>
      </c>
      <c r="L2072" t="n">
        <v>8</v>
      </c>
      <c r="M2072" t="n">
        <v>8</v>
      </c>
      <c r="N2072" t="n">
        <v>8</v>
      </c>
      <c r="O2072" t="n">
        <v>20</v>
      </c>
      <c r="P2072" t="n">
        <v>4</v>
      </c>
      <c r="R2072" s="9" t="n">
        <v>0.04</v>
      </c>
      <c r="S2072" s="10" t="inlineStr">
        <is>
          <t>SÍ — integrante</t>
        </is>
      </c>
      <c r="T2072" s="11" t="inlineStr">
        <is>
          <t>B · INTEGRANTE</t>
        </is>
      </c>
      <c r="U2072" s="11" t="inlineStr">
        <is>
          <t>DEL BANCO (se hereda)</t>
        </is>
      </c>
      <c r="V2072" s="11" t="n"/>
      <c r="W2072" s="12" t="n"/>
      <c r="X2072" s="12" t="n"/>
    </row>
    <row r="2073" ht="15" customHeight="1">
      <c r="C2073" t="inlineStr">
        <is>
          <t>NACIONALIDAD</t>
        </is>
      </c>
      <c r="D2073" t="inlineStr">
        <is>
          <t>F5</t>
        </is>
      </c>
      <c r="E2073" t="inlineStr">
        <is>
          <t>INHERENTE</t>
        </is>
      </c>
      <c r="F2073" t="inlineStr">
        <is>
          <t>BAHAMAS</t>
        </is>
      </c>
      <c r="G2073" t="inlineStr">
        <is>
          <t>BS</t>
        </is>
      </c>
      <c r="H2073" t="n">
        <v>3</v>
      </c>
      <c r="I2073" t="n">
        <v>3</v>
      </c>
      <c r="J2073" t="n">
        <v>4</v>
      </c>
      <c r="K2073" t="n">
        <v>12</v>
      </c>
      <c r="L2073" t="n">
        <v>12</v>
      </c>
      <c r="M2073" t="n">
        <v>12</v>
      </c>
      <c r="N2073" t="n">
        <v>12</v>
      </c>
      <c r="O2073" t="n">
        <v>20</v>
      </c>
      <c r="P2073" t="n">
        <v>4</v>
      </c>
      <c r="R2073" s="9" t="n">
        <v>0.04</v>
      </c>
      <c r="S2073" s="10" t="inlineStr">
        <is>
          <t>SÍ — integrante</t>
        </is>
      </c>
      <c r="T2073" s="11" t="inlineStr">
        <is>
          <t>B · INTEGRANTE</t>
        </is>
      </c>
      <c r="U2073" s="11" t="inlineStr">
        <is>
          <t>DEL BANCO (se hereda)</t>
        </is>
      </c>
      <c r="V2073" s="11" t="n"/>
      <c r="W2073" s="12" t="n"/>
      <c r="X2073" s="12" t="n"/>
    </row>
    <row r="2074" ht="15" customHeight="1">
      <c r="C2074" t="inlineStr">
        <is>
          <t>NACIONALIDAD</t>
        </is>
      </c>
      <c r="D2074" t="inlineStr">
        <is>
          <t>F5</t>
        </is>
      </c>
      <c r="E2074" t="inlineStr">
        <is>
          <t>INHERENTE</t>
        </is>
      </c>
      <c r="F2074" t="inlineStr">
        <is>
          <t>BHUTAN</t>
        </is>
      </c>
      <c r="G2074" t="inlineStr">
        <is>
          <t>BT</t>
        </is>
      </c>
      <c r="H2074" t="n">
        <v>1</v>
      </c>
      <c r="I2074" t="n">
        <v>1</v>
      </c>
      <c r="J2074" t="n">
        <v>4</v>
      </c>
      <c r="K2074" t="n">
        <v>4</v>
      </c>
      <c r="L2074" t="n">
        <v>4</v>
      </c>
      <c r="M2074" t="n">
        <v>4</v>
      </c>
      <c r="N2074" t="n">
        <v>4</v>
      </c>
      <c r="O2074" t="n">
        <v>20</v>
      </c>
      <c r="P2074" t="n">
        <v>4</v>
      </c>
      <c r="R2074" s="9" t="n">
        <v>0.04</v>
      </c>
      <c r="S2074" s="10" t="inlineStr">
        <is>
          <t>SÍ — integrante</t>
        </is>
      </c>
      <c r="T2074" s="11" t="inlineStr">
        <is>
          <t>B · INTEGRANTE</t>
        </is>
      </c>
      <c r="U2074" s="11" t="inlineStr">
        <is>
          <t>DEL BANCO (se hereda)</t>
        </is>
      </c>
      <c r="V2074" s="11" t="n"/>
      <c r="W2074" s="12" t="n"/>
      <c r="X2074" s="12" t="n"/>
    </row>
    <row r="2075" ht="15" customHeight="1">
      <c r="C2075" t="inlineStr">
        <is>
          <t>NACIONALIDAD</t>
        </is>
      </c>
      <c r="D2075" t="inlineStr">
        <is>
          <t>F5</t>
        </is>
      </c>
      <c r="E2075" t="inlineStr">
        <is>
          <t>INHERENTE</t>
        </is>
      </c>
      <c r="F2075" t="inlineStr">
        <is>
          <t>ISLA BOUVET</t>
        </is>
      </c>
      <c r="G2075" t="inlineStr">
        <is>
          <t>BV</t>
        </is>
      </c>
      <c r="H2075" t="n">
        <v>1</v>
      </c>
      <c r="I2075" t="n">
        <v>1</v>
      </c>
      <c r="J2075" t="n">
        <v>4</v>
      </c>
      <c r="K2075" t="n">
        <v>4</v>
      </c>
      <c r="L2075" t="n">
        <v>4</v>
      </c>
      <c r="M2075" t="n">
        <v>4</v>
      </c>
      <c r="N2075" t="n">
        <v>4</v>
      </c>
      <c r="O2075" t="n">
        <v>20</v>
      </c>
      <c r="P2075" t="n">
        <v>4</v>
      </c>
      <c r="R2075" s="9" t="n">
        <v>0.04</v>
      </c>
      <c r="S2075" s="10" t="inlineStr">
        <is>
          <t>SÍ — integrante</t>
        </is>
      </c>
      <c r="T2075" s="11" t="inlineStr">
        <is>
          <t>B · INTEGRANTE</t>
        </is>
      </c>
      <c r="U2075" s="11" t="inlineStr">
        <is>
          <t>DEL BANCO (se hereda)</t>
        </is>
      </c>
      <c r="V2075" s="11" t="n"/>
      <c r="W2075" s="12" t="n"/>
      <c r="X2075" s="12" t="n"/>
    </row>
    <row r="2076" ht="15" customHeight="1">
      <c r="C2076" t="inlineStr">
        <is>
          <t>NACIONALIDAD</t>
        </is>
      </c>
      <c r="D2076" t="inlineStr">
        <is>
          <t>F5</t>
        </is>
      </c>
      <c r="E2076" t="inlineStr">
        <is>
          <t>INHERENTE</t>
        </is>
      </c>
      <c r="F2076" t="inlineStr">
        <is>
          <t>BOTSWANA</t>
        </is>
      </c>
      <c r="G2076" t="inlineStr">
        <is>
          <t>BW</t>
        </is>
      </c>
      <c r="H2076" t="n">
        <v>1</v>
      </c>
      <c r="I2076" t="n">
        <v>1</v>
      </c>
      <c r="J2076" t="n">
        <v>4</v>
      </c>
      <c r="K2076" t="n">
        <v>4</v>
      </c>
      <c r="L2076" t="n">
        <v>4</v>
      </c>
      <c r="M2076" t="n">
        <v>4</v>
      </c>
      <c r="N2076" t="n">
        <v>4</v>
      </c>
      <c r="O2076" t="n">
        <v>20</v>
      </c>
      <c r="P2076" t="n">
        <v>4</v>
      </c>
      <c r="R2076" s="9" t="n">
        <v>0.04</v>
      </c>
      <c r="S2076" s="10" t="inlineStr">
        <is>
          <t>SÍ — integrante</t>
        </is>
      </c>
      <c r="T2076" s="11" t="inlineStr">
        <is>
          <t>B · INTEGRANTE</t>
        </is>
      </c>
      <c r="U2076" s="11" t="inlineStr">
        <is>
          <t>DEL BANCO (se hereda)</t>
        </is>
      </c>
      <c r="V2076" s="11" t="n"/>
      <c r="W2076" s="12" t="n"/>
      <c r="X2076" s="12" t="n"/>
    </row>
    <row r="2077" ht="15" customHeight="1">
      <c r="C2077" t="inlineStr">
        <is>
          <t>NACIONALIDAD</t>
        </is>
      </c>
      <c r="D2077" t="inlineStr">
        <is>
          <t>F5</t>
        </is>
      </c>
      <c r="E2077" t="inlineStr">
        <is>
          <t>INHERENTE</t>
        </is>
      </c>
      <c r="F2077" t="inlineStr">
        <is>
          <t>BELARUS</t>
        </is>
      </c>
      <c r="G2077" t="inlineStr">
        <is>
          <t>BY</t>
        </is>
      </c>
      <c r="H2077" t="n">
        <v>4</v>
      </c>
      <c r="I2077" t="n">
        <v>4</v>
      </c>
      <c r="J2077" t="n">
        <v>4</v>
      </c>
      <c r="K2077" t="n">
        <v>16</v>
      </c>
      <c r="L2077" t="n">
        <v>16</v>
      </c>
      <c r="M2077" t="n">
        <v>16</v>
      </c>
      <c r="N2077" t="n">
        <v>16</v>
      </c>
      <c r="O2077" t="n">
        <v>20</v>
      </c>
      <c r="P2077" t="n">
        <v>4</v>
      </c>
      <c r="R2077" s="9" t="n">
        <v>0.04</v>
      </c>
      <c r="S2077" s="10" t="inlineStr">
        <is>
          <t>SÍ — integrante</t>
        </is>
      </c>
      <c r="T2077" s="11" t="inlineStr">
        <is>
          <t>B · INTEGRANTE</t>
        </is>
      </c>
      <c r="U2077" s="11" t="inlineStr">
        <is>
          <t>DEL BANCO (se hereda)</t>
        </is>
      </c>
      <c r="V2077" s="11" t="n"/>
      <c r="W2077" s="12" t="n"/>
      <c r="X2077" s="12" t="n"/>
    </row>
    <row r="2078" ht="15" customHeight="1">
      <c r="C2078" t="inlineStr">
        <is>
          <t>NACIONALIDAD</t>
        </is>
      </c>
      <c r="D2078" t="inlineStr">
        <is>
          <t>F5</t>
        </is>
      </c>
      <c r="E2078" t="inlineStr">
        <is>
          <t>INHERENTE</t>
        </is>
      </c>
      <c r="F2078" t="inlineStr">
        <is>
          <t>BELICE</t>
        </is>
      </c>
      <c r="G2078" t="inlineStr">
        <is>
          <t>BZ</t>
        </is>
      </c>
      <c r="H2078" t="n">
        <v>3</v>
      </c>
      <c r="I2078" t="n">
        <v>3</v>
      </c>
      <c r="J2078" t="n">
        <v>4</v>
      </c>
      <c r="K2078" t="n">
        <v>12</v>
      </c>
      <c r="L2078" t="n">
        <v>12</v>
      </c>
      <c r="M2078" t="n">
        <v>12</v>
      </c>
      <c r="N2078" t="n">
        <v>12</v>
      </c>
      <c r="O2078" t="n">
        <v>20</v>
      </c>
      <c r="P2078" t="n">
        <v>4</v>
      </c>
      <c r="R2078" s="9" t="n">
        <v>0.04</v>
      </c>
      <c r="S2078" s="10" t="inlineStr">
        <is>
          <t>SÍ — integrante</t>
        </is>
      </c>
      <c r="T2078" s="11" t="inlineStr">
        <is>
          <t>B · INTEGRANTE</t>
        </is>
      </c>
      <c r="U2078" s="11" t="inlineStr">
        <is>
          <t>DEL BANCO (se hereda)</t>
        </is>
      </c>
      <c r="V2078" s="11" t="n"/>
      <c r="W2078" s="12" t="n"/>
      <c r="X2078" s="12" t="n"/>
    </row>
    <row r="2079" ht="15" customHeight="1">
      <c r="C2079" t="inlineStr">
        <is>
          <t>NACIONALIDAD</t>
        </is>
      </c>
      <c r="D2079" t="inlineStr">
        <is>
          <t>F5</t>
        </is>
      </c>
      <c r="E2079" t="inlineStr">
        <is>
          <t>INHERENTE</t>
        </is>
      </c>
      <c r="F2079" t="inlineStr">
        <is>
          <t>CANADA</t>
        </is>
      </c>
      <c r="G2079" t="inlineStr">
        <is>
          <t>CA</t>
        </is>
      </c>
      <c r="H2079" t="n">
        <v>1</v>
      </c>
      <c r="I2079" t="n">
        <v>1</v>
      </c>
      <c r="J2079" t="n">
        <v>4</v>
      </c>
      <c r="K2079" t="n">
        <v>4</v>
      </c>
      <c r="L2079" t="n">
        <v>4</v>
      </c>
      <c r="M2079" t="n">
        <v>4</v>
      </c>
      <c r="N2079" t="n">
        <v>4</v>
      </c>
      <c r="O2079" t="n">
        <v>20</v>
      </c>
      <c r="P2079" t="n">
        <v>4</v>
      </c>
      <c r="R2079" s="9" t="n">
        <v>0.04</v>
      </c>
      <c r="S2079" s="10" t="inlineStr">
        <is>
          <t>SÍ — integrante</t>
        </is>
      </c>
      <c r="T2079" s="11" t="inlineStr">
        <is>
          <t>B · INTEGRANTE</t>
        </is>
      </c>
      <c r="U2079" s="11" t="inlineStr">
        <is>
          <t>DEL BANCO (se hereda)</t>
        </is>
      </c>
      <c r="V2079" s="11" t="n"/>
      <c r="W2079" s="12" t="n"/>
      <c r="X2079" s="12" t="n"/>
    </row>
    <row r="2080" ht="15" customHeight="1">
      <c r="C2080" t="inlineStr">
        <is>
          <t>NACIONALIDAD</t>
        </is>
      </c>
      <c r="D2080" t="inlineStr">
        <is>
          <t>F5</t>
        </is>
      </c>
      <c r="E2080" t="inlineStr">
        <is>
          <t>INHERENTE</t>
        </is>
      </c>
      <c r="F2080" t="inlineStr">
        <is>
          <t>ISLAS COCOS O KELLIN</t>
        </is>
      </c>
      <c r="G2080" t="inlineStr">
        <is>
          <t>CC</t>
        </is>
      </c>
      <c r="H2080" t="n">
        <v>1</v>
      </c>
      <c r="I2080" t="n">
        <v>1</v>
      </c>
      <c r="J2080" t="n">
        <v>4</v>
      </c>
      <c r="K2080" t="n">
        <v>4</v>
      </c>
      <c r="L2080" t="n">
        <v>4</v>
      </c>
      <c r="M2080" t="n">
        <v>4</v>
      </c>
      <c r="N2080" t="n">
        <v>4</v>
      </c>
      <c r="O2080" t="n">
        <v>20</v>
      </c>
      <c r="P2080" t="n">
        <v>4</v>
      </c>
      <c r="R2080" s="9" t="n">
        <v>0.04</v>
      </c>
      <c r="S2080" s="10" t="inlineStr">
        <is>
          <t>SÍ — integrante</t>
        </is>
      </c>
      <c r="T2080" s="11" t="inlineStr">
        <is>
          <t>B · INTEGRANTE</t>
        </is>
      </c>
      <c r="U2080" s="11" t="inlineStr">
        <is>
          <t>DEL BANCO (se hereda)</t>
        </is>
      </c>
      <c r="V2080" s="11" t="n"/>
      <c r="W2080" s="12" t="n"/>
      <c r="X2080" s="12" t="n"/>
    </row>
    <row r="2081" ht="15" customHeight="1">
      <c r="C2081" t="inlineStr">
        <is>
          <t>NACIONALIDAD</t>
        </is>
      </c>
      <c r="D2081" t="inlineStr">
        <is>
          <t>F5</t>
        </is>
      </c>
      <c r="E2081" t="inlineStr">
        <is>
          <t>INHERENTE</t>
        </is>
      </c>
      <c r="F2081" t="inlineStr">
        <is>
          <t>REP. DE CONGO</t>
        </is>
      </c>
      <c r="G2081" t="inlineStr">
        <is>
          <t>CD</t>
        </is>
      </c>
      <c r="H2081" t="n">
        <v>4</v>
      </c>
      <c r="I2081" t="n">
        <v>4</v>
      </c>
      <c r="J2081" t="n">
        <v>4</v>
      </c>
      <c r="K2081" t="n">
        <v>16</v>
      </c>
      <c r="L2081" t="n">
        <v>16</v>
      </c>
      <c r="M2081" t="n">
        <v>16</v>
      </c>
      <c r="N2081" t="n">
        <v>16</v>
      </c>
      <c r="O2081" t="n">
        <v>20</v>
      </c>
      <c r="P2081" t="n">
        <v>4</v>
      </c>
      <c r="Q2081" t="inlineStr">
        <is>
          <t>DETERMINANTE</t>
        </is>
      </c>
      <c r="R2081" s="9" t="n">
        <v>0.04</v>
      </c>
      <c r="S2081" s="10" t="inlineStr">
        <is>
          <t>SÍ — integrante</t>
        </is>
      </c>
      <c r="T2081" s="11" t="inlineStr">
        <is>
          <t>B · INTEGRANTE</t>
        </is>
      </c>
      <c r="U2081" s="11" t="inlineStr">
        <is>
          <t>DEL BANCO (se hereda)</t>
        </is>
      </c>
      <c r="V2081" s="11" t="n"/>
      <c r="W2081" s="12" t="n"/>
      <c r="X2081" s="12" t="n"/>
    </row>
    <row r="2082" ht="15" customHeight="1">
      <c r="C2082" t="inlineStr">
        <is>
          <t>NACIONALIDAD</t>
        </is>
      </c>
      <c r="D2082" t="inlineStr">
        <is>
          <t>F5</t>
        </is>
      </c>
      <c r="E2082" t="inlineStr">
        <is>
          <t>INHERENTE</t>
        </is>
      </c>
      <c r="F2082" t="inlineStr">
        <is>
          <t>CENT AFR</t>
        </is>
      </c>
      <c r="G2082" t="inlineStr">
        <is>
          <t>CF</t>
        </is>
      </c>
      <c r="H2082" t="n">
        <v>4</v>
      </c>
      <c r="I2082" t="n">
        <v>4</v>
      </c>
      <c r="J2082" t="n">
        <v>4</v>
      </c>
      <c r="K2082" t="n">
        <v>16</v>
      </c>
      <c r="L2082" t="n">
        <v>16</v>
      </c>
      <c r="M2082" t="n">
        <v>16</v>
      </c>
      <c r="N2082" t="n">
        <v>16</v>
      </c>
      <c r="O2082" t="n">
        <v>20</v>
      </c>
      <c r="P2082" t="n">
        <v>4</v>
      </c>
      <c r="R2082" s="9" t="n">
        <v>0.04</v>
      </c>
      <c r="S2082" s="10" t="inlineStr">
        <is>
          <t>SÍ — integrante</t>
        </is>
      </c>
      <c r="T2082" s="11" t="inlineStr">
        <is>
          <t>B · INTEGRANTE</t>
        </is>
      </c>
      <c r="U2082" s="11" t="inlineStr">
        <is>
          <t>DEL BANCO (se hereda)</t>
        </is>
      </c>
      <c r="V2082" s="11" t="n"/>
      <c r="W2082" s="12" t="n"/>
      <c r="X2082" s="12" t="n"/>
    </row>
    <row r="2083" ht="15" customHeight="1">
      <c r="C2083" t="inlineStr">
        <is>
          <t>NACIONALIDAD</t>
        </is>
      </c>
      <c r="D2083" t="inlineStr">
        <is>
          <t>F5</t>
        </is>
      </c>
      <c r="E2083" t="inlineStr">
        <is>
          <t>INHERENTE</t>
        </is>
      </c>
      <c r="F2083" t="inlineStr">
        <is>
          <t>CONGO</t>
        </is>
      </c>
      <c r="G2083" t="inlineStr">
        <is>
          <t>CG</t>
        </is>
      </c>
      <c r="H2083" t="n">
        <v>4</v>
      </c>
      <c r="I2083" t="n">
        <v>4</v>
      </c>
      <c r="J2083" t="n">
        <v>4</v>
      </c>
      <c r="K2083" t="n">
        <v>16</v>
      </c>
      <c r="L2083" t="n">
        <v>16</v>
      </c>
      <c r="M2083" t="n">
        <v>16</v>
      </c>
      <c r="N2083" t="n">
        <v>16</v>
      </c>
      <c r="O2083" t="n">
        <v>20</v>
      </c>
      <c r="P2083" t="n">
        <v>4</v>
      </c>
      <c r="R2083" s="9" t="n">
        <v>0.04</v>
      </c>
      <c r="S2083" s="10" t="inlineStr">
        <is>
          <t>SÍ — integrante</t>
        </is>
      </c>
      <c r="T2083" s="11" t="inlineStr">
        <is>
          <t>B · INTEGRANTE</t>
        </is>
      </c>
      <c r="U2083" s="11" t="inlineStr">
        <is>
          <t>DEL BANCO (se hereda)</t>
        </is>
      </c>
      <c r="V2083" s="11" t="n"/>
      <c r="W2083" s="12" t="n"/>
      <c r="X2083" s="12" t="n"/>
    </row>
    <row r="2084" ht="15" customHeight="1">
      <c r="C2084" t="inlineStr">
        <is>
          <t>NACIONALIDAD</t>
        </is>
      </c>
      <c r="D2084" t="inlineStr">
        <is>
          <t>F5</t>
        </is>
      </c>
      <c r="E2084" t="inlineStr">
        <is>
          <t>INHERENTE</t>
        </is>
      </c>
      <c r="F2084" t="inlineStr">
        <is>
          <t>SUIZA</t>
        </is>
      </c>
      <c r="G2084" t="inlineStr">
        <is>
          <t>CH</t>
        </is>
      </c>
      <c r="H2084" t="n">
        <v>1</v>
      </c>
      <c r="I2084" t="n">
        <v>1</v>
      </c>
      <c r="J2084" t="n">
        <v>4</v>
      </c>
      <c r="K2084" t="n">
        <v>4</v>
      </c>
      <c r="L2084" t="n">
        <v>4</v>
      </c>
      <c r="M2084" t="n">
        <v>4</v>
      </c>
      <c r="N2084" t="n">
        <v>4</v>
      </c>
      <c r="O2084" t="n">
        <v>20</v>
      </c>
      <c r="P2084" t="n">
        <v>4</v>
      </c>
      <c r="R2084" s="9" t="n">
        <v>0.04</v>
      </c>
      <c r="S2084" s="10" t="inlineStr">
        <is>
          <t>SÍ — integrante</t>
        </is>
      </c>
      <c r="T2084" s="11" t="inlineStr">
        <is>
          <t>B · INTEGRANTE</t>
        </is>
      </c>
      <c r="U2084" s="11" t="inlineStr">
        <is>
          <t>DEL BANCO (se hereda)</t>
        </is>
      </c>
      <c r="V2084" s="11" t="n"/>
      <c r="W2084" s="12" t="n"/>
      <c r="X2084" s="12" t="n"/>
    </row>
    <row r="2085" ht="15" customHeight="1">
      <c r="C2085" t="inlineStr">
        <is>
          <t>NACIONALIDAD</t>
        </is>
      </c>
      <c r="D2085" t="inlineStr">
        <is>
          <t>F5</t>
        </is>
      </c>
      <c r="E2085" t="inlineStr">
        <is>
          <t>INHERENTE</t>
        </is>
      </c>
      <c r="F2085" t="inlineStr">
        <is>
          <t>COSTA DE MARFIL</t>
        </is>
      </c>
      <c r="G2085" t="inlineStr">
        <is>
          <t>CI</t>
        </is>
      </c>
      <c r="H2085" t="n">
        <v>4</v>
      </c>
      <c r="I2085" t="n">
        <v>4</v>
      </c>
      <c r="J2085" t="n">
        <v>4</v>
      </c>
      <c r="K2085" t="n">
        <v>16</v>
      </c>
      <c r="L2085" t="n">
        <v>16</v>
      </c>
      <c r="M2085" t="n">
        <v>16</v>
      </c>
      <c r="N2085" t="n">
        <v>16</v>
      </c>
      <c r="O2085" t="n">
        <v>20</v>
      </c>
      <c r="P2085" t="n">
        <v>4</v>
      </c>
      <c r="Q2085" t="inlineStr">
        <is>
          <t>DETERMINANTE</t>
        </is>
      </c>
      <c r="R2085" s="9" t="n">
        <v>0.04</v>
      </c>
      <c r="S2085" s="10" t="inlineStr">
        <is>
          <t>SÍ — integrante</t>
        </is>
      </c>
      <c r="T2085" s="11" t="inlineStr">
        <is>
          <t>B · INTEGRANTE</t>
        </is>
      </c>
      <c r="U2085" s="11" t="inlineStr">
        <is>
          <t>DEL BANCO (se hereda)</t>
        </is>
      </c>
      <c r="V2085" s="11" t="n"/>
      <c r="W2085" s="12" t="n"/>
      <c r="X2085" s="12" t="n"/>
    </row>
    <row r="2086" ht="15" customHeight="1">
      <c r="C2086" t="inlineStr">
        <is>
          <t>NACIONALIDAD</t>
        </is>
      </c>
      <c r="D2086" t="inlineStr">
        <is>
          <t>F5</t>
        </is>
      </c>
      <c r="E2086" t="inlineStr">
        <is>
          <t>INHERENTE</t>
        </is>
      </c>
      <c r="F2086" t="inlineStr">
        <is>
          <t>ISLAS COOK</t>
        </is>
      </c>
      <c r="G2086" t="inlineStr">
        <is>
          <t>CK</t>
        </is>
      </c>
      <c r="H2086" t="n">
        <v>3</v>
      </c>
      <c r="I2086" t="n">
        <v>3</v>
      </c>
      <c r="J2086" t="n">
        <v>4</v>
      </c>
      <c r="K2086" t="n">
        <v>12</v>
      </c>
      <c r="L2086" t="n">
        <v>12</v>
      </c>
      <c r="M2086" t="n">
        <v>12</v>
      </c>
      <c r="N2086" t="n">
        <v>12</v>
      </c>
      <c r="O2086" t="n">
        <v>20</v>
      </c>
      <c r="P2086" t="n">
        <v>4</v>
      </c>
      <c r="R2086" s="9" t="n">
        <v>0.04</v>
      </c>
      <c r="S2086" s="10" t="inlineStr">
        <is>
          <t>SÍ — integrante</t>
        </is>
      </c>
      <c r="T2086" s="11" t="inlineStr">
        <is>
          <t>B · INTEGRANTE</t>
        </is>
      </c>
      <c r="U2086" s="11" t="inlineStr">
        <is>
          <t>DEL BANCO (se hereda)</t>
        </is>
      </c>
      <c r="V2086" s="11" t="n"/>
      <c r="W2086" s="12" t="n"/>
      <c r="X2086" s="12" t="n"/>
    </row>
    <row r="2087" ht="15" customHeight="1">
      <c r="C2087" t="inlineStr">
        <is>
          <t>NACIONALIDAD</t>
        </is>
      </c>
      <c r="D2087" t="inlineStr">
        <is>
          <t>F5</t>
        </is>
      </c>
      <c r="E2087" t="inlineStr">
        <is>
          <t>INHERENTE</t>
        </is>
      </c>
      <c r="F2087" t="inlineStr">
        <is>
          <t>CHILE</t>
        </is>
      </c>
      <c r="G2087" t="inlineStr">
        <is>
          <t>CL</t>
        </is>
      </c>
      <c r="H2087" t="n">
        <v>1</v>
      </c>
      <c r="I2087" t="n">
        <v>1</v>
      </c>
      <c r="J2087" t="n">
        <v>4</v>
      </c>
      <c r="K2087" t="n">
        <v>4</v>
      </c>
      <c r="L2087" t="n">
        <v>4</v>
      </c>
      <c r="M2087" t="n">
        <v>4</v>
      </c>
      <c r="N2087" t="n">
        <v>4</v>
      </c>
      <c r="O2087" t="n">
        <v>20</v>
      </c>
      <c r="P2087" t="n">
        <v>4</v>
      </c>
      <c r="R2087" s="9" t="n">
        <v>0.04</v>
      </c>
      <c r="S2087" s="10" t="inlineStr">
        <is>
          <t>SÍ — integrante</t>
        </is>
      </c>
      <c r="T2087" s="11" t="inlineStr">
        <is>
          <t>B · INTEGRANTE</t>
        </is>
      </c>
      <c r="U2087" s="11" t="inlineStr">
        <is>
          <t>DEL BANCO (se hereda)</t>
        </is>
      </c>
      <c r="V2087" s="11" t="n"/>
      <c r="W2087" s="12" t="n"/>
      <c r="X2087" s="12" t="n"/>
    </row>
    <row r="2088" ht="15" customHeight="1">
      <c r="C2088" t="inlineStr">
        <is>
          <t>NACIONALIDAD</t>
        </is>
      </c>
      <c r="D2088" t="inlineStr">
        <is>
          <t>F5</t>
        </is>
      </c>
      <c r="E2088" t="inlineStr">
        <is>
          <t>INHERENTE</t>
        </is>
      </c>
      <c r="F2088" t="inlineStr">
        <is>
          <t>CAMERUN</t>
        </is>
      </c>
      <c r="G2088" t="inlineStr">
        <is>
          <t>CM</t>
        </is>
      </c>
      <c r="H2088" t="n">
        <v>4</v>
      </c>
      <c r="I2088" t="n">
        <v>4</v>
      </c>
      <c r="J2088" t="n">
        <v>4</v>
      </c>
      <c r="K2088" t="n">
        <v>16</v>
      </c>
      <c r="L2088" t="n">
        <v>16</v>
      </c>
      <c r="M2088" t="n">
        <v>16</v>
      </c>
      <c r="N2088" t="n">
        <v>16</v>
      </c>
      <c r="O2088" t="n">
        <v>20</v>
      </c>
      <c r="P2088" t="n">
        <v>4</v>
      </c>
      <c r="Q2088" t="inlineStr">
        <is>
          <t>DETERMINANTE</t>
        </is>
      </c>
      <c r="R2088" s="9" t="n">
        <v>0.04</v>
      </c>
      <c r="S2088" s="10" t="inlineStr">
        <is>
          <t>SÍ — integrante</t>
        </is>
      </c>
      <c r="T2088" s="11" t="inlineStr">
        <is>
          <t>B · INTEGRANTE</t>
        </is>
      </c>
      <c r="U2088" s="11" t="inlineStr">
        <is>
          <t>DEL BANCO (se hereda)</t>
        </is>
      </c>
      <c r="V2088" s="11" t="n"/>
      <c r="W2088" s="12" t="n"/>
      <c r="X2088" s="12" t="n"/>
    </row>
    <row r="2089" ht="15" customHeight="1">
      <c r="C2089" t="inlineStr">
        <is>
          <t>NACIONALIDAD</t>
        </is>
      </c>
      <c r="D2089" t="inlineStr">
        <is>
          <t>F5</t>
        </is>
      </c>
      <c r="E2089" t="inlineStr">
        <is>
          <t>INHERENTE</t>
        </is>
      </c>
      <c r="F2089" t="inlineStr">
        <is>
          <t>CHINA</t>
        </is>
      </c>
      <c r="G2089" t="inlineStr">
        <is>
          <t>CN</t>
        </is>
      </c>
      <c r="H2089" t="n">
        <v>4</v>
      </c>
      <c r="I2089" t="n">
        <v>4</v>
      </c>
      <c r="J2089" t="n">
        <v>4</v>
      </c>
      <c r="K2089" t="n">
        <v>16</v>
      </c>
      <c r="L2089" t="n">
        <v>16</v>
      </c>
      <c r="M2089" t="n">
        <v>16</v>
      </c>
      <c r="N2089" t="n">
        <v>16</v>
      </c>
      <c r="O2089" t="n">
        <v>20</v>
      </c>
      <c r="P2089" t="n">
        <v>4</v>
      </c>
      <c r="R2089" s="9" t="n">
        <v>0.04</v>
      </c>
      <c r="S2089" s="10" t="inlineStr">
        <is>
          <t>SÍ — integrante</t>
        </is>
      </c>
      <c r="T2089" s="11" t="inlineStr">
        <is>
          <t>B · INTEGRANTE</t>
        </is>
      </c>
      <c r="U2089" s="11" t="inlineStr">
        <is>
          <t>DEL BANCO (se hereda)</t>
        </is>
      </c>
      <c r="V2089" s="11" t="n"/>
      <c r="W2089" s="12" t="n"/>
      <c r="X2089" s="12" t="n"/>
    </row>
    <row r="2090" ht="15" customHeight="1">
      <c r="C2090" t="inlineStr">
        <is>
          <t>NACIONALIDAD</t>
        </is>
      </c>
      <c r="D2090" t="inlineStr">
        <is>
          <t>F5</t>
        </is>
      </c>
      <c r="E2090" t="inlineStr">
        <is>
          <t>INHERENTE</t>
        </is>
      </c>
      <c r="F2090" t="inlineStr">
        <is>
          <t>COLOMBIA</t>
        </is>
      </c>
      <c r="G2090" t="inlineStr">
        <is>
          <t>CO</t>
        </is>
      </c>
      <c r="H2090" t="n">
        <v>2</v>
      </c>
      <c r="I2090" t="n">
        <v>2</v>
      </c>
      <c r="J2090" t="n">
        <v>4</v>
      </c>
      <c r="K2090" t="n">
        <v>8</v>
      </c>
      <c r="L2090" t="n">
        <v>8</v>
      </c>
      <c r="M2090" t="n">
        <v>8</v>
      </c>
      <c r="N2090" t="n">
        <v>8</v>
      </c>
      <c r="O2090" t="n">
        <v>20</v>
      </c>
      <c r="P2090" t="n">
        <v>4</v>
      </c>
      <c r="R2090" s="9" t="n">
        <v>0.04</v>
      </c>
      <c r="S2090" s="10" t="inlineStr">
        <is>
          <t>SÍ — integrante</t>
        </is>
      </c>
      <c r="T2090" s="11" t="inlineStr">
        <is>
          <t>B · INTEGRANTE</t>
        </is>
      </c>
      <c r="U2090" s="11" t="inlineStr">
        <is>
          <t>DEL BANCO (se hereda)</t>
        </is>
      </c>
      <c r="V2090" s="11" t="n"/>
      <c r="W2090" s="12" t="n"/>
      <c r="X2090" s="12" t="n"/>
    </row>
    <row r="2091" ht="15" customHeight="1">
      <c r="C2091" t="inlineStr">
        <is>
          <t>NACIONALIDAD</t>
        </is>
      </c>
      <c r="D2091" t="inlineStr">
        <is>
          <t>F5</t>
        </is>
      </c>
      <c r="E2091" t="inlineStr">
        <is>
          <t>INHERENTE</t>
        </is>
      </c>
      <c r="F2091" t="inlineStr">
        <is>
          <t>COSTA RICA</t>
        </is>
      </c>
      <c r="G2091" t="inlineStr">
        <is>
          <t>CR</t>
        </is>
      </c>
      <c r="H2091" t="n">
        <v>1</v>
      </c>
      <c r="I2091" t="n">
        <v>1</v>
      </c>
      <c r="J2091" t="n">
        <v>4</v>
      </c>
      <c r="K2091" t="n">
        <v>4</v>
      </c>
      <c r="L2091" t="n">
        <v>4</v>
      </c>
      <c r="M2091" t="n">
        <v>4</v>
      </c>
      <c r="N2091" t="n">
        <v>4</v>
      </c>
      <c r="O2091" t="n">
        <v>20</v>
      </c>
      <c r="P2091" t="n">
        <v>4</v>
      </c>
      <c r="R2091" s="9" t="n">
        <v>0.04</v>
      </c>
      <c r="S2091" s="10" t="inlineStr">
        <is>
          <t>SÍ — integrante</t>
        </is>
      </c>
      <c r="T2091" s="11" t="inlineStr">
        <is>
          <t>B · INTEGRANTE</t>
        </is>
      </c>
      <c r="U2091" s="11" t="inlineStr">
        <is>
          <t>DEL BANCO (se hereda)</t>
        </is>
      </c>
      <c r="V2091" s="11" t="n"/>
      <c r="W2091" s="12" t="n"/>
      <c r="X2091" s="12" t="n"/>
    </row>
    <row r="2092" ht="15" customHeight="1">
      <c r="C2092" t="inlineStr">
        <is>
          <t>NACIONALIDAD</t>
        </is>
      </c>
      <c r="D2092" t="inlineStr">
        <is>
          <t>F5</t>
        </is>
      </c>
      <c r="E2092" t="inlineStr">
        <is>
          <t>INHERENTE</t>
        </is>
      </c>
      <c r="F2092" t="inlineStr">
        <is>
          <t>CUBA</t>
        </is>
      </c>
      <c r="G2092" t="inlineStr">
        <is>
          <t>CU</t>
        </is>
      </c>
      <c r="H2092" t="n">
        <v>4</v>
      </c>
      <c r="I2092" t="n">
        <v>4</v>
      </c>
      <c r="J2092" t="n">
        <v>4</v>
      </c>
      <c r="K2092" t="n">
        <v>16</v>
      </c>
      <c r="L2092" t="n">
        <v>16</v>
      </c>
      <c r="M2092" t="n">
        <v>16</v>
      </c>
      <c r="N2092" t="n">
        <v>16</v>
      </c>
      <c r="O2092" t="n">
        <v>20</v>
      </c>
      <c r="P2092" t="n">
        <v>4</v>
      </c>
      <c r="R2092" s="9" t="n">
        <v>0.04</v>
      </c>
      <c r="S2092" s="10" t="inlineStr">
        <is>
          <t>SÍ — integrante</t>
        </is>
      </c>
      <c r="T2092" s="11" t="inlineStr">
        <is>
          <t>B · INTEGRANTE</t>
        </is>
      </c>
      <c r="U2092" s="11" t="inlineStr">
        <is>
          <t>DEL BANCO (se hereda)</t>
        </is>
      </c>
      <c r="V2092" s="11" t="n"/>
      <c r="W2092" s="12" t="n"/>
      <c r="X2092" s="12" t="n"/>
    </row>
    <row r="2093" ht="15" customHeight="1">
      <c r="C2093" t="inlineStr">
        <is>
          <t>NACIONALIDAD</t>
        </is>
      </c>
      <c r="D2093" t="inlineStr">
        <is>
          <t>F5</t>
        </is>
      </c>
      <c r="E2093" t="inlineStr">
        <is>
          <t>INHERENTE</t>
        </is>
      </c>
      <c r="F2093" t="inlineStr">
        <is>
          <t>CABO VERDE</t>
        </is>
      </c>
      <c r="G2093" t="inlineStr">
        <is>
          <t>CV</t>
        </is>
      </c>
      <c r="H2093" t="n">
        <v>2</v>
      </c>
      <c r="I2093" t="n">
        <v>2</v>
      </c>
      <c r="J2093" t="n">
        <v>4</v>
      </c>
      <c r="K2093" t="n">
        <v>8</v>
      </c>
      <c r="L2093" t="n">
        <v>8</v>
      </c>
      <c r="M2093" t="n">
        <v>8</v>
      </c>
      <c r="N2093" t="n">
        <v>8</v>
      </c>
      <c r="O2093" t="n">
        <v>20</v>
      </c>
      <c r="P2093" t="n">
        <v>4</v>
      </c>
      <c r="R2093" s="9" t="n">
        <v>0.04</v>
      </c>
      <c r="S2093" s="10" t="inlineStr">
        <is>
          <t>SÍ — integrante</t>
        </is>
      </c>
      <c r="T2093" s="11" t="inlineStr">
        <is>
          <t>B · INTEGRANTE</t>
        </is>
      </c>
      <c r="U2093" s="11" t="inlineStr">
        <is>
          <t>DEL BANCO (se hereda)</t>
        </is>
      </c>
      <c r="V2093" s="11" t="n"/>
      <c r="W2093" s="12" t="n"/>
      <c r="X2093" s="12" t="n"/>
    </row>
    <row r="2094" ht="15" customHeight="1">
      <c r="C2094" t="inlineStr">
        <is>
          <t>NACIONALIDAD</t>
        </is>
      </c>
      <c r="D2094" t="inlineStr">
        <is>
          <t>F5</t>
        </is>
      </c>
      <c r="E2094" t="inlineStr">
        <is>
          <t>INHERENTE</t>
        </is>
      </c>
      <c r="F2094" t="inlineStr">
        <is>
          <t>CURACAO</t>
        </is>
      </c>
      <c r="G2094" t="inlineStr">
        <is>
          <t>CW</t>
        </is>
      </c>
      <c r="H2094" t="n">
        <v>3</v>
      </c>
      <c r="I2094" t="n">
        <v>3</v>
      </c>
      <c r="J2094" t="n">
        <v>4</v>
      </c>
      <c r="K2094" t="n">
        <v>12</v>
      </c>
      <c r="L2094" t="n">
        <v>12</v>
      </c>
      <c r="M2094" t="n">
        <v>12</v>
      </c>
      <c r="N2094" t="n">
        <v>12</v>
      </c>
      <c r="O2094" t="n">
        <v>20</v>
      </c>
      <c r="P2094" t="n">
        <v>4</v>
      </c>
      <c r="R2094" s="9" t="n">
        <v>0.04</v>
      </c>
      <c r="S2094" s="10" t="inlineStr">
        <is>
          <t>SÍ — integrante</t>
        </is>
      </c>
      <c r="T2094" s="11" t="inlineStr">
        <is>
          <t>B · INTEGRANTE</t>
        </is>
      </c>
      <c r="U2094" s="11" t="inlineStr">
        <is>
          <t>DEL BANCO (se hereda)</t>
        </is>
      </c>
      <c r="V2094" s="11" t="n"/>
      <c r="W2094" s="12" t="n"/>
      <c r="X2094" s="12" t="n"/>
    </row>
    <row r="2095" ht="15" customHeight="1">
      <c r="C2095" t="inlineStr">
        <is>
          <t>NACIONALIDAD</t>
        </is>
      </c>
      <c r="D2095" t="inlineStr">
        <is>
          <t>F5</t>
        </is>
      </c>
      <c r="E2095" t="inlineStr">
        <is>
          <t>INHERENTE</t>
        </is>
      </c>
      <c r="F2095" t="inlineStr">
        <is>
          <t>ISLA CHRISTMAS</t>
        </is>
      </c>
      <c r="G2095" t="inlineStr">
        <is>
          <t>CX</t>
        </is>
      </c>
      <c r="H2095" t="n">
        <v>1</v>
      </c>
      <c r="I2095" t="n">
        <v>1</v>
      </c>
      <c r="J2095" t="n">
        <v>4</v>
      </c>
      <c r="K2095" t="n">
        <v>4</v>
      </c>
      <c r="L2095" t="n">
        <v>4</v>
      </c>
      <c r="M2095" t="n">
        <v>4</v>
      </c>
      <c r="N2095" t="n">
        <v>4</v>
      </c>
      <c r="O2095" t="n">
        <v>20</v>
      </c>
      <c r="P2095" t="n">
        <v>4</v>
      </c>
      <c r="R2095" s="9" t="n">
        <v>0.04</v>
      </c>
      <c r="S2095" s="10" t="inlineStr">
        <is>
          <t>SÍ — integrante</t>
        </is>
      </c>
      <c r="T2095" s="11" t="inlineStr">
        <is>
          <t>B · INTEGRANTE</t>
        </is>
      </c>
      <c r="U2095" s="11" t="inlineStr">
        <is>
          <t>DEL BANCO (se hereda)</t>
        </is>
      </c>
      <c r="V2095" s="11" t="n"/>
      <c r="W2095" s="12" t="n"/>
      <c r="X2095" s="12" t="n"/>
    </row>
    <row r="2096" ht="15" customHeight="1">
      <c r="C2096" t="inlineStr">
        <is>
          <t>NACIONALIDAD</t>
        </is>
      </c>
      <c r="D2096" t="inlineStr">
        <is>
          <t>F5</t>
        </is>
      </c>
      <c r="E2096" t="inlineStr">
        <is>
          <t>INHERENTE</t>
        </is>
      </c>
      <c r="F2096" t="inlineStr">
        <is>
          <t>CHIPRE</t>
        </is>
      </c>
      <c r="G2096" t="inlineStr">
        <is>
          <t>CY</t>
        </is>
      </c>
      <c r="H2096" t="n">
        <v>1</v>
      </c>
      <c r="I2096" t="n">
        <v>1</v>
      </c>
      <c r="J2096" t="n">
        <v>4</v>
      </c>
      <c r="K2096" t="n">
        <v>4</v>
      </c>
      <c r="L2096" t="n">
        <v>4</v>
      </c>
      <c r="M2096" t="n">
        <v>4</v>
      </c>
      <c r="N2096" t="n">
        <v>4</v>
      </c>
      <c r="O2096" t="n">
        <v>20</v>
      </c>
      <c r="P2096" t="n">
        <v>4</v>
      </c>
      <c r="R2096" s="9" t="n">
        <v>0.04</v>
      </c>
      <c r="S2096" s="10" t="inlineStr">
        <is>
          <t>SÍ — integrante</t>
        </is>
      </c>
      <c r="T2096" s="11" t="inlineStr">
        <is>
          <t>B · INTEGRANTE</t>
        </is>
      </c>
      <c r="U2096" s="11" t="inlineStr">
        <is>
          <t>DEL BANCO (se hereda)</t>
        </is>
      </c>
      <c r="V2096" s="11" t="n"/>
      <c r="W2096" s="12" t="n"/>
      <c r="X2096" s="12" t="n"/>
    </row>
    <row r="2097" ht="15" customHeight="1">
      <c r="C2097" t="inlineStr">
        <is>
          <t>NACIONALIDAD</t>
        </is>
      </c>
      <c r="D2097" t="inlineStr">
        <is>
          <t>F5</t>
        </is>
      </c>
      <c r="E2097" t="inlineStr">
        <is>
          <t>INHERENTE</t>
        </is>
      </c>
      <c r="F2097" t="inlineStr">
        <is>
          <t>REP CHECA, OSTRAVA</t>
        </is>
      </c>
      <c r="G2097" t="inlineStr">
        <is>
          <t>CZ</t>
        </is>
      </c>
      <c r="H2097" t="n">
        <v>1</v>
      </c>
      <c r="I2097" t="n">
        <v>1</v>
      </c>
      <c r="J2097" t="n">
        <v>4</v>
      </c>
      <c r="K2097" t="n">
        <v>4</v>
      </c>
      <c r="L2097" t="n">
        <v>4</v>
      </c>
      <c r="M2097" t="n">
        <v>4</v>
      </c>
      <c r="N2097" t="n">
        <v>4</v>
      </c>
      <c r="O2097" t="n">
        <v>20</v>
      </c>
      <c r="P2097" t="n">
        <v>4</v>
      </c>
      <c r="R2097" s="9" t="n">
        <v>0.04</v>
      </c>
      <c r="S2097" s="10" t="inlineStr">
        <is>
          <t>SÍ — integrante</t>
        </is>
      </c>
      <c r="T2097" s="11" t="inlineStr">
        <is>
          <t>B · INTEGRANTE</t>
        </is>
      </c>
      <c r="U2097" s="11" t="inlineStr">
        <is>
          <t>DEL BANCO (se hereda)</t>
        </is>
      </c>
      <c r="V2097" s="11" t="n"/>
      <c r="W2097" s="12" t="n"/>
      <c r="X2097" s="12" t="n"/>
    </row>
    <row r="2098" ht="15" customHeight="1">
      <c r="C2098" t="inlineStr">
        <is>
          <t>NACIONALIDAD</t>
        </is>
      </c>
      <c r="D2098" t="inlineStr">
        <is>
          <t>F5</t>
        </is>
      </c>
      <c r="E2098" t="inlineStr">
        <is>
          <t>INHERENTE</t>
        </is>
      </c>
      <c r="F2098" t="inlineStr">
        <is>
          <t>ALEMANIA</t>
        </is>
      </c>
      <c r="G2098" t="inlineStr">
        <is>
          <t>DE</t>
        </is>
      </c>
      <c r="H2098" t="n">
        <v>1</v>
      </c>
      <c r="I2098" t="n">
        <v>1</v>
      </c>
      <c r="J2098" t="n">
        <v>4</v>
      </c>
      <c r="K2098" t="n">
        <v>4</v>
      </c>
      <c r="L2098" t="n">
        <v>4</v>
      </c>
      <c r="M2098" t="n">
        <v>4</v>
      </c>
      <c r="N2098" t="n">
        <v>4</v>
      </c>
      <c r="O2098" t="n">
        <v>20</v>
      </c>
      <c r="P2098" t="n">
        <v>4</v>
      </c>
      <c r="R2098" s="9" t="n">
        <v>0.04</v>
      </c>
      <c r="S2098" s="10" t="inlineStr">
        <is>
          <t>SÍ — integrante</t>
        </is>
      </c>
      <c r="T2098" s="11" t="inlineStr">
        <is>
          <t>B · INTEGRANTE</t>
        </is>
      </c>
      <c r="U2098" s="11" t="inlineStr">
        <is>
          <t>DEL BANCO (se hereda)</t>
        </is>
      </c>
      <c r="V2098" s="11" t="n"/>
      <c r="W2098" s="12" t="n"/>
      <c r="X2098" s="12" t="n"/>
    </row>
    <row r="2099" ht="15" customHeight="1">
      <c r="C2099" t="inlineStr">
        <is>
          <t>NACIONALIDAD</t>
        </is>
      </c>
      <c r="D2099" t="inlineStr">
        <is>
          <t>F5</t>
        </is>
      </c>
      <c r="E2099" t="inlineStr">
        <is>
          <t>INHERENTE</t>
        </is>
      </c>
      <c r="F2099" t="inlineStr">
        <is>
          <t>DJIBOUTI</t>
        </is>
      </c>
      <c r="G2099" t="inlineStr">
        <is>
          <t>DJ</t>
        </is>
      </c>
      <c r="H2099" t="n">
        <v>4</v>
      </c>
      <c r="I2099" t="n">
        <v>4</v>
      </c>
      <c r="J2099" t="n">
        <v>4</v>
      </c>
      <c r="K2099" t="n">
        <v>16</v>
      </c>
      <c r="L2099" t="n">
        <v>16</v>
      </c>
      <c r="M2099" t="n">
        <v>16</v>
      </c>
      <c r="N2099" t="n">
        <v>16</v>
      </c>
      <c r="O2099" t="n">
        <v>20</v>
      </c>
      <c r="P2099" t="n">
        <v>4</v>
      </c>
      <c r="R2099" s="9" t="n">
        <v>0.04</v>
      </c>
      <c r="S2099" s="10" t="inlineStr">
        <is>
          <t>SÍ — integrante</t>
        </is>
      </c>
      <c r="T2099" s="11" t="inlineStr">
        <is>
          <t>B · INTEGRANTE</t>
        </is>
      </c>
      <c r="U2099" s="11" t="inlineStr">
        <is>
          <t>DEL BANCO (se hereda)</t>
        </is>
      </c>
      <c r="V2099" s="11" t="n"/>
      <c r="W2099" s="12" t="n"/>
      <c r="X2099" s="12" t="n"/>
    </row>
    <row r="2100" ht="15" customHeight="1">
      <c r="C2100" t="inlineStr">
        <is>
          <t>NACIONALIDAD</t>
        </is>
      </c>
      <c r="D2100" t="inlineStr">
        <is>
          <t>F5</t>
        </is>
      </c>
      <c r="E2100" t="inlineStr">
        <is>
          <t>INHERENTE</t>
        </is>
      </c>
      <c r="F2100" t="inlineStr">
        <is>
          <t>DINAMARCA</t>
        </is>
      </c>
      <c r="G2100" t="inlineStr">
        <is>
          <t>DK</t>
        </is>
      </c>
      <c r="H2100" t="n">
        <v>1</v>
      </c>
      <c r="I2100" t="n">
        <v>1</v>
      </c>
      <c r="J2100" t="n">
        <v>4</v>
      </c>
      <c r="K2100" t="n">
        <v>4</v>
      </c>
      <c r="L2100" t="n">
        <v>4</v>
      </c>
      <c r="M2100" t="n">
        <v>4</v>
      </c>
      <c r="N2100" t="n">
        <v>4</v>
      </c>
      <c r="O2100" t="n">
        <v>20</v>
      </c>
      <c r="P2100" t="n">
        <v>4</v>
      </c>
      <c r="R2100" s="9" t="n">
        <v>0.04</v>
      </c>
      <c r="S2100" s="10" t="inlineStr">
        <is>
          <t>SÍ — integrante</t>
        </is>
      </c>
      <c r="T2100" s="11" t="inlineStr">
        <is>
          <t>B · INTEGRANTE</t>
        </is>
      </c>
      <c r="U2100" s="11" t="inlineStr">
        <is>
          <t>DEL BANCO (se hereda)</t>
        </is>
      </c>
      <c r="V2100" s="11" t="n"/>
      <c r="W2100" s="12" t="n"/>
      <c r="X2100" s="12" t="n"/>
    </row>
    <row r="2101" ht="15" customHeight="1">
      <c r="C2101" t="inlineStr">
        <is>
          <t>NACIONALIDAD</t>
        </is>
      </c>
      <c r="D2101" t="inlineStr">
        <is>
          <t>F5</t>
        </is>
      </c>
      <c r="E2101" t="inlineStr">
        <is>
          <t>INHERENTE</t>
        </is>
      </c>
      <c r="F2101" t="inlineStr">
        <is>
          <t>DOMINICA</t>
        </is>
      </c>
      <c r="G2101" t="inlineStr">
        <is>
          <t>DM</t>
        </is>
      </c>
      <c r="H2101" t="n">
        <v>3</v>
      </c>
      <c r="I2101" t="n">
        <v>3</v>
      </c>
      <c r="J2101" t="n">
        <v>4</v>
      </c>
      <c r="K2101" t="n">
        <v>12</v>
      </c>
      <c r="L2101" t="n">
        <v>12</v>
      </c>
      <c r="M2101" t="n">
        <v>12</v>
      </c>
      <c r="N2101" t="n">
        <v>12</v>
      </c>
      <c r="O2101" t="n">
        <v>20</v>
      </c>
      <c r="P2101" t="n">
        <v>4</v>
      </c>
      <c r="R2101" s="9" t="n">
        <v>0.04</v>
      </c>
      <c r="S2101" s="10" t="inlineStr">
        <is>
          <t>SÍ — integrante</t>
        </is>
      </c>
      <c r="T2101" s="11" t="inlineStr">
        <is>
          <t>B · INTEGRANTE</t>
        </is>
      </c>
      <c r="U2101" s="11" t="inlineStr">
        <is>
          <t>DEL BANCO (se hereda)</t>
        </is>
      </c>
      <c r="V2101" s="11" t="n"/>
      <c r="W2101" s="12" t="n"/>
      <c r="X2101" s="12" t="n"/>
    </row>
    <row r="2102" ht="15" customHeight="1">
      <c r="C2102" t="inlineStr">
        <is>
          <t>NACIONALIDAD</t>
        </is>
      </c>
      <c r="D2102" t="inlineStr">
        <is>
          <t>F5</t>
        </is>
      </c>
      <c r="E2102" t="inlineStr">
        <is>
          <t>INHERENTE</t>
        </is>
      </c>
      <c r="F2102" t="inlineStr">
        <is>
          <t>DOMINICANA</t>
        </is>
      </c>
      <c r="G2102" t="inlineStr">
        <is>
          <t>DO</t>
        </is>
      </c>
      <c r="H2102" t="n">
        <v>2</v>
      </c>
      <c r="I2102" t="n">
        <v>2</v>
      </c>
      <c r="J2102" t="n">
        <v>4</v>
      </c>
      <c r="K2102" t="n">
        <v>8</v>
      </c>
      <c r="L2102" t="n">
        <v>8</v>
      </c>
      <c r="M2102" t="n">
        <v>8</v>
      </c>
      <c r="N2102" t="n">
        <v>8</v>
      </c>
      <c r="O2102" t="n">
        <v>20</v>
      </c>
      <c r="P2102" t="n">
        <v>4</v>
      </c>
      <c r="R2102" s="9" t="n">
        <v>0.04</v>
      </c>
      <c r="S2102" s="10" t="inlineStr">
        <is>
          <t>SÍ — integrante</t>
        </is>
      </c>
      <c r="T2102" s="11" t="inlineStr">
        <is>
          <t>B · INTEGRANTE</t>
        </is>
      </c>
      <c r="U2102" s="11" t="inlineStr">
        <is>
          <t>DEL BANCO (se hereda)</t>
        </is>
      </c>
      <c r="V2102" s="11" t="n"/>
      <c r="W2102" s="12" t="n"/>
      <c r="X2102" s="12" t="n"/>
    </row>
    <row r="2103" ht="15" customHeight="1">
      <c r="C2103" t="inlineStr">
        <is>
          <t>NACIONALIDAD</t>
        </is>
      </c>
      <c r="D2103" t="inlineStr">
        <is>
          <t>F5</t>
        </is>
      </c>
      <c r="E2103" t="inlineStr">
        <is>
          <t>INHERENTE</t>
        </is>
      </c>
      <c r="F2103" t="inlineStr">
        <is>
          <t>ARGELIA</t>
        </is>
      </c>
      <c r="G2103" t="inlineStr">
        <is>
          <t>DZ</t>
        </is>
      </c>
      <c r="H2103" t="n">
        <v>4</v>
      </c>
      <c r="I2103" t="n">
        <v>4</v>
      </c>
      <c r="J2103" t="n">
        <v>4</v>
      </c>
      <c r="K2103" t="n">
        <v>16</v>
      </c>
      <c r="L2103" t="n">
        <v>16</v>
      </c>
      <c r="M2103" t="n">
        <v>16</v>
      </c>
      <c r="N2103" t="n">
        <v>16</v>
      </c>
      <c r="O2103" t="n">
        <v>20</v>
      </c>
      <c r="P2103" t="n">
        <v>4</v>
      </c>
      <c r="Q2103" t="inlineStr">
        <is>
          <t>DETERMINANTE</t>
        </is>
      </c>
      <c r="R2103" s="9" t="n">
        <v>0.04</v>
      </c>
      <c r="S2103" s="10" t="inlineStr">
        <is>
          <t>SÍ — integrante</t>
        </is>
      </c>
      <c r="T2103" s="11" t="inlineStr">
        <is>
          <t>B · INTEGRANTE</t>
        </is>
      </c>
      <c r="U2103" s="11" t="inlineStr">
        <is>
          <t>DEL BANCO (se hereda)</t>
        </is>
      </c>
      <c r="V2103" s="11" t="n"/>
      <c r="W2103" s="12" t="n"/>
      <c r="X2103" s="12" t="n"/>
    </row>
    <row r="2104" ht="15" customHeight="1">
      <c r="C2104" t="inlineStr">
        <is>
          <t>NACIONALIDAD</t>
        </is>
      </c>
      <c r="D2104" t="inlineStr">
        <is>
          <t>F5</t>
        </is>
      </c>
      <c r="E2104" t="inlineStr">
        <is>
          <t>INHERENTE</t>
        </is>
      </c>
      <c r="F2104" t="inlineStr">
        <is>
          <t>ECUADOR</t>
        </is>
      </c>
      <c r="G2104" t="inlineStr">
        <is>
          <t>EC</t>
        </is>
      </c>
      <c r="H2104" t="n">
        <v>2</v>
      </c>
      <c r="I2104" t="n">
        <v>2</v>
      </c>
      <c r="J2104" t="n">
        <v>4</v>
      </c>
      <c r="K2104" t="n">
        <v>8</v>
      </c>
      <c r="L2104" t="n">
        <v>8</v>
      </c>
      <c r="M2104" t="n">
        <v>8</v>
      </c>
      <c r="N2104" t="n">
        <v>8</v>
      </c>
      <c r="O2104" t="n">
        <v>20</v>
      </c>
      <c r="P2104" t="n">
        <v>4</v>
      </c>
      <c r="R2104" s="9" t="n">
        <v>0.04</v>
      </c>
      <c r="S2104" s="10" t="inlineStr">
        <is>
          <t>SÍ — integrante</t>
        </is>
      </c>
      <c r="T2104" s="11" t="inlineStr">
        <is>
          <t>B · INTEGRANTE</t>
        </is>
      </c>
      <c r="U2104" s="11" t="inlineStr">
        <is>
          <t>DEL BANCO (se hereda)</t>
        </is>
      </c>
      <c r="V2104" s="11" t="n"/>
      <c r="W2104" s="12" t="n"/>
      <c r="X2104" s="12" t="n"/>
    </row>
    <row r="2105" ht="15" customHeight="1">
      <c r="C2105" t="inlineStr">
        <is>
          <t>NACIONALIDAD</t>
        </is>
      </c>
      <c r="D2105" t="inlineStr">
        <is>
          <t>F5</t>
        </is>
      </c>
      <c r="E2105" t="inlineStr">
        <is>
          <t>INHERENTE</t>
        </is>
      </c>
      <c r="F2105" t="inlineStr">
        <is>
          <t>ESTONIA</t>
        </is>
      </c>
      <c r="G2105" t="inlineStr">
        <is>
          <t>EE</t>
        </is>
      </c>
      <c r="H2105" t="n">
        <v>1</v>
      </c>
      <c r="I2105" t="n">
        <v>1</v>
      </c>
      <c r="J2105" t="n">
        <v>4</v>
      </c>
      <c r="K2105" t="n">
        <v>4</v>
      </c>
      <c r="L2105" t="n">
        <v>4</v>
      </c>
      <c r="M2105" t="n">
        <v>4</v>
      </c>
      <c r="N2105" t="n">
        <v>4</v>
      </c>
      <c r="O2105" t="n">
        <v>20</v>
      </c>
      <c r="P2105" t="n">
        <v>4</v>
      </c>
      <c r="R2105" s="9" t="n">
        <v>0.04</v>
      </c>
      <c r="S2105" s="10" t="inlineStr">
        <is>
          <t>SÍ — integrante</t>
        </is>
      </c>
      <c r="T2105" s="11" t="inlineStr">
        <is>
          <t>B · INTEGRANTE</t>
        </is>
      </c>
      <c r="U2105" s="11" t="inlineStr">
        <is>
          <t>DEL BANCO (se hereda)</t>
        </is>
      </c>
      <c r="V2105" s="11" t="n"/>
      <c r="W2105" s="12" t="n"/>
      <c r="X2105" s="12" t="n"/>
    </row>
    <row r="2106" ht="15" customHeight="1">
      <c r="C2106" t="inlineStr">
        <is>
          <t>NACIONALIDAD</t>
        </is>
      </c>
      <c r="D2106" t="inlineStr">
        <is>
          <t>F5</t>
        </is>
      </c>
      <c r="E2106" t="inlineStr">
        <is>
          <t>INHERENTE</t>
        </is>
      </c>
      <c r="F2106" t="inlineStr">
        <is>
          <t>EGIPTO</t>
        </is>
      </c>
      <c r="G2106" t="inlineStr">
        <is>
          <t>EG</t>
        </is>
      </c>
      <c r="H2106" t="n">
        <v>2</v>
      </c>
      <c r="I2106" t="n">
        <v>2</v>
      </c>
      <c r="J2106" t="n">
        <v>4</v>
      </c>
      <c r="K2106" t="n">
        <v>8</v>
      </c>
      <c r="L2106" t="n">
        <v>8</v>
      </c>
      <c r="M2106" t="n">
        <v>8</v>
      </c>
      <c r="N2106" t="n">
        <v>8</v>
      </c>
      <c r="O2106" t="n">
        <v>20</v>
      </c>
      <c r="P2106" t="n">
        <v>4</v>
      </c>
      <c r="R2106" s="9" t="n">
        <v>0.04</v>
      </c>
      <c r="S2106" s="10" t="inlineStr">
        <is>
          <t>SÍ — integrante</t>
        </is>
      </c>
      <c r="T2106" s="11" t="inlineStr">
        <is>
          <t>B · INTEGRANTE</t>
        </is>
      </c>
      <c r="U2106" s="11" t="inlineStr">
        <is>
          <t>DEL BANCO (se hereda)</t>
        </is>
      </c>
      <c r="V2106" s="11" t="n"/>
      <c r="W2106" s="12" t="n"/>
      <c r="X2106" s="12" t="n"/>
    </row>
    <row r="2107" ht="15" customHeight="1">
      <c r="C2107" t="inlineStr">
        <is>
          <t>NACIONALIDAD</t>
        </is>
      </c>
      <c r="D2107" t="inlineStr">
        <is>
          <t>F5</t>
        </is>
      </c>
      <c r="E2107" t="inlineStr">
        <is>
          <t>INHERENTE</t>
        </is>
      </c>
      <c r="F2107" t="inlineStr">
        <is>
          <t>SAHARA OCCIDENT</t>
        </is>
      </c>
      <c r="G2107" t="inlineStr">
        <is>
          <t>EH</t>
        </is>
      </c>
      <c r="H2107" t="n">
        <v>1</v>
      </c>
      <c r="I2107" t="n">
        <v>1</v>
      </c>
      <c r="J2107" t="n">
        <v>4</v>
      </c>
      <c r="K2107" t="n">
        <v>4</v>
      </c>
      <c r="L2107" t="n">
        <v>4</v>
      </c>
      <c r="M2107" t="n">
        <v>4</v>
      </c>
      <c r="N2107" t="n">
        <v>4</v>
      </c>
      <c r="O2107" t="n">
        <v>20</v>
      </c>
      <c r="P2107" t="n">
        <v>4</v>
      </c>
      <c r="R2107" s="9" t="n">
        <v>0.04</v>
      </c>
      <c r="S2107" s="10" t="inlineStr">
        <is>
          <t>SÍ — integrante</t>
        </is>
      </c>
      <c r="T2107" s="11" t="inlineStr">
        <is>
          <t>B · INTEGRANTE</t>
        </is>
      </c>
      <c r="U2107" s="11" t="inlineStr">
        <is>
          <t>DEL BANCO (se hereda)</t>
        </is>
      </c>
      <c r="V2107" s="11" t="n"/>
      <c r="W2107" s="12" t="n"/>
      <c r="X2107" s="12" t="n"/>
    </row>
    <row r="2108" ht="15" customHeight="1">
      <c r="C2108" t="inlineStr">
        <is>
          <t>NACIONALIDAD</t>
        </is>
      </c>
      <c r="D2108" t="inlineStr">
        <is>
          <t>F5</t>
        </is>
      </c>
      <c r="E2108" t="inlineStr">
        <is>
          <t>INHERENTE</t>
        </is>
      </c>
      <c r="F2108" t="inlineStr">
        <is>
          <t>ERITREA</t>
        </is>
      </c>
      <c r="G2108" t="inlineStr">
        <is>
          <t>ER</t>
        </is>
      </c>
      <c r="H2108" t="n">
        <v>4</v>
      </c>
      <c r="I2108" t="n">
        <v>4</v>
      </c>
      <c r="J2108" t="n">
        <v>4</v>
      </c>
      <c r="K2108" t="n">
        <v>16</v>
      </c>
      <c r="L2108" t="n">
        <v>16</v>
      </c>
      <c r="M2108" t="n">
        <v>16</v>
      </c>
      <c r="N2108" t="n">
        <v>16</v>
      </c>
      <c r="O2108" t="n">
        <v>20</v>
      </c>
      <c r="P2108" t="n">
        <v>4</v>
      </c>
      <c r="R2108" s="9" t="n">
        <v>0.04</v>
      </c>
      <c r="S2108" s="10" t="inlineStr">
        <is>
          <t>SÍ — integrante</t>
        </is>
      </c>
      <c r="T2108" s="11" t="inlineStr">
        <is>
          <t>B · INTEGRANTE</t>
        </is>
      </c>
      <c r="U2108" s="11" t="inlineStr">
        <is>
          <t>DEL BANCO (se hereda)</t>
        </is>
      </c>
      <c r="V2108" s="11" t="n"/>
      <c r="W2108" s="12" t="n"/>
      <c r="X2108" s="12" t="n"/>
    </row>
    <row r="2109" ht="15" customHeight="1">
      <c r="C2109" t="inlineStr">
        <is>
          <t>NACIONALIDAD</t>
        </is>
      </c>
      <c r="D2109" t="inlineStr">
        <is>
          <t>F5</t>
        </is>
      </c>
      <c r="E2109" t="inlineStr">
        <is>
          <t>INHERENTE</t>
        </is>
      </c>
      <c r="F2109" t="inlineStr">
        <is>
          <t>ESPANA</t>
        </is>
      </c>
      <c r="G2109" t="inlineStr">
        <is>
          <t>ES</t>
        </is>
      </c>
      <c r="H2109" t="n">
        <v>1</v>
      </c>
      <c r="I2109" t="n">
        <v>1</v>
      </c>
      <c r="J2109" t="n">
        <v>4</v>
      </c>
      <c r="K2109" t="n">
        <v>4</v>
      </c>
      <c r="L2109" t="n">
        <v>4</v>
      </c>
      <c r="M2109" t="n">
        <v>4</v>
      </c>
      <c r="N2109" t="n">
        <v>4</v>
      </c>
      <c r="O2109" t="n">
        <v>20</v>
      </c>
      <c r="P2109" t="n">
        <v>4</v>
      </c>
      <c r="R2109" s="9" t="n">
        <v>0.04</v>
      </c>
      <c r="S2109" s="10" t="inlineStr">
        <is>
          <t>SÍ — integrante</t>
        </is>
      </c>
      <c r="T2109" s="11" t="inlineStr">
        <is>
          <t>B · INTEGRANTE</t>
        </is>
      </c>
      <c r="U2109" s="11" t="inlineStr">
        <is>
          <t>DEL BANCO (se hereda)</t>
        </is>
      </c>
      <c r="V2109" s="11" t="n"/>
      <c r="W2109" s="12" t="n"/>
      <c r="X2109" s="12" t="n"/>
    </row>
    <row r="2110" ht="15" customHeight="1">
      <c r="C2110" t="inlineStr">
        <is>
          <t>NACIONALIDAD</t>
        </is>
      </c>
      <c r="D2110" t="inlineStr">
        <is>
          <t>F5</t>
        </is>
      </c>
      <c r="E2110" t="inlineStr">
        <is>
          <t>INHERENTE</t>
        </is>
      </c>
      <c r="F2110" t="inlineStr">
        <is>
          <t>ETIOPIA</t>
        </is>
      </c>
      <c r="G2110" t="inlineStr">
        <is>
          <t>ET</t>
        </is>
      </c>
      <c r="H2110" t="n">
        <v>3</v>
      </c>
      <c r="I2110" t="n">
        <v>3</v>
      </c>
      <c r="J2110" t="n">
        <v>4</v>
      </c>
      <c r="K2110" t="n">
        <v>12</v>
      </c>
      <c r="L2110" t="n">
        <v>12</v>
      </c>
      <c r="M2110" t="n">
        <v>12</v>
      </c>
      <c r="N2110" t="n">
        <v>12</v>
      </c>
      <c r="O2110" t="n">
        <v>20</v>
      </c>
      <c r="P2110" t="n">
        <v>4</v>
      </c>
      <c r="R2110" s="9" t="n">
        <v>0.04</v>
      </c>
      <c r="S2110" s="10" t="inlineStr">
        <is>
          <t>SÍ — integrante</t>
        </is>
      </c>
      <c r="T2110" s="11" t="inlineStr">
        <is>
          <t>B · INTEGRANTE</t>
        </is>
      </c>
      <c r="U2110" s="11" t="inlineStr">
        <is>
          <t>DEL BANCO (se hereda)</t>
        </is>
      </c>
      <c r="V2110" s="11" t="n"/>
      <c r="W2110" s="12" t="n"/>
      <c r="X2110" s="12" t="n"/>
    </row>
    <row r="2111" ht="15" customHeight="1">
      <c r="C2111" t="inlineStr">
        <is>
          <t>NACIONALIDAD</t>
        </is>
      </c>
      <c r="D2111" t="inlineStr">
        <is>
          <t>F5</t>
        </is>
      </c>
      <c r="E2111" t="inlineStr">
        <is>
          <t>INHERENTE</t>
        </is>
      </c>
      <c r="F2111" t="inlineStr">
        <is>
          <t>PAIES EUR</t>
        </is>
      </c>
      <c r="G2111" t="inlineStr">
        <is>
          <t>EU</t>
        </is>
      </c>
      <c r="H2111" t="n">
        <v>1</v>
      </c>
      <c r="I2111" t="n">
        <v>1</v>
      </c>
      <c r="J2111" t="n">
        <v>4</v>
      </c>
      <c r="K2111" t="n">
        <v>4</v>
      </c>
      <c r="L2111" t="n">
        <v>4</v>
      </c>
      <c r="M2111" t="n">
        <v>4</v>
      </c>
      <c r="N2111" t="n">
        <v>4</v>
      </c>
      <c r="O2111" t="n">
        <v>20</v>
      </c>
      <c r="P2111" t="n">
        <v>4</v>
      </c>
      <c r="R2111" s="9" t="n">
        <v>0.04</v>
      </c>
      <c r="S2111" s="10" t="inlineStr">
        <is>
          <t>SÍ — integrante</t>
        </is>
      </c>
      <c r="T2111" s="11" t="inlineStr">
        <is>
          <t>B · INTEGRANTE</t>
        </is>
      </c>
      <c r="U2111" s="11" t="inlineStr">
        <is>
          <t>DEL BANCO (se hereda)</t>
        </is>
      </c>
      <c r="V2111" s="11" t="n"/>
      <c r="W2111" s="12" t="n"/>
      <c r="X2111" s="12" t="n"/>
    </row>
    <row r="2112" ht="15" customHeight="1">
      <c r="C2112" t="inlineStr">
        <is>
          <t>NACIONALIDAD</t>
        </is>
      </c>
      <c r="D2112" t="inlineStr">
        <is>
          <t>F5</t>
        </is>
      </c>
      <c r="E2112" t="inlineStr">
        <is>
          <t>INHERENTE</t>
        </is>
      </c>
      <c r="F2112" t="inlineStr">
        <is>
          <t>FINLANDIA</t>
        </is>
      </c>
      <c r="G2112" t="inlineStr">
        <is>
          <t>FI</t>
        </is>
      </c>
      <c r="H2112" t="n">
        <v>1</v>
      </c>
      <c r="I2112" t="n">
        <v>1</v>
      </c>
      <c r="J2112" t="n">
        <v>4</v>
      </c>
      <c r="K2112" t="n">
        <v>4</v>
      </c>
      <c r="L2112" t="n">
        <v>4</v>
      </c>
      <c r="M2112" t="n">
        <v>4</v>
      </c>
      <c r="N2112" t="n">
        <v>4</v>
      </c>
      <c r="O2112" t="n">
        <v>20</v>
      </c>
      <c r="P2112" t="n">
        <v>4</v>
      </c>
      <c r="R2112" s="9" t="n">
        <v>0.04</v>
      </c>
      <c r="S2112" s="10" t="inlineStr">
        <is>
          <t>SÍ — integrante</t>
        </is>
      </c>
      <c r="T2112" s="11" t="inlineStr">
        <is>
          <t>B · INTEGRANTE</t>
        </is>
      </c>
      <c r="U2112" s="11" t="inlineStr">
        <is>
          <t>DEL BANCO (se hereda)</t>
        </is>
      </c>
      <c r="V2112" s="11" t="n"/>
      <c r="W2112" s="12" t="n"/>
      <c r="X2112" s="12" t="n"/>
    </row>
    <row r="2113" ht="15" customHeight="1">
      <c r="C2113" t="inlineStr">
        <is>
          <t>NACIONALIDAD</t>
        </is>
      </c>
      <c r="D2113" t="inlineStr">
        <is>
          <t>F5</t>
        </is>
      </c>
      <c r="E2113" t="inlineStr">
        <is>
          <t>INHERENTE</t>
        </is>
      </c>
      <c r="F2113" t="inlineStr">
        <is>
          <t>ISLAS FIDJI</t>
        </is>
      </c>
      <c r="G2113" t="inlineStr">
        <is>
          <t>FJ</t>
        </is>
      </c>
      <c r="H2113" t="n">
        <v>1</v>
      </c>
      <c r="I2113" t="n">
        <v>1</v>
      </c>
      <c r="J2113" t="n">
        <v>4</v>
      </c>
      <c r="K2113" t="n">
        <v>4</v>
      </c>
      <c r="L2113" t="n">
        <v>4</v>
      </c>
      <c r="M2113" t="n">
        <v>4</v>
      </c>
      <c r="N2113" t="n">
        <v>4</v>
      </c>
      <c r="O2113" t="n">
        <v>20</v>
      </c>
      <c r="P2113" t="n">
        <v>4</v>
      </c>
      <c r="R2113" s="9" t="n">
        <v>0.04</v>
      </c>
      <c r="S2113" s="10" t="inlineStr">
        <is>
          <t>SÍ — integrante</t>
        </is>
      </c>
      <c r="T2113" s="11" t="inlineStr">
        <is>
          <t>B · INTEGRANTE</t>
        </is>
      </c>
      <c r="U2113" s="11" t="inlineStr">
        <is>
          <t>DEL BANCO (se hereda)</t>
        </is>
      </c>
      <c r="V2113" s="11" t="n"/>
      <c r="W2113" s="12" t="n"/>
      <c r="X2113" s="12" t="n"/>
    </row>
    <row r="2114" ht="15" customHeight="1">
      <c r="C2114" t="inlineStr">
        <is>
          <t>NACIONALIDAD</t>
        </is>
      </c>
      <c r="D2114" t="inlineStr">
        <is>
          <t>F5</t>
        </is>
      </c>
      <c r="E2114" t="inlineStr">
        <is>
          <t>INHERENTE</t>
        </is>
      </c>
      <c r="F2114" t="inlineStr">
        <is>
          <t>ISLAS MALVINAS</t>
        </is>
      </c>
      <c r="G2114" t="inlineStr">
        <is>
          <t>FK</t>
        </is>
      </c>
      <c r="H2114" t="n">
        <v>1</v>
      </c>
      <c r="I2114" t="n">
        <v>1</v>
      </c>
      <c r="J2114" t="n">
        <v>4</v>
      </c>
      <c r="K2114" t="n">
        <v>4</v>
      </c>
      <c r="L2114" t="n">
        <v>4</v>
      </c>
      <c r="M2114" t="n">
        <v>4</v>
      </c>
      <c r="N2114" t="n">
        <v>4</v>
      </c>
      <c r="O2114" t="n">
        <v>20</v>
      </c>
      <c r="P2114" t="n">
        <v>4</v>
      </c>
      <c r="R2114" s="9" t="n">
        <v>0.04</v>
      </c>
      <c r="S2114" s="10" t="inlineStr">
        <is>
          <t>SÍ — integrante</t>
        </is>
      </c>
      <c r="T2114" s="11" t="inlineStr">
        <is>
          <t>B · INTEGRANTE</t>
        </is>
      </c>
      <c r="U2114" s="11" t="inlineStr">
        <is>
          <t>DEL BANCO (se hereda)</t>
        </is>
      </c>
      <c r="V2114" s="11" t="n"/>
      <c r="W2114" s="12" t="n"/>
      <c r="X2114" s="12" t="n"/>
    </row>
    <row r="2115" ht="15" customHeight="1">
      <c r="C2115" t="inlineStr">
        <is>
          <t>NACIONALIDAD</t>
        </is>
      </c>
      <c r="D2115" t="inlineStr">
        <is>
          <t>F5</t>
        </is>
      </c>
      <c r="E2115" t="inlineStr">
        <is>
          <t>INHERENTE</t>
        </is>
      </c>
      <c r="F2115" t="inlineStr">
        <is>
          <t>MICRONESIA</t>
        </is>
      </c>
      <c r="G2115" t="inlineStr">
        <is>
          <t>FM</t>
        </is>
      </c>
      <c r="H2115" t="n">
        <v>1</v>
      </c>
      <c r="I2115" t="n">
        <v>1</v>
      </c>
      <c r="J2115" t="n">
        <v>4</v>
      </c>
      <c r="K2115" t="n">
        <v>4</v>
      </c>
      <c r="L2115" t="n">
        <v>4</v>
      </c>
      <c r="M2115" t="n">
        <v>4</v>
      </c>
      <c r="N2115" t="n">
        <v>4</v>
      </c>
      <c r="O2115" t="n">
        <v>20</v>
      </c>
      <c r="P2115" t="n">
        <v>4</v>
      </c>
      <c r="R2115" s="9" t="n">
        <v>0.04</v>
      </c>
      <c r="S2115" s="10" t="inlineStr">
        <is>
          <t>SÍ — integrante</t>
        </is>
      </c>
      <c r="T2115" s="11" t="inlineStr">
        <is>
          <t>B · INTEGRANTE</t>
        </is>
      </c>
      <c r="U2115" s="11" t="inlineStr">
        <is>
          <t>DEL BANCO (se hereda)</t>
        </is>
      </c>
      <c r="V2115" s="11" t="n"/>
      <c r="W2115" s="12" t="n"/>
      <c r="X2115" s="12" t="n"/>
    </row>
    <row r="2116" ht="15" customHeight="1">
      <c r="C2116" t="inlineStr">
        <is>
          <t>NACIONALIDAD</t>
        </is>
      </c>
      <c r="D2116" t="inlineStr">
        <is>
          <t>F5</t>
        </is>
      </c>
      <c r="E2116" t="inlineStr">
        <is>
          <t>INHERENTE</t>
        </is>
      </c>
      <c r="F2116" t="inlineStr">
        <is>
          <t>ISLAS PACIFICO</t>
        </is>
      </c>
      <c r="G2116" t="inlineStr">
        <is>
          <t>FO</t>
        </is>
      </c>
      <c r="H2116" t="n">
        <v>1</v>
      </c>
      <c r="I2116" t="n">
        <v>1</v>
      </c>
      <c r="J2116" t="n">
        <v>4</v>
      </c>
      <c r="K2116" t="n">
        <v>4</v>
      </c>
      <c r="L2116" t="n">
        <v>4</v>
      </c>
      <c r="M2116" t="n">
        <v>4</v>
      </c>
      <c r="N2116" t="n">
        <v>4</v>
      </c>
      <c r="O2116" t="n">
        <v>20</v>
      </c>
      <c r="P2116" t="n">
        <v>4</v>
      </c>
      <c r="R2116" s="9" t="n">
        <v>0.04</v>
      </c>
      <c r="S2116" s="10" t="inlineStr">
        <is>
          <t>SÍ — integrante</t>
        </is>
      </c>
      <c r="T2116" s="11" t="inlineStr">
        <is>
          <t>B · INTEGRANTE</t>
        </is>
      </c>
      <c r="U2116" s="11" t="inlineStr">
        <is>
          <t>DEL BANCO (se hereda)</t>
        </is>
      </c>
      <c r="V2116" s="11" t="n"/>
      <c r="W2116" s="12" t="n"/>
      <c r="X2116" s="12" t="n"/>
    </row>
    <row r="2117" ht="15" customHeight="1">
      <c r="C2117" t="inlineStr">
        <is>
          <t>NACIONALIDAD</t>
        </is>
      </c>
      <c r="D2117" t="inlineStr">
        <is>
          <t>F5</t>
        </is>
      </c>
      <c r="E2117" t="inlineStr">
        <is>
          <t>INHERENTE</t>
        </is>
      </c>
      <c r="F2117" t="inlineStr">
        <is>
          <t>FRANCIA</t>
        </is>
      </c>
      <c r="G2117" t="inlineStr">
        <is>
          <t>FR</t>
        </is>
      </c>
      <c r="H2117" t="n">
        <v>1</v>
      </c>
      <c r="I2117" t="n">
        <v>1</v>
      </c>
      <c r="J2117" t="n">
        <v>4</v>
      </c>
      <c r="K2117" t="n">
        <v>4</v>
      </c>
      <c r="L2117" t="n">
        <v>4</v>
      </c>
      <c r="M2117" t="n">
        <v>4</v>
      </c>
      <c r="N2117" t="n">
        <v>4</v>
      </c>
      <c r="O2117" t="n">
        <v>20</v>
      </c>
      <c r="P2117" t="n">
        <v>4</v>
      </c>
      <c r="R2117" s="9" t="n">
        <v>0.04</v>
      </c>
      <c r="S2117" s="10" t="inlineStr">
        <is>
          <t>SÍ — integrante</t>
        </is>
      </c>
      <c r="T2117" s="11" t="inlineStr">
        <is>
          <t>B · INTEGRANTE</t>
        </is>
      </c>
      <c r="U2117" s="11" t="inlineStr">
        <is>
          <t>DEL BANCO (se hereda)</t>
        </is>
      </c>
      <c r="V2117" s="11" t="n"/>
      <c r="W2117" s="12" t="n"/>
      <c r="X2117" s="12" t="n"/>
    </row>
    <row r="2118" ht="15" customHeight="1">
      <c r="C2118" t="inlineStr">
        <is>
          <t>NACIONALIDAD</t>
        </is>
      </c>
      <c r="D2118" t="inlineStr">
        <is>
          <t>F5</t>
        </is>
      </c>
      <c r="E2118" t="inlineStr">
        <is>
          <t>INHERENTE</t>
        </is>
      </c>
      <c r="F2118" t="inlineStr">
        <is>
          <t>GABON</t>
        </is>
      </c>
      <c r="G2118" t="inlineStr">
        <is>
          <t>GA</t>
        </is>
      </c>
      <c r="H2118" t="n">
        <v>4</v>
      </c>
      <c r="I2118" t="n">
        <v>4</v>
      </c>
      <c r="J2118" t="n">
        <v>4</v>
      </c>
      <c r="K2118" t="n">
        <v>16</v>
      </c>
      <c r="L2118" t="n">
        <v>16</v>
      </c>
      <c r="M2118" t="n">
        <v>16</v>
      </c>
      <c r="N2118" t="n">
        <v>16</v>
      </c>
      <c r="O2118" t="n">
        <v>20</v>
      </c>
      <c r="P2118" t="n">
        <v>4</v>
      </c>
      <c r="R2118" s="9" t="n">
        <v>0.04</v>
      </c>
      <c r="S2118" s="10" t="inlineStr">
        <is>
          <t>SÍ — integrante</t>
        </is>
      </c>
      <c r="T2118" s="11" t="inlineStr">
        <is>
          <t>B · INTEGRANTE</t>
        </is>
      </c>
      <c r="U2118" s="11" t="inlineStr">
        <is>
          <t>DEL BANCO (se hereda)</t>
        </is>
      </c>
      <c r="V2118" s="11" t="n"/>
      <c r="W2118" s="12" t="n"/>
      <c r="X2118" s="12" t="n"/>
    </row>
    <row r="2119" ht="15" customHeight="1">
      <c r="C2119" t="inlineStr">
        <is>
          <t>NACIONALIDAD</t>
        </is>
      </c>
      <c r="D2119" t="inlineStr">
        <is>
          <t>F5</t>
        </is>
      </c>
      <c r="E2119" t="inlineStr">
        <is>
          <t>INHERENTE</t>
        </is>
      </c>
      <c r="F2119" t="inlineStr">
        <is>
          <t>GRAN BRETANA</t>
        </is>
      </c>
      <c r="G2119" t="inlineStr">
        <is>
          <t>GB</t>
        </is>
      </c>
      <c r="H2119" t="n">
        <v>1</v>
      </c>
      <c r="I2119" t="n">
        <v>1</v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20</v>
      </c>
      <c r="P2119" t="n">
        <v>4</v>
      </c>
      <c r="R2119" s="9" t="n">
        <v>0.04</v>
      </c>
      <c r="S2119" s="10" t="inlineStr">
        <is>
          <t>SÍ — integrante</t>
        </is>
      </c>
      <c r="T2119" s="11" t="inlineStr">
        <is>
          <t>B · INTEGRANTE</t>
        </is>
      </c>
      <c r="U2119" s="11" t="inlineStr">
        <is>
          <t>DEL BANCO (se hereda)</t>
        </is>
      </c>
      <c r="V2119" s="11" t="n"/>
      <c r="W2119" s="12" t="n"/>
      <c r="X2119" s="12" t="n"/>
    </row>
    <row r="2120" ht="15" customHeight="1">
      <c r="C2120" t="inlineStr">
        <is>
          <t>NACIONALIDAD</t>
        </is>
      </c>
      <c r="D2120" t="inlineStr">
        <is>
          <t>F5</t>
        </is>
      </c>
      <c r="E2120" t="inlineStr">
        <is>
          <t>INHERENTE</t>
        </is>
      </c>
      <c r="F2120" t="inlineStr">
        <is>
          <t>GIBRALTAR</t>
        </is>
      </c>
      <c r="G2120" t="inlineStr">
        <is>
          <t>GC</t>
        </is>
      </c>
      <c r="H2120" t="n">
        <v>1</v>
      </c>
      <c r="I2120" t="n">
        <v>1</v>
      </c>
      <c r="J2120" t="n">
        <v>4</v>
      </c>
      <c r="K2120" t="n">
        <v>4</v>
      </c>
      <c r="L2120" t="n">
        <v>4</v>
      </c>
      <c r="M2120" t="n">
        <v>4</v>
      </c>
      <c r="N2120" t="n">
        <v>4</v>
      </c>
      <c r="O2120" t="n">
        <v>20</v>
      </c>
      <c r="P2120" t="n">
        <v>4</v>
      </c>
      <c r="R2120" s="9" t="n">
        <v>0.04</v>
      </c>
      <c r="S2120" s="10" t="inlineStr">
        <is>
          <t>SÍ — integrante</t>
        </is>
      </c>
      <c r="T2120" s="11" t="inlineStr">
        <is>
          <t>B · INTEGRANTE</t>
        </is>
      </c>
      <c r="U2120" s="11" t="inlineStr">
        <is>
          <t>DEL BANCO (se hereda)</t>
        </is>
      </c>
      <c r="V2120" s="11" t="n"/>
      <c r="W2120" s="12" t="n"/>
      <c r="X2120" s="12" t="n"/>
    </row>
    <row r="2121" ht="15" customHeight="1">
      <c r="C2121" t="inlineStr">
        <is>
          <t>NACIONALIDAD</t>
        </is>
      </c>
      <c r="D2121" t="inlineStr">
        <is>
          <t>F5</t>
        </is>
      </c>
      <c r="E2121" t="inlineStr">
        <is>
          <t>INHERENTE</t>
        </is>
      </c>
      <c r="F2121" t="inlineStr">
        <is>
          <t>GRANADA</t>
        </is>
      </c>
      <c r="G2121" t="inlineStr">
        <is>
          <t>GD</t>
        </is>
      </c>
      <c r="H2121" t="n">
        <v>3</v>
      </c>
      <c r="I2121" t="n">
        <v>3</v>
      </c>
      <c r="J2121" t="n">
        <v>4</v>
      </c>
      <c r="K2121" t="n">
        <v>12</v>
      </c>
      <c r="L2121" t="n">
        <v>12</v>
      </c>
      <c r="M2121" t="n">
        <v>12</v>
      </c>
      <c r="N2121" t="n">
        <v>12</v>
      </c>
      <c r="O2121" t="n">
        <v>20</v>
      </c>
      <c r="P2121" t="n">
        <v>4</v>
      </c>
      <c r="R2121" s="9" t="n">
        <v>0.04</v>
      </c>
      <c r="S2121" s="10" t="inlineStr">
        <is>
          <t>SÍ — integrante</t>
        </is>
      </c>
      <c r="T2121" s="11" t="inlineStr">
        <is>
          <t>B · INTEGRANTE</t>
        </is>
      </c>
      <c r="U2121" s="11" t="inlineStr">
        <is>
          <t>DEL BANCO (se hereda)</t>
        </is>
      </c>
      <c r="V2121" s="11" t="n"/>
      <c r="W2121" s="12" t="n"/>
      <c r="X2121" s="12" t="n"/>
    </row>
    <row r="2122" ht="15" customHeight="1">
      <c r="C2122" t="inlineStr">
        <is>
          <t>NACIONALIDAD</t>
        </is>
      </c>
      <c r="D2122" t="inlineStr">
        <is>
          <t>F5</t>
        </is>
      </c>
      <c r="E2122" t="inlineStr">
        <is>
          <t>INHERENTE</t>
        </is>
      </c>
      <c r="F2122" t="inlineStr">
        <is>
          <t>GEORGIA</t>
        </is>
      </c>
      <c r="G2122" t="inlineStr">
        <is>
          <t>GE</t>
        </is>
      </c>
      <c r="H2122" t="n">
        <v>1</v>
      </c>
      <c r="I2122" t="n">
        <v>1</v>
      </c>
      <c r="J2122" t="n">
        <v>4</v>
      </c>
      <c r="K2122" t="n">
        <v>4</v>
      </c>
      <c r="L2122" t="n">
        <v>4</v>
      </c>
      <c r="M2122" t="n">
        <v>4</v>
      </c>
      <c r="N2122" t="n">
        <v>4</v>
      </c>
      <c r="O2122" t="n">
        <v>20</v>
      </c>
      <c r="P2122" t="n">
        <v>4</v>
      </c>
      <c r="R2122" s="9" t="n">
        <v>0.04</v>
      </c>
      <c r="S2122" s="10" t="inlineStr">
        <is>
          <t>SÍ — integrante</t>
        </is>
      </c>
      <c r="T2122" s="11" t="inlineStr">
        <is>
          <t>B · INTEGRANTE</t>
        </is>
      </c>
      <c r="U2122" s="11" t="inlineStr">
        <is>
          <t>DEL BANCO (se hereda)</t>
        </is>
      </c>
      <c r="V2122" s="11" t="n"/>
      <c r="W2122" s="12" t="n"/>
      <c r="X2122" s="12" t="n"/>
    </row>
    <row r="2123" ht="15" customHeight="1">
      <c r="C2123" t="inlineStr">
        <is>
          <t>NACIONALIDAD</t>
        </is>
      </c>
      <c r="D2123" t="inlineStr">
        <is>
          <t>F5</t>
        </is>
      </c>
      <c r="E2123" t="inlineStr">
        <is>
          <t>INHERENTE</t>
        </is>
      </c>
      <c r="F2123" t="inlineStr">
        <is>
          <t>GUYANA FRANCESA</t>
        </is>
      </c>
      <c r="G2123" t="inlineStr">
        <is>
          <t>GF</t>
        </is>
      </c>
      <c r="H2123" t="n">
        <v>1</v>
      </c>
      <c r="I2123" t="n">
        <v>1</v>
      </c>
      <c r="J2123" t="n">
        <v>4</v>
      </c>
      <c r="K2123" t="n">
        <v>4</v>
      </c>
      <c r="L2123" t="n">
        <v>4</v>
      </c>
      <c r="M2123" t="n">
        <v>4</v>
      </c>
      <c r="N2123" t="n">
        <v>4</v>
      </c>
      <c r="O2123" t="n">
        <v>20</v>
      </c>
      <c r="P2123" t="n">
        <v>4</v>
      </c>
      <c r="R2123" s="9" t="n">
        <v>0.04</v>
      </c>
      <c r="S2123" s="10" t="inlineStr">
        <is>
          <t>SÍ — integrante</t>
        </is>
      </c>
      <c r="T2123" s="11" t="inlineStr">
        <is>
          <t>B · INTEGRANTE</t>
        </is>
      </c>
      <c r="U2123" s="11" t="inlineStr">
        <is>
          <t>DEL BANCO (se hereda)</t>
        </is>
      </c>
      <c r="V2123" s="11" t="n"/>
      <c r="W2123" s="12" t="n"/>
      <c r="X2123" s="12" t="n"/>
    </row>
    <row r="2124" ht="15" customHeight="1">
      <c r="C2124" t="inlineStr">
        <is>
          <t>NACIONALIDAD</t>
        </is>
      </c>
      <c r="D2124" t="inlineStr">
        <is>
          <t>F5</t>
        </is>
      </c>
      <c r="E2124" t="inlineStr">
        <is>
          <t>INHERENTE</t>
        </is>
      </c>
      <c r="F2124" t="inlineStr">
        <is>
          <t>ISLAS CHANNEL</t>
        </is>
      </c>
      <c r="G2124" t="inlineStr">
        <is>
          <t>GG</t>
        </is>
      </c>
      <c r="H2124" t="n">
        <v>1</v>
      </c>
      <c r="I2124" t="n">
        <v>1</v>
      </c>
      <c r="J2124" t="n">
        <v>4</v>
      </c>
      <c r="K2124" t="n">
        <v>4</v>
      </c>
      <c r="L2124" t="n">
        <v>4</v>
      </c>
      <c r="M2124" t="n">
        <v>4</v>
      </c>
      <c r="N2124" t="n">
        <v>4</v>
      </c>
      <c r="O2124" t="n">
        <v>20</v>
      </c>
      <c r="P2124" t="n">
        <v>4</v>
      </c>
      <c r="R2124" s="9" t="n">
        <v>0.04</v>
      </c>
      <c r="S2124" s="10" t="inlineStr">
        <is>
          <t>SÍ — integrante</t>
        </is>
      </c>
      <c r="T2124" s="11" t="inlineStr">
        <is>
          <t>B · INTEGRANTE</t>
        </is>
      </c>
      <c r="U2124" s="11" t="inlineStr">
        <is>
          <t>DEL BANCO (se hereda)</t>
        </is>
      </c>
      <c r="V2124" s="11" t="n"/>
      <c r="W2124" s="12" t="n"/>
      <c r="X2124" s="12" t="n"/>
    </row>
    <row r="2125" ht="15" customHeight="1">
      <c r="C2125" t="inlineStr">
        <is>
          <t>NACIONALIDAD</t>
        </is>
      </c>
      <c r="D2125" t="inlineStr">
        <is>
          <t>F5</t>
        </is>
      </c>
      <c r="E2125" t="inlineStr">
        <is>
          <t>INHERENTE</t>
        </is>
      </c>
      <c r="F2125" t="inlineStr">
        <is>
          <t>GHANA</t>
        </is>
      </c>
      <c r="G2125" t="inlineStr">
        <is>
          <t>GH</t>
        </is>
      </c>
      <c r="H2125" t="n">
        <v>2</v>
      </c>
      <c r="I2125" t="n">
        <v>2</v>
      </c>
      <c r="J2125" t="n">
        <v>4</v>
      </c>
      <c r="K2125" t="n">
        <v>8</v>
      </c>
      <c r="L2125" t="n">
        <v>8</v>
      </c>
      <c r="M2125" t="n">
        <v>8</v>
      </c>
      <c r="N2125" t="n">
        <v>8</v>
      </c>
      <c r="O2125" t="n">
        <v>20</v>
      </c>
      <c r="P2125" t="n">
        <v>4</v>
      </c>
      <c r="R2125" s="9" t="n">
        <v>0.04</v>
      </c>
      <c r="S2125" s="10" t="inlineStr">
        <is>
          <t>SÍ — integrante</t>
        </is>
      </c>
      <c r="T2125" s="11" t="inlineStr">
        <is>
          <t>B · INTEGRANTE</t>
        </is>
      </c>
      <c r="U2125" s="11" t="inlineStr">
        <is>
          <t>DEL BANCO (se hereda)</t>
        </is>
      </c>
      <c r="V2125" s="11" t="n"/>
      <c r="W2125" s="12" t="n"/>
      <c r="X2125" s="12" t="n"/>
    </row>
    <row r="2126" ht="15" customHeight="1">
      <c r="C2126" t="inlineStr">
        <is>
          <t>NACIONALIDAD</t>
        </is>
      </c>
      <c r="D2126" t="inlineStr">
        <is>
          <t>F5</t>
        </is>
      </c>
      <c r="E2126" t="inlineStr">
        <is>
          <t>INHERENTE</t>
        </is>
      </c>
      <c r="F2126" t="inlineStr">
        <is>
          <t>GUERNESEY</t>
        </is>
      </c>
      <c r="G2126" t="inlineStr">
        <is>
          <t>GI</t>
        </is>
      </c>
      <c r="H2126" t="n">
        <v>1</v>
      </c>
      <c r="I2126" t="n">
        <v>1</v>
      </c>
      <c r="J2126" t="n">
        <v>4</v>
      </c>
      <c r="K2126" t="n">
        <v>4</v>
      </c>
      <c r="L2126" t="n">
        <v>4</v>
      </c>
      <c r="M2126" t="n">
        <v>4</v>
      </c>
      <c r="N2126" t="n">
        <v>4</v>
      </c>
      <c r="O2126" t="n">
        <v>20</v>
      </c>
      <c r="P2126" t="n">
        <v>4</v>
      </c>
      <c r="R2126" s="9" t="n">
        <v>0.04</v>
      </c>
      <c r="S2126" s="10" t="inlineStr">
        <is>
          <t>SÍ — integrante</t>
        </is>
      </c>
      <c r="T2126" s="11" t="inlineStr">
        <is>
          <t>B · INTEGRANTE</t>
        </is>
      </c>
      <c r="U2126" s="11" t="inlineStr">
        <is>
          <t>DEL BANCO (se hereda)</t>
        </is>
      </c>
      <c r="V2126" s="11" t="n"/>
      <c r="W2126" s="12" t="n"/>
      <c r="X2126" s="12" t="n"/>
    </row>
    <row r="2127" ht="15" customHeight="1">
      <c r="C2127" t="inlineStr">
        <is>
          <t>NACIONALIDAD</t>
        </is>
      </c>
      <c r="D2127" t="inlineStr">
        <is>
          <t>F5</t>
        </is>
      </c>
      <c r="E2127" t="inlineStr">
        <is>
          <t>INHERENTE</t>
        </is>
      </c>
      <c r="F2127" t="inlineStr">
        <is>
          <t>GROENLANDIA</t>
        </is>
      </c>
      <c r="G2127" t="inlineStr">
        <is>
          <t>GL</t>
        </is>
      </c>
      <c r="H2127" t="n">
        <v>1</v>
      </c>
      <c r="I2127" t="n">
        <v>1</v>
      </c>
      <c r="J2127" t="n">
        <v>4</v>
      </c>
      <c r="K2127" t="n">
        <v>4</v>
      </c>
      <c r="L2127" t="n">
        <v>4</v>
      </c>
      <c r="M2127" t="n">
        <v>4</v>
      </c>
      <c r="N2127" t="n">
        <v>4</v>
      </c>
      <c r="O2127" t="n">
        <v>20</v>
      </c>
      <c r="P2127" t="n">
        <v>4</v>
      </c>
      <c r="R2127" s="9" t="n">
        <v>0.04</v>
      </c>
      <c r="S2127" s="10" t="inlineStr">
        <is>
          <t>SÍ — integrante</t>
        </is>
      </c>
      <c r="T2127" s="11" t="inlineStr">
        <is>
          <t>B · INTEGRANTE</t>
        </is>
      </c>
      <c r="U2127" s="11" t="inlineStr">
        <is>
          <t>DEL BANCO (se hereda)</t>
        </is>
      </c>
      <c r="V2127" s="11" t="n"/>
      <c r="W2127" s="12" t="n"/>
      <c r="X2127" s="12" t="n"/>
    </row>
    <row r="2128" ht="15" customHeight="1">
      <c r="C2128" t="inlineStr">
        <is>
          <t>NACIONALIDAD</t>
        </is>
      </c>
      <c r="D2128" t="inlineStr">
        <is>
          <t>F5</t>
        </is>
      </c>
      <c r="E2128" t="inlineStr">
        <is>
          <t>INHERENTE</t>
        </is>
      </c>
      <c r="F2128" t="inlineStr">
        <is>
          <t>GAMBIA</t>
        </is>
      </c>
      <c r="G2128" t="inlineStr">
        <is>
          <t>GM</t>
        </is>
      </c>
      <c r="H2128" t="n">
        <v>3</v>
      </c>
      <c r="I2128" t="n">
        <v>3</v>
      </c>
      <c r="J2128" t="n">
        <v>4</v>
      </c>
      <c r="K2128" t="n">
        <v>12</v>
      </c>
      <c r="L2128" t="n">
        <v>12</v>
      </c>
      <c r="M2128" t="n">
        <v>12</v>
      </c>
      <c r="N2128" t="n">
        <v>12</v>
      </c>
      <c r="O2128" t="n">
        <v>20</v>
      </c>
      <c r="P2128" t="n">
        <v>4</v>
      </c>
      <c r="R2128" s="9" t="n">
        <v>0.04</v>
      </c>
      <c r="S2128" s="10" t="inlineStr">
        <is>
          <t>SÍ — integrante</t>
        </is>
      </c>
      <c r="T2128" s="11" t="inlineStr">
        <is>
          <t>B · INTEGRANTE</t>
        </is>
      </c>
      <c r="U2128" s="11" t="inlineStr">
        <is>
          <t>DEL BANCO (se hereda)</t>
        </is>
      </c>
      <c r="V2128" s="11" t="n"/>
      <c r="W2128" s="12" t="n"/>
      <c r="X2128" s="12" t="n"/>
    </row>
    <row r="2129" ht="15" customHeight="1">
      <c r="C2129" t="inlineStr">
        <is>
          <t>NACIONALIDAD</t>
        </is>
      </c>
      <c r="D2129" t="inlineStr">
        <is>
          <t>F5</t>
        </is>
      </c>
      <c r="E2129" t="inlineStr">
        <is>
          <t>INHERENTE</t>
        </is>
      </c>
      <c r="F2129" t="inlineStr">
        <is>
          <t>GUINEA</t>
        </is>
      </c>
      <c r="G2129" t="inlineStr">
        <is>
          <t>GN</t>
        </is>
      </c>
      <c r="H2129" t="n">
        <v>3</v>
      </c>
      <c r="I2129" t="n">
        <v>3</v>
      </c>
      <c r="J2129" t="n">
        <v>4</v>
      </c>
      <c r="K2129" t="n">
        <v>12</v>
      </c>
      <c r="L2129" t="n">
        <v>12</v>
      </c>
      <c r="M2129" t="n">
        <v>12</v>
      </c>
      <c r="N2129" t="n">
        <v>12</v>
      </c>
      <c r="O2129" t="n">
        <v>20</v>
      </c>
      <c r="P2129" t="n">
        <v>4</v>
      </c>
      <c r="R2129" s="9" t="n">
        <v>0.04</v>
      </c>
      <c r="S2129" s="10" t="inlineStr">
        <is>
          <t>SÍ — integrante</t>
        </is>
      </c>
      <c r="T2129" s="11" t="inlineStr">
        <is>
          <t>B · INTEGRANTE</t>
        </is>
      </c>
      <c r="U2129" s="11" t="inlineStr">
        <is>
          <t>DEL BANCO (se hereda)</t>
        </is>
      </c>
      <c r="V2129" s="11" t="n"/>
      <c r="W2129" s="12" t="n"/>
      <c r="X2129" s="12" t="n"/>
    </row>
    <row r="2130" ht="15" customHeight="1">
      <c r="C2130" t="inlineStr">
        <is>
          <t>NACIONALIDAD</t>
        </is>
      </c>
      <c r="D2130" t="inlineStr">
        <is>
          <t>F5</t>
        </is>
      </c>
      <c r="E2130" t="inlineStr">
        <is>
          <t>INHERENTE</t>
        </is>
      </c>
      <c r="F2130" t="inlineStr">
        <is>
          <t>GUADALUPE</t>
        </is>
      </c>
      <c r="G2130" t="inlineStr">
        <is>
          <t>GP</t>
        </is>
      </c>
      <c r="H2130" t="n">
        <v>1</v>
      </c>
      <c r="I2130" t="n">
        <v>1</v>
      </c>
      <c r="J2130" t="n">
        <v>4</v>
      </c>
      <c r="K2130" t="n">
        <v>4</v>
      </c>
      <c r="L2130" t="n">
        <v>4</v>
      </c>
      <c r="M2130" t="n">
        <v>4</v>
      </c>
      <c r="N2130" t="n">
        <v>4</v>
      </c>
      <c r="O2130" t="n">
        <v>20</v>
      </c>
      <c r="P2130" t="n">
        <v>4</v>
      </c>
      <c r="R2130" s="9" t="n">
        <v>0.04</v>
      </c>
      <c r="S2130" s="10" t="inlineStr">
        <is>
          <t>SÍ — integrante</t>
        </is>
      </c>
      <c r="T2130" s="11" t="inlineStr">
        <is>
          <t>B · INTEGRANTE</t>
        </is>
      </c>
      <c r="U2130" s="11" t="inlineStr">
        <is>
          <t>DEL BANCO (se hereda)</t>
        </is>
      </c>
      <c r="V2130" s="11" t="n"/>
      <c r="W2130" s="12" t="n"/>
      <c r="X2130" s="12" t="n"/>
    </row>
    <row r="2131" ht="15" customHeight="1">
      <c r="C2131" t="inlineStr">
        <is>
          <t>NACIONALIDAD</t>
        </is>
      </c>
      <c r="D2131" t="inlineStr">
        <is>
          <t>F5</t>
        </is>
      </c>
      <c r="E2131" t="inlineStr">
        <is>
          <t>INHERENTE</t>
        </is>
      </c>
      <c r="F2131" t="inlineStr">
        <is>
          <t>GUINEA ECU.</t>
        </is>
      </c>
      <c r="G2131" t="inlineStr">
        <is>
          <t>GQ</t>
        </is>
      </c>
      <c r="H2131" t="n">
        <v>4</v>
      </c>
      <c r="I2131" t="n">
        <v>4</v>
      </c>
      <c r="J2131" t="n">
        <v>4</v>
      </c>
      <c r="K2131" t="n">
        <v>16</v>
      </c>
      <c r="L2131" t="n">
        <v>16</v>
      </c>
      <c r="M2131" t="n">
        <v>16</v>
      </c>
      <c r="N2131" t="n">
        <v>16</v>
      </c>
      <c r="O2131" t="n">
        <v>20</v>
      </c>
      <c r="P2131" t="n">
        <v>4</v>
      </c>
      <c r="R2131" s="9" t="n">
        <v>0.04</v>
      </c>
      <c r="S2131" s="10" t="inlineStr">
        <is>
          <t>SÍ — integrante</t>
        </is>
      </c>
      <c r="T2131" s="11" t="inlineStr">
        <is>
          <t>B · INTEGRANTE</t>
        </is>
      </c>
      <c r="U2131" s="11" t="inlineStr">
        <is>
          <t>DEL BANCO (se hereda)</t>
        </is>
      </c>
      <c r="V2131" s="11" t="n"/>
      <c r="W2131" s="12" t="n"/>
      <c r="X2131" s="12" t="n"/>
    </row>
    <row r="2132" ht="15" customHeight="1">
      <c r="C2132" t="inlineStr">
        <is>
          <t>NACIONALIDAD</t>
        </is>
      </c>
      <c r="D2132" t="inlineStr">
        <is>
          <t>F5</t>
        </is>
      </c>
      <c r="E2132" t="inlineStr">
        <is>
          <t>INHERENTE</t>
        </is>
      </c>
      <c r="F2132" t="inlineStr">
        <is>
          <t>GRECIA</t>
        </is>
      </c>
      <c r="G2132" t="inlineStr">
        <is>
          <t>GR</t>
        </is>
      </c>
      <c r="H2132" t="n">
        <v>1</v>
      </c>
      <c r="I2132" t="n">
        <v>1</v>
      </c>
      <c r="J2132" t="n">
        <v>4</v>
      </c>
      <c r="K2132" t="n">
        <v>4</v>
      </c>
      <c r="L2132" t="n">
        <v>4</v>
      </c>
      <c r="M2132" t="n">
        <v>4</v>
      </c>
      <c r="N2132" t="n">
        <v>4</v>
      </c>
      <c r="O2132" t="n">
        <v>20</v>
      </c>
      <c r="P2132" t="n">
        <v>4</v>
      </c>
      <c r="R2132" s="9" t="n">
        <v>0.04</v>
      </c>
      <c r="S2132" s="10" t="inlineStr">
        <is>
          <t>SÍ — integrante</t>
        </is>
      </c>
      <c r="T2132" s="11" t="inlineStr">
        <is>
          <t>B · INTEGRANTE</t>
        </is>
      </c>
      <c r="U2132" s="11" t="inlineStr">
        <is>
          <t>DEL BANCO (se hereda)</t>
        </is>
      </c>
      <c r="V2132" s="11" t="n"/>
      <c r="W2132" s="12" t="n"/>
      <c r="X2132" s="12" t="n"/>
    </row>
    <row r="2133" ht="15" customHeight="1">
      <c r="C2133" t="inlineStr">
        <is>
          <t>NACIONALIDAD</t>
        </is>
      </c>
      <c r="D2133" t="inlineStr">
        <is>
          <t>F5</t>
        </is>
      </c>
      <c r="E2133" t="inlineStr">
        <is>
          <t>INHERENTE</t>
        </is>
      </c>
      <c r="F2133" t="inlineStr">
        <is>
          <t>ISLAS GEORGIA</t>
        </is>
      </c>
      <c r="G2133" t="inlineStr">
        <is>
          <t>GS</t>
        </is>
      </c>
      <c r="H2133" t="n">
        <v>1</v>
      </c>
      <c r="I2133" t="n">
        <v>1</v>
      </c>
      <c r="J2133" t="n">
        <v>4</v>
      </c>
      <c r="K2133" t="n">
        <v>4</v>
      </c>
      <c r="L2133" t="n">
        <v>4</v>
      </c>
      <c r="M2133" t="n">
        <v>4</v>
      </c>
      <c r="N2133" t="n">
        <v>4</v>
      </c>
      <c r="O2133" t="n">
        <v>20</v>
      </c>
      <c r="P2133" t="n">
        <v>4</v>
      </c>
      <c r="R2133" s="9" t="n">
        <v>0.04</v>
      </c>
      <c r="S2133" s="10" t="inlineStr">
        <is>
          <t>SÍ — integrante</t>
        </is>
      </c>
      <c r="T2133" s="11" t="inlineStr">
        <is>
          <t>B · INTEGRANTE</t>
        </is>
      </c>
      <c r="U2133" s="11" t="inlineStr">
        <is>
          <t>DEL BANCO (se hereda)</t>
        </is>
      </c>
      <c r="V2133" s="11" t="n"/>
      <c r="W2133" s="12" t="n"/>
      <c r="X2133" s="12" t="n"/>
    </row>
    <row r="2134" ht="15" customHeight="1">
      <c r="C2134" t="inlineStr">
        <is>
          <t>NACIONALIDAD</t>
        </is>
      </c>
      <c r="D2134" t="inlineStr">
        <is>
          <t>F5</t>
        </is>
      </c>
      <c r="E2134" t="inlineStr">
        <is>
          <t>INHERENTE</t>
        </is>
      </c>
      <c r="F2134" t="inlineStr">
        <is>
          <t>GUATEMALA</t>
        </is>
      </c>
      <c r="G2134" t="inlineStr">
        <is>
          <t>GT</t>
        </is>
      </c>
      <c r="H2134" t="n">
        <v>3</v>
      </c>
      <c r="I2134" t="n">
        <v>3</v>
      </c>
      <c r="J2134" t="n">
        <v>4</v>
      </c>
      <c r="K2134" t="n">
        <v>12</v>
      </c>
      <c r="L2134" t="n">
        <v>12</v>
      </c>
      <c r="M2134" t="n">
        <v>12</v>
      </c>
      <c r="N2134" t="n">
        <v>12</v>
      </c>
      <c r="O2134" t="n">
        <v>20</v>
      </c>
      <c r="P2134" t="n">
        <v>4</v>
      </c>
      <c r="R2134" s="9" t="n">
        <v>0.04</v>
      </c>
      <c r="S2134" s="10" t="inlineStr">
        <is>
          <t>SÍ — integrante</t>
        </is>
      </c>
      <c r="T2134" s="11" t="inlineStr">
        <is>
          <t>B · INTEGRANTE</t>
        </is>
      </c>
      <c r="U2134" s="11" t="inlineStr">
        <is>
          <t>DEL BANCO (se hereda)</t>
        </is>
      </c>
      <c r="V2134" s="11" t="n"/>
      <c r="W2134" s="12" t="n"/>
      <c r="X2134" s="12" t="n"/>
    </row>
    <row r="2135" ht="15" customHeight="1">
      <c r="C2135" t="inlineStr">
        <is>
          <t>NACIONALIDAD</t>
        </is>
      </c>
      <c r="D2135" t="inlineStr">
        <is>
          <t>F5</t>
        </is>
      </c>
      <c r="E2135" t="inlineStr">
        <is>
          <t>INHERENTE</t>
        </is>
      </c>
      <c r="F2135" t="inlineStr">
        <is>
          <t>GUAM</t>
        </is>
      </c>
      <c r="G2135" t="inlineStr">
        <is>
          <t>GU</t>
        </is>
      </c>
      <c r="H2135" t="n">
        <v>1</v>
      </c>
      <c r="I2135" t="n">
        <v>1</v>
      </c>
      <c r="J2135" t="n">
        <v>4</v>
      </c>
      <c r="K2135" t="n">
        <v>4</v>
      </c>
      <c r="L2135" t="n">
        <v>4</v>
      </c>
      <c r="M2135" t="n">
        <v>4</v>
      </c>
      <c r="N2135" t="n">
        <v>4</v>
      </c>
      <c r="O2135" t="n">
        <v>20</v>
      </c>
      <c r="P2135" t="n">
        <v>4</v>
      </c>
      <c r="R2135" s="9" t="n">
        <v>0.04</v>
      </c>
      <c r="S2135" s="10" t="inlineStr">
        <is>
          <t>SÍ — integrante</t>
        </is>
      </c>
      <c r="T2135" s="11" t="inlineStr">
        <is>
          <t>B · INTEGRANTE</t>
        </is>
      </c>
      <c r="U2135" s="11" t="inlineStr">
        <is>
          <t>DEL BANCO (se hereda)</t>
        </is>
      </c>
      <c r="V2135" s="11" t="n"/>
      <c r="W2135" s="12" t="n"/>
      <c r="X2135" s="12" t="n"/>
    </row>
    <row r="2136" ht="15" customHeight="1">
      <c r="C2136" t="inlineStr">
        <is>
          <t>NACIONALIDAD</t>
        </is>
      </c>
      <c r="D2136" t="inlineStr">
        <is>
          <t>F5</t>
        </is>
      </c>
      <c r="E2136" t="inlineStr">
        <is>
          <t>INHERENTE</t>
        </is>
      </c>
      <c r="F2136" t="inlineStr">
        <is>
          <t>GUINEA-BISSAU</t>
        </is>
      </c>
      <c r="G2136" t="inlineStr">
        <is>
          <t>GW</t>
        </is>
      </c>
      <c r="H2136" t="n">
        <v>4</v>
      </c>
      <c r="I2136" t="n">
        <v>4</v>
      </c>
      <c r="J2136" t="n">
        <v>4</v>
      </c>
      <c r="K2136" t="n">
        <v>16</v>
      </c>
      <c r="L2136" t="n">
        <v>16</v>
      </c>
      <c r="M2136" t="n">
        <v>16</v>
      </c>
      <c r="N2136" t="n">
        <v>16</v>
      </c>
      <c r="O2136" t="n">
        <v>20</v>
      </c>
      <c r="P2136" t="n">
        <v>4</v>
      </c>
      <c r="R2136" s="9" t="n">
        <v>0.04</v>
      </c>
      <c r="S2136" s="10" t="inlineStr">
        <is>
          <t>SÍ — integrante</t>
        </is>
      </c>
      <c r="T2136" s="11" t="inlineStr">
        <is>
          <t>B · INTEGRANTE</t>
        </is>
      </c>
      <c r="U2136" s="11" t="inlineStr">
        <is>
          <t>DEL BANCO (se hereda)</t>
        </is>
      </c>
      <c r="V2136" s="11" t="n"/>
      <c r="W2136" s="12" t="n"/>
      <c r="X2136" s="12" t="n"/>
    </row>
    <row r="2137" ht="15" customHeight="1">
      <c r="C2137" t="inlineStr">
        <is>
          <t>NACIONALIDAD</t>
        </is>
      </c>
      <c r="D2137" t="inlineStr">
        <is>
          <t>F5</t>
        </is>
      </c>
      <c r="E2137" t="inlineStr">
        <is>
          <t>INHERENTE</t>
        </is>
      </c>
      <c r="F2137" t="inlineStr">
        <is>
          <t>GUYANA</t>
        </is>
      </c>
      <c r="G2137" t="inlineStr">
        <is>
          <t>GY</t>
        </is>
      </c>
      <c r="H2137" t="n">
        <v>2</v>
      </c>
      <c r="I2137" t="n">
        <v>2</v>
      </c>
      <c r="J2137" t="n">
        <v>4</v>
      </c>
      <c r="K2137" t="n">
        <v>8</v>
      </c>
      <c r="L2137" t="n">
        <v>8</v>
      </c>
      <c r="M2137" t="n">
        <v>8</v>
      </c>
      <c r="N2137" t="n">
        <v>8</v>
      </c>
      <c r="O2137" t="n">
        <v>20</v>
      </c>
      <c r="P2137" t="n">
        <v>4</v>
      </c>
      <c r="R2137" s="9" t="n">
        <v>0.04</v>
      </c>
      <c r="S2137" s="10" t="inlineStr">
        <is>
          <t>SÍ — integrante</t>
        </is>
      </c>
      <c r="T2137" s="11" t="inlineStr">
        <is>
          <t>B · INTEGRANTE</t>
        </is>
      </c>
      <c r="U2137" s="11" t="inlineStr">
        <is>
          <t>DEL BANCO (se hereda)</t>
        </is>
      </c>
      <c r="V2137" s="11" t="n"/>
      <c r="W2137" s="12" t="n"/>
      <c r="X2137" s="12" t="n"/>
    </row>
    <row r="2138" ht="15" customHeight="1">
      <c r="C2138" t="inlineStr">
        <is>
          <t>NACIONALIDAD</t>
        </is>
      </c>
      <c r="D2138" t="inlineStr">
        <is>
          <t>F5</t>
        </is>
      </c>
      <c r="E2138" t="inlineStr">
        <is>
          <t>INHERENTE</t>
        </is>
      </c>
      <c r="F2138" t="inlineStr">
        <is>
          <t>HONG KONG</t>
        </is>
      </c>
      <c r="G2138" t="inlineStr">
        <is>
          <t>HK</t>
        </is>
      </c>
      <c r="H2138" t="n">
        <v>3</v>
      </c>
      <c r="I2138" t="n">
        <v>3</v>
      </c>
      <c r="J2138" t="n">
        <v>4</v>
      </c>
      <c r="K2138" t="n">
        <v>12</v>
      </c>
      <c r="L2138" t="n">
        <v>12</v>
      </c>
      <c r="M2138" t="n">
        <v>12</v>
      </c>
      <c r="N2138" t="n">
        <v>12</v>
      </c>
      <c r="O2138" t="n">
        <v>20</v>
      </c>
      <c r="P2138" t="n">
        <v>4</v>
      </c>
      <c r="R2138" s="9" t="n">
        <v>0.04</v>
      </c>
      <c r="S2138" s="10" t="inlineStr">
        <is>
          <t>SÍ — integrante</t>
        </is>
      </c>
      <c r="T2138" s="11" t="inlineStr">
        <is>
          <t>B · INTEGRANTE</t>
        </is>
      </c>
      <c r="U2138" s="11" t="inlineStr">
        <is>
          <t>DEL BANCO (se hereda)</t>
        </is>
      </c>
      <c r="V2138" s="11" t="n"/>
      <c r="W2138" s="12" t="n"/>
      <c r="X2138" s="12" t="n"/>
    </row>
    <row r="2139" ht="15" customHeight="1">
      <c r="C2139" t="inlineStr">
        <is>
          <t>NACIONALIDAD</t>
        </is>
      </c>
      <c r="D2139" t="inlineStr">
        <is>
          <t>F5</t>
        </is>
      </c>
      <c r="E2139" t="inlineStr">
        <is>
          <t>INHERENTE</t>
        </is>
      </c>
      <c r="F2139" t="inlineStr">
        <is>
          <t>HEARD .MCDONALD</t>
        </is>
      </c>
      <c r="G2139" t="inlineStr">
        <is>
          <t>HM</t>
        </is>
      </c>
      <c r="H2139" t="n">
        <v>1</v>
      </c>
      <c r="I2139" t="n">
        <v>1</v>
      </c>
      <c r="J2139" t="n">
        <v>4</v>
      </c>
      <c r="K2139" t="n">
        <v>4</v>
      </c>
      <c r="L2139" t="n">
        <v>4</v>
      </c>
      <c r="M2139" t="n">
        <v>4</v>
      </c>
      <c r="N2139" t="n">
        <v>4</v>
      </c>
      <c r="O2139" t="n">
        <v>20</v>
      </c>
      <c r="P2139" t="n">
        <v>4</v>
      </c>
      <c r="R2139" s="9" t="n">
        <v>0.04</v>
      </c>
      <c r="S2139" s="10" t="inlineStr">
        <is>
          <t>SÍ — integrante</t>
        </is>
      </c>
      <c r="T2139" s="11" t="inlineStr">
        <is>
          <t>B · INTEGRANTE</t>
        </is>
      </c>
      <c r="U2139" s="11" t="inlineStr">
        <is>
          <t>DEL BANCO (se hereda)</t>
        </is>
      </c>
      <c r="V2139" s="11" t="n"/>
      <c r="W2139" s="12" t="n"/>
      <c r="X2139" s="12" t="n"/>
    </row>
    <row r="2140" ht="15" customHeight="1">
      <c r="C2140" t="inlineStr">
        <is>
          <t>NACIONALIDAD</t>
        </is>
      </c>
      <c r="D2140" t="inlineStr">
        <is>
          <t>F5</t>
        </is>
      </c>
      <c r="E2140" t="inlineStr">
        <is>
          <t>INHERENTE</t>
        </is>
      </c>
      <c r="F2140" t="inlineStr">
        <is>
          <t>HONDURAS</t>
        </is>
      </c>
      <c r="G2140" t="inlineStr">
        <is>
          <t>HN</t>
        </is>
      </c>
      <c r="H2140" t="n">
        <v>3</v>
      </c>
      <c r="I2140" t="n">
        <v>3</v>
      </c>
      <c r="J2140" t="n">
        <v>4</v>
      </c>
      <c r="K2140" t="n">
        <v>12</v>
      </c>
      <c r="L2140" t="n">
        <v>12</v>
      </c>
      <c r="M2140" t="n">
        <v>12</v>
      </c>
      <c r="N2140" t="n">
        <v>12</v>
      </c>
      <c r="O2140" t="n">
        <v>20</v>
      </c>
      <c r="P2140" t="n">
        <v>4</v>
      </c>
      <c r="R2140" s="9" t="n">
        <v>0.04</v>
      </c>
      <c r="S2140" s="10" t="inlineStr">
        <is>
          <t>SÍ — integrante</t>
        </is>
      </c>
      <c r="T2140" s="11" t="inlineStr">
        <is>
          <t>B · INTEGRANTE</t>
        </is>
      </c>
      <c r="U2140" s="11" t="inlineStr">
        <is>
          <t>DEL BANCO (se hereda)</t>
        </is>
      </c>
      <c r="V2140" s="11" t="n"/>
      <c r="W2140" s="12" t="n"/>
      <c r="X2140" s="12" t="n"/>
    </row>
    <row r="2141" ht="15" customHeight="1">
      <c r="C2141" t="inlineStr">
        <is>
          <t>NACIONALIDAD</t>
        </is>
      </c>
      <c r="D2141" t="inlineStr">
        <is>
          <t>F5</t>
        </is>
      </c>
      <c r="E2141" t="inlineStr">
        <is>
          <t>INHERENTE</t>
        </is>
      </c>
      <c r="F2141" t="inlineStr">
        <is>
          <t>CROACIA</t>
        </is>
      </c>
      <c r="G2141" t="inlineStr">
        <is>
          <t>HR</t>
        </is>
      </c>
      <c r="H2141" t="n">
        <v>1</v>
      </c>
      <c r="I2141" t="n">
        <v>1</v>
      </c>
      <c r="J2141" t="n">
        <v>4</v>
      </c>
      <c r="K2141" t="n">
        <v>4</v>
      </c>
      <c r="L2141" t="n">
        <v>4</v>
      </c>
      <c r="M2141" t="n">
        <v>4</v>
      </c>
      <c r="N2141" t="n">
        <v>4</v>
      </c>
      <c r="O2141" t="n">
        <v>20</v>
      </c>
      <c r="P2141" t="n">
        <v>4</v>
      </c>
      <c r="R2141" s="9" t="n">
        <v>0.04</v>
      </c>
      <c r="S2141" s="10" t="inlineStr">
        <is>
          <t>SÍ — integrante</t>
        </is>
      </c>
      <c r="T2141" s="11" t="inlineStr">
        <is>
          <t>B · INTEGRANTE</t>
        </is>
      </c>
      <c r="U2141" s="11" t="inlineStr">
        <is>
          <t>DEL BANCO (se hereda)</t>
        </is>
      </c>
      <c r="V2141" s="11" t="n"/>
      <c r="W2141" s="12" t="n"/>
      <c r="X2141" s="12" t="n"/>
    </row>
    <row r="2142" ht="15" customHeight="1">
      <c r="C2142" t="inlineStr">
        <is>
          <t>NACIONALIDAD</t>
        </is>
      </c>
      <c r="D2142" t="inlineStr">
        <is>
          <t>F5</t>
        </is>
      </c>
      <c r="E2142" t="inlineStr">
        <is>
          <t>INHERENTE</t>
        </is>
      </c>
      <c r="F2142" t="inlineStr">
        <is>
          <t>HAITI</t>
        </is>
      </c>
      <c r="G2142" t="inlineStr">
        <is>
          <t>HT</t>
        </is>
      </c>
      <c r="H2142" t="n">
        <v>4</v>
      </c>
      <c r="I2142" t="n">
        <v>4</v>
      </c>
      <c r="J2142" t="n">
        <v>4</v>
      </c>
      <c r="K2142" t="n">
        <v>16</v>
      </c>
      <c r="L2142" t="n">
        <v>16</v>
      </c>
      <c r="M2142" t="n">
        <v>16</v>
      </c>
      <c r="N2142" t="n">
        <v>16</v>
      </c>
      <c r="O2142" t="n">
        <v>20</v>
      </c>
      <c r="P2142" t="n">
        <v>4</v>
      </c>
      <c r="Q2142" t="inlineStr">
        <is>
          <t>DETERMINANTE</t>
        </is>
      </c>
      <c r="R2142" s="9" t="n">
        <v>0.04</v>
      </c>
      <c r="S2142" s="10" t="inlineStr">
        <is>
          <t>SÍ — integrante</t>
        </is>
      </c>
      <c r="T2142" s="11" t="inlineStr">
        <is>
          <t>B · INTEGRANTE</t>
        </is>
      </c>
      <c r="U2142" s="11" t="inlineStr">
        <is>
          <t>DEL BANCO (se hereda)</t>
        </is>
      </c>
      <c r="V2142" s="11" t="n"/>
      <c r="W2142" s="12" t="n"/>
      <c r="X2142" s="12" t="n"/>
    </row>
    <row r="2143" ht="15" customHeight="1">
      <c r="C2143" t="inlineStr">
        <is>
          <t>NACIONALIDAD</t>
        </is>
      </c>
      <c r="D2143" t="inlineStr">
        <is>
          <t>F5</t>
        </is>
      </c>
      <c r="E2143" t="inlineStr">
        <is>
          <t>INHERENTE</t>
        </is>
      </c>
      <c r="F2143" t="inlineStr">
        <is>
          <t>HUNGRIA</t>
        </is>
      </c>
      <c r="G2143" t="inlineStr">
        <is>
          <t>HU</t>
        </is>
      </c>
      <c r="H2143" t="n">
        <v>2</v>
      </c>
      <c r="I2143" t="n">
        <v>2</v>
      </c>
      <c r="J2143" t="n">
        <v>4</v>
      </c>
      <c r="K2143" t="n">
        <v>8</v>
      </c>
      <c r="L2143" t="n">
        <v>8</v>
      </c>
      <c r="M2143" t="n">
        <v>8</v>
      </c>
      <c r="N2143" t="n">
        <v>8</v>
      </c>
      <c r="O2143" t="n">
        <v>20</v>
      </c>
      <c r="P2143" t="n">
        <v>4</v>
      </c>
      <c r="R2143" s="9" t="n">
        <v>0.04</v>
      </c>
      <c r="S2143" s="10" t="inlineStr">
        <is>
          <t>SÍ — integrante</t>
        </is>
      </c>
      <c r="T2143" s="11" t="inlineStr">
        <is>
          <t>B · INTEGRANTE</t>
        </is>
      </c>
      <c r="U2143" s="11" t="inlineStr">
        <is>
          <t>DEL BANCO (se hereda)</t>
        </is>
      </c>
      <c r="V2143" s="11" t="n"/>
      <c r="W2143" s="12" t="n"/>
      <c r="X2143" s="12" t="n"/>
    </row>
    <row r="2144" ht="15" customHeight="1">
      <c r="C2144" t="inlineStr">
        <is>
          <t>NACIONALIDAD</t>
        </is>
      </c>
      <c r="D2144" t="inlineStr">
        <is>
          <t>F5</t>
        </is>
      </c>
      <c r="E2144" t="inlineStr">
        <is>
          <t>INHERENTE</t>
        </is>
      </c>
      <c r="F2144" t="inlineStr">
        <is>
          <t>ISLAS DEL CANAL</t>
        </is>
      </c>
      <c r="G2144" t="inlineStr">
        <is>
          <t>IC</t>
        </is>
      </c>
      <c r="H2144" t="n">
        <v>1</v>
      </c>
      <c r="I2144" t="n">
        <v>1</v>
      </c>
      <c r="J2144" t="n">
        <v>4</v>
      </c>
      <c r="K2144" t="n">
        <v>4</v>
      </c>
      <c r="L2144" t="n">
        <v>4</v>
      </c>
      <c r="M2144" t="n">
        <v>4</v>
      </c>
      <c r="N2144" t="n">
        <v>4</v>
      </c>
      <c r="O2144" t="n">
        <v>20</v>
      </c>
      <c r="P2144" t="n">
        <v>4</v>
      </c>
      <c r="R2144" s="9" t="n">
        <v>0.04</v>
      </c>
      <c r="S2144" s="10" t="inlineStr">
        <is>
          <t>SÍ — integrante</t>
        </is>
      </c>
      <c r="T2144" s="11" t="inlineStr">
        <is>
          <t>B · INTEGRANTE</t>
        </is>
      </c>
      <c r="U2144" s="11" t="inlineStr">
        <is>
          <t>DEL BANCO (se hereda)</t>
        </is>
      </c>
      <c r="V2144" s="11" t="n"/>
      <c r="W2144" s="12" t="n"/>
      <c r="X2144" s="12" t="n"/>
    </row>
    <row r="2145" ht="15" customHeight="1">
      <c r="C2145" t="inlineStr">
        <is>
          <t>NACIONALIDAD</t>
        </is>
      </c>
      <c r="D2145" t="inlineStr">
        <is>
          <t>F5</t>
        </is>
      </c>
      <c r="E2145" t="inlineStr">
        <is>
          <t>INHERENTE</t>
        </is>
      </c>
      <c r="F2145" t="inlineStr">
        <is>
          <t>INDONESIA</t>
        </is>
      </c>
      <c r="G2145" t="inlineStr">
        <is>
          <t>ID</t>
        </is>
      </c>
      <c r="H2145" t="n">
        <v>3</v>
      </c>
      <c r="I2145" t="n">
        <v>3</v>
      </c>
      <c r="J2145" t="n">
        <v>4</v>
      </c>
      <c r="K2145" t="n">
        <v>12</v>
      </c>
      <c r="L2145" t="n">
        <v>12</v>
      </c>
      <c r="M2145" t="n">
        <v>12</v>
      </c>
      <c r="N2145" t="n">
        <v>12</v>
      </c>
      <c r="O2145" t="n">
        <v>20</v>
      </c>
      <c r="P2145" t="n">
        <v>4</v>
      </c>
      <c r="R2145" s="9" t="n">
        <v>0.04</v>
      </c>
      <c r="S2145" s="10" t="inlineStr">
        <is>
          <t>SÍ — integrante</t>
        </is>
      </c>
      <c r="T2145" s="11" t="inlineStr">
        <is>
          <t>B · INTEGRANTE</t>
        </is>
      </c>
      <c r="U2145" s="11" t="inlineStr">
        <is>
          <t>DEL BANCO (se hereda)</t>
        </is>
      </c>
      <c r="V2145" s="11" t="n"/>
      <c r="W2145" s="12" t="n"/>
      <c r="X2145" s="12" t="n"/>
    </row>
    <row r="2146" ht="15" customHeight="1">
      <c r="C2146" t="inlineStr">
        <is>
          <t>NACIONALIDAD</t>
        </is>
      </c>
      <c r="D2146" t="inlineStr">
        <is>
          <t>F5</t>
        </is>
      </c>
      <c r="E2146" t="inlineStr">
        <is>
          <t>INHERENTE</t>
        </is>
      </c>
      <c r="F2146" t="inlineStr">
        <is>
          <t>IRLANDA</t>
        </is>
      </c>
      <c r="G2146" t="inlineStr">
        <is>
          <t>IE</t>
        </is>
      </c>
      <c r="H2146" t="n">
        <v>1</v>
      </c>
      <c r="I2146" t="n">
        <v>1</v>
      </c>
      <c r="J2146" t="n">
        <v>4</v>
      </c>
      <c r="K2146" t="n">
        <v>4</v>
      </c>
      <c r="L2146" t="n">
        <v>4</v>
      </c>
      <c r="M2146" t="n">
        <v>4</v>
      </c>
      <c r="N2146" t="n">
        <v>4</v>
      </c>
      <c r="O2146" t="n">
        <v>20</v>
      </c>
      <c r="P2146" t="n">
        <v>4</v>
      </c>
      <c r="R2146" s="9" t="n">
        <v>0.04</v>
      </c>
      <c r="S2146" s="10" t="inlineStr">
        <is>
          <t>SÍ — integrante</t>
        </is>
      </c>
      <c r="T2146" s="11" t="inlineStr">
        <is>
          <t>B · INTEGRANTE</t>
        </is>
      </c>
      <c r="U2146" s="11" t="inlineStr">
        <is>
          <t>DEL BANCO (se hereda)</t>
        </is>
      </c>
      <c r="V2146" s="11" t="n"/>
      <c r="W2146" s="12" t="n"/>
      <c r="X2146" s="12" t="n"/>
    </row>
    <row r="2147" ht="15" customHeight="1">
      <c r="C2147" t="inlineStr">
        <is>
          <t>NACIONALIDAD</t>
        </is>
      </c>
      <c r="D2147" t="inlineStr">
        <is>
          <t>F5</t>
        </is>
      </c>
      <c r="E2147" t="inlineStr">
        <is>
          <t>INHERENTE</t>
        </is>
      </c>
      <c r="F2147" t="inlineStr">
        <is>
          <t>ISRAEL</t>
        </is>
      </c>
      <c r="G2147" t="inlineStr">
        <is>
          <t>IL</t>
        </is>
      </c>
      <c r="H2147" t="n">
        <v>1</v>
      </c>
      <c r="I2147" t="n">
        <v>1</v>
      </c>
      <c r="J2147" t="n">
        <v>4</v>
      </c>
      <c r="K2147" t="n">
        <v>4</v>
      </c>
      <c r="L2147" t="n">
        <v>4</v>
      </c>
      <c r="M2147" t="n">
        <v>4</v>
      </c>
      <c r="N2147" t="n">
        <v>4</v>
      </c>
      <c r="O2147" t="n">
        <v>20</v>
      </c>
      <c r="P2147" t="n">
        <v>4</v>
      </c>
      <c r="R2147" s="9" t="n">
        <v>0.04</v>
      </c>
      <c r="S2147" s="10" t="inlineStr">
        <is>
          <t>SÍ — integrante</t>
        </is>
      </c>
      <c r="T2147" s="11" t="inlineStr">
        <is>
          <t>B · INTEGRANTE</t>
        </is>
      </c>
      <c r="U2147" s="11" t="inlineStr">
        <is>
          <t>DEL BANCO (se hereda)</t>
        </is>
      </c>
      <c r="V2147" s="11" t="n"/>
      <c r="W2147" s="12" t="n"/>
      <c r="X2147" s="12" t="n"/>
    </row>
    <row r="2148" ht="15" customHeight="1">
      <c r="C2148" t="inlineStr">
        <is>
          <t>NACIONALIDAD</t>
        </is>
      </c>
      <c r="D2148" t="inlineStr">
        <is>
          <t>F5</t>
        </is>
      </c>
      <c r="E2148" t="inlineStr">
        <is>
          <t>INHERENTE</t>
        </is>
      </c>
      <c r="F2148" t="inlineStr">
        <is>
          <t>ISLA DE MAN</t>
        </is>
      </c>
      <c r="G2148" t="inlineStr">
        <is>
          <t>IM</t>
        </is>
      </c>
      <c r="H2148" t="n">
        <v>1</v>
      </c>
      <c r="I2148" t="n">
        <v>1</v>
      </c>
      <c r="J2148" t="n">
        <v>4</v>
      </c>
      <c r="K2148" t="n">
        <v>4</v>
      </c>
      <c r="L2148" t="n">
        <v>4</v>
      </c>
      <c r="M2148" t="n">
        <v>4</v>
      </c>
      <c r="N2148" t="n">
        <v>4</v>
      </c>
      <c r="O2148" t="n">
        <v>20</v>
      </c>
      <c r="P2148" t="n">
        <v>4</v>
      </c>
      <c r="R2148" s="9" t="n">
        <v>0.04</v>
      </c>
      <c r="S2148" s="10" t="inlineStr">
        <is>
          <t>SÍ — integrante</t>
        </is>
      </c>
      <c r="T2148" s="11" t="inlineStr">
        <is>
          <t>B · INTEGRANTE</t>
        </is>
      </c>
      <c r="U2148" s="11" t="inlineStr">
        <is>
          <t>DEL BANCO (se hereda)</t>
        </is>
      </c>
      <c r="V2148" s="11" t="n"/>
      <c r="W2148" s="12" t="n"/>
      <c r="X2148" s="12" t="n"/>
    </row>
    <row r="2149" ht="15" customHeight="1">
      <c r="C2149" t="inlineStr">
        <is>
          <t>NACIONALIDAD</t>
        </is>
      </c>
      <c r="D2149" t="inlineStr">
        <is>
          <t>F5</t>
        </is>
      </c>
      <c r="E2149" t="inlineStr">
        <is>
          <t>INHERENTE</t>
        </is>
      </c>
      <c r="F2149" t="inlineStr">
        <is>
          <t>INDIA</t>
        </is>
      </c>
      <c r="G2149" t="inlineStr">
        <is>
          <t>IN</t>
        </is>
      </c>
      <c r="H2149" t="n">
        <v>3</v>
      </c>
      <c r="I2149" t="n">
        <v>3</v>
      </c>
      <c r="J2149" t="n">
        <v>4</v>
      </c>
      <c r="K2149" t="n">
        <v>12</v>
      </c>
      <c r="L2149" t="n">
        <v>12</v>
      </c>
      <c r="M2149" t="n">
        <v>12</v>
      </c>
      <c r="N2149" t="n">
        <v>12</v>
      </c>
      <c r="O2149" t="n">
        <v>20</v>
      </c>
      <c r="P2149" t="n">
        <v>4</v>
      </c>
      <c r="R2149" s="9" t="n">
        <v>0.04</v>
      </c>
      <c r="S2149" s="10" t="inlineStr">
        <is>
          <t>SÍ — integrante</t>
        </is>
      </c>
      <c r="T2149" s="11" t="inlineStr">
        <is>
          <t>B · INTEGRANTE</t>
        </is>
      </c>
      <c r="U2149" s="11" t="inlineStr">
        <is>
          <t>DEL BANCO (se hereda)</t>
        </is>
      </c>
      <c r="V2149" s="11" t="n"/>
      <c r="W2149" s="12" t="n"/>
      <c r="X2149" s="12" t="n"/>
    </row>
    <row r="2150" ht="15" customHeight="1">
      <c r="C2150" t="inlineStr">
        <is>
          <t>NACIONALIDAD</t>
        </is>
      </c>
      <c r="D2150" t="inlineStr">
        <is>
          <t>F5</t>
        </is>
      </c>
      <c r="E2150" t="inlineStr">
        <is>
          <t>INHERENTE</t>
        </is>
      </c>
      <c r="F2150" t="inlineStr">
        <is>
          <t>TERRITORIO BRIT</t>
        </is>
      </c>
      <c r="G2150" t="inlineStr">
        <is>
          <t>IO</t>
        </is>
      </c>
      <c r="H2150" t="n">
        <v>1</v>
      </c>
      <c r="I2150" t="n">
        <v>1</v>
      </c>
      <c r="J2150" t="n">
        <v>4</v>
      </c>
      <c r="K2150" t="n">
        <v>4</v>
      </c>
      <c r="L2150" t="n">
        <v>4</v>
      </c>
      <c r="M2150" t="n">
        <v>4</v>
      </c>
      <c r="N2150" t="n">
        <v>4</v>
      </c>
      <c r="O2150" t="n">
        <v>20</v>
      </c>
      <c r="P2150" t="n">
        <v>4</v>
      </c>
      <c r="R2150" s="9" t="n">
        <v>0.04</v>
      </c>
      <c r="S2150" s="10" t="inlineStr">
        <is>
          <t>SÍ — integrante</t>
        </is>
      </c>
      <c r="T2150" s="11" t="inlineStr">
        <is>
          <t>B · INTEGRANTE</t>
        </is>
      </c>
      <c r="U2150" s="11" t="inlineStr">
        <is>
          <t>DEL BANCO (se hereda)</t>
        </is>
      </c>
      <c r="V2150" s="11" t="n"/>
      <c r="W2150" s="12" t="n"/>
      <c r="X2150" s="12" t="n"/>
    </row>
    <row r="2151" ht="15" customHeight="1">
      <c r="C2151" t="inlineStr">
        <is>
          <t>NACIONALIDAD</t>
        </is>
      </c>
      <c r="D2151" t="inlineStr">
        <is>
          <t>F5</t>
        </is>
      </c>
      <c r="E2151" t="inlineStr">
        <is>
          <t>INHERENTE</t>
        </is>
      </c>
      <c r="F2151" t="inlineStr">
        <is>
          <t>IRAK (GFG)</t>
        </is>
      </c>
      <c r="G2151" t="inlineStr">
        <is>
          <t>IQ</t>
        </is>
      </c>
      <c r="H2151" t="n">
        <v>3</v>
      </c>
      <c r="I2151" t="n">
        <v>3</v>
      </c>
      <c r="J2151" t="n">
        <v>4</v>
      </c>
      <c r="K2151" t="n">
        <v>12</v>
      </c>
      <c r="L2151" t="n">
        <v>12</v>
      </c>
      <c r="M2151" t="n">
        <v>12</v>
      </c>
      <c r="N2151" t="n">
        <v>12</v>
      </c>
      <c r="O2151" t="n">
        <v>20</v>
      </c>
      <c r="P2151" t="n">
        <v>4</v>
      </c>
      <c r="R2151" s="9" t="n">
        <v>0.04</v>
      </c>
      <c r="S2151" s="10" t="inlineStr">
        <is>
          <t>SÍ — integrante</t>
        </is>
      </c>
      <c r="T2151" s="11" t="inlineStr">
        <is>
          <t>B · INTEGRANTE</t>
        </is>
      </c>
      <c r="U2151" s="11" t="inlineStr">
        <is>
          <t>DEL BANCO (se hereda)</t>
        </is>
      </c>
      <c r="V2151" s="11" t="n"/>
      <c r="W2151" s="12" t="n"/>
      <c r="X2151" s="12" t="n"/>
    </row>
    <row r="2152" ht="15" customHeight="1">
      <c r="C2152" t="inlineStr">
        <is>
          <t>NACIONALIDAD</t>
        </is>
      </c>
      <c r="D2152" t="inlineStr">
        <is>
          <t>F5</t>
        </is>
      </c>
      <c r="E2152" t="inlineStr">
        <is>
          <t>INHERENTE</t>
        </is>
      </c>
      <c r="F2152" t="inlineStr">
        <is>
          <t>IRAN</t>
        </is>
      </c>
      <c r="G2152" t="inlineStr">
        <is>
          <t>IR</t>
        </is>
      </c>
      <c r="H2152" t="n">
        <v>5</v>
      </c>
      <c r="I2152" t="n">
        <v>5</v>
      </c>
      <c r="J2152" t="n">
        <v>4</v>
      </c>
      <c r="K2152" t="n">
        <v>20</v>
      </c>
      <c r="L2152" t="n">
        <v>20</v>
      </c>
      <c r="M2152" t="n">
        <v>20</v>
      </c>
      <c r="N2152" t="n">
        <v>20</v>
      </c>
      <c r="O2152" t="n">
        <v>20</v>
      </c>
      <c r="P2152" t="n">
        <v>4</v>
      </c>
      <c r="Q2152" t="inlineStr">
        <is>
          <t>PROHIBITIVO</t>
        </is>
      </c>
      <c r="R2152" s="9" t="n">
        <v>0.04</v>
      </c>
      <c r="S2152" s="10" t="inlineStr">
        <is>
          <t>SÍ — integrante</t>
        </is>
      </c>
      <c r="T2152" s="11" t="inlineStr">
        <is>
          <t>B · INTEGRANTE</t>
        </is>
      </c>
      <c r="U2152" s="11" t="inlineStr">
        <is>
          <t>DEL BANCO (se hereda)</t>
        </is>
      </c>
      <c r="V2152" s="11" t="n"/>
      <c r="W2152" s="12" t="n"/>
      <c r="X2152" s="12" t="n"/>
    </row>
    <row r="2153" ht="15" customHeight="1">
      <c r="C2153" t="inlineStr">
        <is>
          <t>NACIONALIDAD</t>
        </is>
      </c>
      <c r="D2153" t="inlineStr">
        <is>
          <t>F5</t>
        </is>
      </c>
      <c r="E2153" t="inlineStr">
        <is>
          <t>INHERENTE</t>
        </is>
      </c>
      <c r="F2153" t="inlineStr">
        <is>
          <t>ISLANDIA</t>
        </is>
      </c>
      <c r="G2153" t="inlineStr">
        <is>
          <t>IS</t>
        </is>
      </c>
      <c r="H2153" t="n">
        <v>1</v>
      </c>
      <c r="I2153" t="n">
        <v>1</v>
      </c>
      <c r="J2153" t="n">
        <v>4</v>
      </c>
      <c r="K2153" t="n">
        <v>4</v>
      </c>
      <c r="L2153" t="n">
        <v>4</v>
      </c>
      <c r="M2153" t="n">
        <v>4</v>
      </c>
      <c r="N2153" t="n">
        <v>4</v>
      </c>
      <c r="O2153" t="n">
        <v>20</v>
      </c>
      <c r="P2153" t="n">
        <v>4</v>
      </c>
      <c r="R2153" s="9" t="n">
        <v>0.04</v>
      </c>
      <c r="S2153" s="10" t="inlineStr">
        <is>
          <t>SÍ — integrante</t>
        </is>
      </c>
      <c r="T2153" s="11" t="inlineStr">
        <is>
          <t>B · INTEGRANTE</t>
        </is>
      </c>
      <c r="U2153" s="11" t="inlineStr">
        <is>
          <t>DEL BANCO (se hereda)</t>
        </is>
      </c>
      <c r="V2153" s="11" t="n"/>
      <c r="W2153" s="12" t="n"/>
      <c r="X2153" s="12" t="n"/>
    </row>
    <row r="2154" ht="15" customHeight="1">
      <c r="C2154" t="inlineStr">
        <is>
          <t>NACIONALIDAD</t>
        </is>
      </c>
      <c r="D2154" t="inlineStr">
        <is>
          <t>F5</t>
        </is>
      </c>
      <c r="E2154" t="inlineStr">
        <is>
          <t>INHERENTE</t>
        </is>
      </c>
      <c r="F2154" t="inlineStr">
        <is>
          <t>ITALIA</t>
        </is>
      </c>
      <c r="G2154" t="inlineStr">
        <is>
          <t>IT</t>
        </is>
      </c>
      <c r="H2154" t="n">
        <v>1</v>
      </c>
      <c r="I2154" t="n">
        <v>1</v>
      </c>
      <c r="J2154" t="n">
        <v>4</v>
      </c>
      <c r="K2154" t="n">
        <v>4</v>
      </c>
      <c r="L2154" t="n">
        <v>4</v>
      </c>
      <c r="M2154" t="n">
        <v>4</v>
      </c>
      <c r="N2154" t="n">
        <v>4</v>
      </c>
      <c r="O2154" t="n">
        <v>20</v>
      </c>
      <c r="P2154" t="n">
        <v>4</v>
      </c>
      <c r="R2154" s="9" t="n">
        <v>0.04</v>
      </c>
      <c r="S2154" s="10" t="inlineStr">
        <is>
          <t>SÍ — integrante</t>
        </is>
      </c>
      <c r="T2154" s="11" t="inlineStr">
        <is>
          <t>B · INTEGRANTE</t>
        </is>
      </c>
      <c r="U2154" s="11" t="inlineStr">
        <is>
          <t>DEL BANCO (se hereda)</t>
        </is>
      </c>
      <c r="V2154" s="11" t="n"/>
      <c r="W2154" s="12" t="n"/>
      <c r="X2154" s="12" t="n"/>
    </row>
    <row r="2155" ht="15" customHeight="1">
      <c r="C2155" t="inlineStr">
        <is>
          <t>NACIONALIDAD</t>
        </is>
      </c>
      <c r="D2155" t="inlineStr">
        <is>
          <t>F5</t>
        </is>
      </c>
      <c r="E2155" t="inlineStr">
        <is>
          <t>INHERENTE</t>
        </is>
      </c>
      <c r="F2155" t="inlineStr">
        <is>
          <t>ISLAS VIRGENES BRITA</t>
        </is>
      </c>
      <c r="G2155" t="inlineStr">
        <is>
          <t>IV</t>
        </is>
      </c>
      <c r="H2155" t="n">
        <v>4</v>
      </c>
      <c r="I2155" t="n">
        <v>4</v>
      </c>
      <c r="J2155" t="n">
        <v>4</v>
      </c>
      <c r="K2155" t="n">
        <v>16</v>
      </c>
      <c r="L2155" t="n">
        <v>16</v>
      </c>
      <c r="M2155" t="n">
        <v>16</v>
      </c>
      <c r="N2155" t="n">
        <v>16</v>
      </c>
      <c r="O2155" t="n">
        <v>20</v>
      </c>
      <c r="P2155" t="n">
        <v>4</v>
      </c>
      <c r="Q2155" t="inlineStr">
        <is>
          <t>DETERMINANTE</t>
        </is>
      </c>
      <c r="R2155" s="9" t="n">
        <v>0.04</v>
      </c>
      <c r="S2155" s="10" t="inlineStr">
        <is>
          <t>SÍ — integrante</t>
        </is>
      </c>
      <c r="T2155" s="11" t="inlineStr">
        <is>
          <t>B · INTEGRANTE</t>
        </is>
      </c>
      <c r="U2155" s="11" t="inlineStr">
        <is>
          <t>DEL BANCO (se hereda)</t>
        </is>
      </c>
      <c r="V2155" s="11" t="n"/>
      <c r="W2155" s="12" t="n"/>
      <c r="X2155" s="12" t="n"/>
    </row>
    <row r="2156" ht="15" customHeight="1">
      <c r="C2156" t="inlineStr">
        <is>
          <t>NACIONALIDAD</t>
        </is>
      </c>
      <c r="D2156" t="inlineStr">
        <is>
          <t>F5</t>
        </is>
      </c>
      <c r="E2156" t="inlineStr">
        <is>
          <t>INHERENTE</t>
        </is>
      </c>
      <c r="F2156" t="inlineStr">
        <is>
          <t>ISLA DE JERSEY</t>
        </is>
      </c>
      <c r="G2156" t="inlineStr">
        <is>
          <t>JE</t>
        </is>
      </c>
      <c r="H2156" t="n">
        <v>1</v>
      </c>
      <c r="I2156" t="n">
        <v>1</v>
      </c>
      <c r="J2156" t="n">
        <v>4</v>
      </c>
      <c r="K2156" t="n">
        <v>4</v>
      </c>
      <c r="L2156" t="n">
        <v>4</v>
      </c>
      <c r="M2156" t="n">
        <v>4</v>
      </c>
      <c r="N2156" t="n">
        <v>4</v>
      </c>
      <c r="O2156" t="n">
        <v>20</v>
      </c>
      <c r="P2156" t="n">
        <v>4</v>
      </c>
      <c r="R2156" s="9" t="n">
        <v>0.04</v>
      </c>
      <c r="S2156" s="10" t="inlineStr">
        <is>
          <t>SÍ — integrante</t>
        </is>
      </c>
      <c r="T2156" s="11" t="inlineStr">
        <is>
          <t>B · INTEGRANTE</t>
        </is>
      </c>
      <c r="U2156" s="11" t="inlineStr">
        <is>
          <t>DEL BANCO (se hereda)</t>
        </is>
      </c>
      <c r="V2156" s="11" t="n"/>
      <c r="W2156" s="12" t="n"/>
      <c r="X2156" s="12" t="n"/>
    </row>
    <row r="2157" ht="15" customHeight="1">
      <c r="C2157" t="inlineStr">
        <is>
          <t>NACIONALIDAD</t>
        </is>
      </c>
      <c r="D2157" t="inlineStr">
        <is>
          <t>F5</t>
        </is>
      </c>
      <c r="E2157" t="inlineStr">
        <is>
          <t>INHERENTE</t>
        </is>
      </c>
      <c r="F2157" t="inlineStr">
        <is>
          <t>JAMAICA</t>
        </is>
      </c>
      <c r="G2157" t="inlineStr">
        <is>
          <t>JM</t>
        </is>
      </c>
      <c r="H2157" t="n">
        <v>3</v>
      </c>
      <c r="I2157" t="n">
        <v>3</v>
      </c>
      <c r="J2157" t="n">
        <v>4</v>
      </c>
      <c r="K2157" t="n">
        <v>12</v>
      </c>
      <c r="L2157" t="n">
        <v>12</v>
      </c>
      <c r="M2157" t="n">
        <v>12</v>
      </c>
      <c r="N2157" t="n">
        <v>12</v>
      </c>
      <c r="O2157" t="n">
        <v>20</v>
      </c>
      <c r="P2157" t="n">
        <v>4</v>
      </c>
      <c r="R2157" s="9" t="n">
        <v>0.04</v>
      </c>
      <c r="S2157" s="10" t="inlineStr">
        <is>
          <t>SÍ — integrante</t>
        </is>
      </c>
      <c r="T2157" s="11" t="inlineStr">
        <is>
          <t>B · INTEGRANTE</t>
        </is>
      </c>
      <c r="U2157" s="11" t="inlineStr">
        <is>
          <t>DEL BANCO (se hereda)</t>
        </is>
      </c>
      <c r="V2157" s="11" t="n"/>
      <c r="W2157" s="12" t="n"/>
      <c r="X2157" s="12" t="n"/>
    </row>
    <row r="2158" ht="15" customHeight="1">
      <c r="C2158" t="inlineStr">
        <is>
          <t>NACIONALIDAD</t>
        </is>
      </c>
      <c r="D2158" t="inlineStr">
        <is>
          <t>F5</t>
        </is>
      </c>
      <c r="E2158" t="inlineStr">
        <is>
          <t>INHERENTE</t>
        </is>
      </c>
      <c r="F2158" t="inlineStr">
        <is>
          <t>JORDANIA</t>
        </is>
      </c>
      <c r="G2158" t="inlineStr">
        <is>
          <t>JO</t>
        </is>
      </c>
      <c r="H2158" t="n">
        <v>2</v>
      </c>
      <c r="I2158" t="n">
        <v>2</v>
      </c>
      <c r="J2158" t="n">
        <v>4</v>
      </c>
      <c r="K2158" t="n">
        <v>8</v>
      </c>
      <c r="L2158" t="n">
        <v>8</v>
      </c>
      <c r="M2158" t="n">
        <v>8</v>
      </c>
      <c r="N2158" t="n">
        <v>8</v>
      </c>
      <c r="O2158" t="n">
        <v>20</v>
      </c>
      <c r="P2158" t="n">
        <v>4</v>
      </c>
      <c r="R2158" s="9" t="n">
        <v>0.04</v>
      </c>
      <c r="S2158" s="10" t="inlineStr">
        <is>
          <t>SÍ — integrante</t>
        </is>
      </c>
      <c r="T2158" s="11" t="inlineStr">
        <is>
          <t>B · INTEGRANTE</t>
        </is>
      </c>
      <c r="U2158" s="11" t="inlineStr">
        <is>
          <t>DEL BANCO (se hereda)</t>
        </is>
      </c>
      <c r="V2158" s="11" t="n"/>
      <c r="W2158" s="12" t="n"/>
      <c r="X2158" s="12" t="n"/>
    </row>
    <row r="2159" ht="15" customHeight="1">
      <c r="C2159" t="inlineStr">
        <is>
          <t>NACIONALIDAD</t>
        </is>
      </c>
      <c r="D2159" t="inlineStr">
        <is>
          <t>F5</t>
        </is>
      </c>
      <c r="E2159" t="inlineStr">
        <is>
          <t>INHERENTE</t>
        </is>
      </c>
      <c r="F2159" t="inlineStr">
        <is>
          <t>JAPON</t>
        </is>
      </c>
      <c r="G2159" t="inlineStr">
        <is>
          <t>JP</t>
        </is>
      </c>
      <c r="H2159" t="n">
        <v>1</v>
      </c>
      <c r="I2159" t="n">
        <v>1</v>
      </c>
      <c r="J2159" t="n">
        <v>4</v>
      </c>
      <c r="K2159" t="n">
        <v>4</v>
      </c>
      <c r="L2159" t="n">
        <v>4</v>
      </c>
      <c r="M2159" t="n">
        <v>4</v>
      </c>
      <c r="N2159" t="n">
        <v>4</v>
      </c>
      <c r="O2159" t="n">
        <v>20</v>
      </c>
      <c r="P2159" t="n">
        <v>4</v>
      </c>
      <c r="R2159" s="9" t="n">
        <v>0.04</v>
      </c>
      <c r="S2159" s="10" t="inlineStr">
        <is>
          <t>SÍ — integrante</t>
        </is>
      </c>
      <c r="T2159" s="11" t="inlineStr">
        <is>
          <t>B · INTEGRANTE</t>
        </is>
      </c>
      <c r="U2159" s="11" t="inlineStr">
        <is>
          <t>DEL BANCO (se hereda)</t>
        </is>
      </c>
      <c r="V2159" s="11" t="n"/>
      <c r="W2159" s="12" t="n"/>
      <c r="X2159" s="12" t="n"/>
    </row>
    <row r="2160" ht="15" customHeight="1">
      <c r="C2160" t="inlineStr">
        <is>
          <t>NACIONALIDAD</t>
        </is>
      </c>
      <c r="D2160" t="inlineStr">
        <is>
          <t>F5</t>
        </is>
      </c>
      <c r="E2160" t="inlineStr">
        <is>
          <t>INHERENTE</t>
        </is>
      </c>
      <c r="F2160" t="inlineStr">
        <is>
          <t>KENYA</t>
        </is>
      </c>
      <c r="G2160" t="inlineStr">
        <is>
          <t>KE</t>
        </is>
      </c>
      <c r="H2160" t="n">
        <v>4</v>
      </c>
      <c r="I2160" t="n">
        <v>4</v>
      </c>
      <c r="J2160" t="n">
        <v>4</v>
      </c>
      <c r="K2160" t="n">
        <v>16</v>
      </c>
      <c r="L2160" t="n">
        <v>16</v>
      </c>
      <c r="M2160" t="n">
        <v>16</v>
      </c>
      <c r="N2160" t="n">
        <v>16</v>
      </c>
      <c r="O2160" t="n">
        <v>20</v>
      </c>
      <c r="P2160" t="n">
        <v>4</v>
      </c>
      <c r="Q2160" t="inlineStr">
        <is>
          <t>DETERMINANTE</t>
        </is>
      </c>
      <c r="R2160" s="9" t="n">
        <v>0.04</v>
      </c>
      <c r="S2160" s="10" t="inlineStr">
        <is>
          <t>SÍ — integrante</t>
        </is>
      </c>
      <c r="T2160" s="11" t="inlineStr">
        <is>
          <t>B · INTEGRANTE</t>
        </is>
      </c>
      <c r="U2160" s="11" t="inlineStr">
        <is>
          <t>DEL BANCO (se hereda)</t>
        </is>
      </c>
      <c r="V2160" s="11" t="n"/>
      <c r="W2160" s="12" t="n"/>
      <c r="X2160" s="12" t="n"/>
    </row>
    <row r="2161" ht="15" customHeight="1">
      <c r="C2161" t="inlineStr">
        <is>
          <t>NACIONALIDAD</t>
        </is>
      </c>
      <c r="D2161" t="inlineStr">
        <is>
          <t>F5</t>
        </is>
      </c>
      <c r="E2161" t="inlineStr">
        <is>
          <t>INHERENTE</t>
        </is>
      </c>
      <c r="F2161" t="inlineStr">
        <is>
          <t>KYRGYZSTAN</t>
        </is>
      </c>
      <c r="G2161" t="inlineStr">
        <is>
          <t>KG</t>
        </is>
      </c>
      <c r="H2161" t="n">
        <v>3</v>
      </c>
      <c r="I2161" t="n">
        <v>3</v>
      </c>
      <c r="J2161" t="n">
        <v>4</v>
      </c>
      <c r="K2161" t="n">
        <v>12</v>
      </c>
      <c r="L2161" t="n">
        <v>12</v>
      </c>
      <c r="M2161" t="n">
        <v>12</v>
      </c>
      <c r="N2161" t="n">
        <v>12</v>
      </c>
      <c r="O2161" t="n">
        <v>20</v>
      </c>
      <c r="P2161" t="n">
        <v>4</v>
      </c>
      <c r="R2161" s="9" t="n">
        <v>0.04</v>
      </c>
      <c r="S2161" s="10" t="inlineStr">
        <is>
          <t>SÍ — integrante</t>
        </is>
      </c>
      <c r="T2161" s="11" t="inlineStr">
        <is>
          <t>B · INTEGRANTE</t>
        </is>
      </c>
      <c r="U2161" s="11" t="inlineStr">
        <is>
          <t>DEL BANCO (se hereda)</t>
        </is>
      </c>
      <c r="V2161" s="11" t="n"/>
      <c r="W2161" s="12" t="n"/>
      <c r="X2161" s="12" t="n"/>
    </row>
    <row r="2162" ht="15" customHeight="1">
      <c r="C2162" t="inlineStr">
        <is>
          <t>NACIONALIDAD</t>
        </is>
      </c>
      <c r="D2162" t="inlineStr">
        <is>
          <t>F5</t>
        </is>
      </c>
      <c r="E2162" t="inlineStr">
        <is>
          <t>INHERENTE</t>
        </is>
      </c>
      <c r="F2162" t="inlineStr">
        <is>
          <t>CAMBOYA</t>
        </is>
      </c>
      <c r="G2162" t="inlineStr">
        <is>
          <t>KH</t>
        </is>
      </c>
      <c r="H2162" t="n">
        <v>4</v>
      </c>
      <c r="I2162" t="n">
        <v>4</v>
      </c>
      <c r="J2162" t="n">
        <v>4</v>
      </c>
      <c r="K2162" t="n">
        <v>16</v>
      </c>
      <c r="L2162" t="n">
        <v>16</v>
      </c>
      <c r="M2162" t="n">
        <v>16</v>
      </c>
      <c r="N2162" t="n">
        <v>16</v>
      </c>
      <c r="O2162" t="n">
        <v>20</v>
      </c>
      <c r="P2162" t="n">
        <v>4</v>
      </c>
      <c r="R2162" s="9" t="n">
        <v>0.04</v>
      </c>
      <c r="S2162" s="10" t="inlineStr">
        <is>
          <t>SÍ — integrante</t>
        </is>
      </c>
      <c r="T2162" s="11" t="inlineStr">
        <is>
          <t>B · INTEGRANTE</t>
        </is>
      </c>
      <c r="U2162" s="11" t="inlineStr">
        <is>
          <t>DEL BANCO (se hereda)</t>
        </is>
      </c>
      <c r="V2162" s="11" t="n"/>
      <c r="W2162" s="12" t="n"/>
      <c r="X2162" s="12" t="n"/>
    </row>
    <row r="2163" ht="15" customHeight="1">
      <c r="C2163" t="inlineStr">
        <is>
          <t>NACIONALIDAD</t>
        </is>
      </c>
      <c r="D2163" t="inlineStr">
        <is>
          <t>F5</t>
        </is>
      </c>
      <c r="E2163" t="inlineStr">
        <is>
          <t>INHERENTE</t>
        </is>
      </c>
      <c r="F2163" t="inlineStr">
        <is>
          <t>KIRIBATI</t>
        </is>
      </c>
      <c r="G2163" t="inlineStr">
        <is>
          <t>KI</t>
        </is>
      </c>
      <c r="H2163" t="n">
        <v>1</v>
      </c>
      <c r="I2163" t="n">
        <v>1</v>
      </c>
      <c r="J2163" t="n">
        <v>4</v>
      </c>
      <c r="K2163" t="n">
        <v>4</v>
      </c>
      <c r="L2163" t="n">
        <v>4</v>
      </c>
      <c r="M2163" t="n">
        <v>4</v>
      </c>
      <c r="N2163" t="n">
        <v>4</v>
      </c>
      <c r="O2163" t="n">
        <v>20</v>
      </c>
      <c r="P2163" t="n">
        <v>4</v>
      </c>
      <c r="R2163" s="9" t="n">
        <v>0.04</v>
      </c>
      <c r="S2163" s="10" t="inlineStr">
        <is>
          <t>SÍ — integrante</t>
        </is>
      </c>
      <c r="T2163" s="11" t="inlineStr">
        <is>
          <t>B · INTEGRANTE</t>
        </is>
      </c>
      <c r="U2163" s="11" t="inlineStr">
        <is>
          <t>DEL BANCO (se hereda)</t>
        </is>
      </c>
      <c r="V2163" s="11" t="n"/>
      <c r="W2163" s="12" t="n"/>
      <c r="X2163" s="12" t="n"/>
    </row>
    <row r="2164" ht="15" customHeight="1">
      <c r="C2164" t="inlineStr">
        <is>
          <t>NACIONALIDAD</t>
        </is>
      </c>
      <c r="D2164" t="inlineStr">
        <is>
          <t>F5</t>
        </is>
      </c>
      <c r="E2164" t="inlineStr">
        <is>
          <t>INHERENTE</t>
        </is>
      </c>
      <c r="F2164" t="inlineStr">
        <is>
          <t>COMORES</t>
        </is>
      </c>
      <c r="G2164" t="inlineStr">
        <is>
          <t>KM</t>
        </is>
      </c>
      <c r="H2164" t="n">
        <v>4</v>
      </c>
      <c r="I2164" t="n">
        <v>4</v>
      </c>
      <c r="J2164" t="n">
        <v>4</v>
      </c>
      <c r="K2164" t="n">
        <v>16</v>
      </c>
      <c r="L2164" t="n">
        <v>16</v>
      </c>
      <c r="M2164" t="n">
        <v>16</v>
      </c>
      <c r="N2164" t="n">
        <v>16</v>
      </c>
      <c r="O2164" t="n">
        <v>20</v>
      </c>
      <c r="P2164" t="n">
        <v>4</v>
      </c>
      <c r="R2164" s="9" t="n">
        <v>0.04</v>
      </c>
      <c r="S2164" s="10" t="inlineStr">
        <is>
          <t>SÍ — integrante</t>
        </is>
      </c>
      <c r="T2164" s="11" t="inlineStr">
        <is>
          <t>B · INTEGRANTE</t>
        </is>
      </c>
      <c r="U2164" s="11" t="inlineStr">
        <is>
          <t>DEL BANCO (se hereda)</t>
        </is>
      </c>
      <c r="V2164" s="11" t="n"/>
      <c r="W2164" s="12" t="n"/>
      <c r="X2164" s="12" t="n"/>
    </row>
    <row r="2165" ht="15" customHeight="1">
      <c r="C2165" t="inlineStr">
        <is>
          <t>NACIONALIDAD</t>
        </is>
      </c>
      <c r="D2165" t="inlineStr">
        <is>
          <t>F5</t>
        </is>
      </c>
      <c r="E2165" t="inlineStr">
        <is>
          <t>INHERENTE</t>
        </is>
      </c>
      <c r="F2165" t="inlineStr">
        <is>
          <t>SAINT KITTS AND NEVI</t>
        </is>
      </c>
      <c r="G2165" t="inlineStr">
        <is>
          <t>KN</t>
        </is>
      </c>
      <c r="H2165" t="n">
        <v>3</v>
      </c>
      <c r="I2165" t="n">
        <v>3</v>
      </c>
      <c r="J2165" t="n">
        <v>4</v>
      </c>
      <c r="K2165" t="n">
        <v>12</v>
      </c>
      <c r="L2165" t="n">
        <v>12</v>
      </c>
      <c r="M2165" t="n">
        <v>12</v>
      </c>
      <c r="N2165" t="n">
        <v>12</v>
      </c>
      <c r="O2165" t="n">
        <v>20</v>
      </c>
      <c r="P2165" t="n">
        <v>4</v>
      </c>
      <c r="R2165" s="9" t="n">
        <v>0.04</v>
      </c>
      <c r="S2165" s="10" t="inlineStr">
        <is>
          <t>SÍ — integrante</t>
        </is>
      </c>
      <c r="T2165" s="11" t="inlineStr">
        <is>
          <t>B · INTEGRANTE</t>
        </is>
      </c>
      <c r="U2165" s="11" t="inlineStr">
        <is>
          <t>DEL BANCO (se hereda)</t>
        </is>
      </c>
      <c r="V2165" s="11" t="n"/>
      <c r="W2165" s="12" t="n"/>
      <c r="X2165" s="12" t="n"/>
    </row>
    <row r="2166" ht="15" customHeight="1">
      <c r="C2166" t="inlineStr">
        <is>
          <t>NACIONALIDAD</t>
        </is>
      </c>
      <c r="D2166" t="inlineStr">
        <is>
          <t>F5</t>
        </is>
      </c>
      <c r="E2166" t="inlineStr">
        <is>
          <t>INHERENTE</t>
        </is>
      </c>
      <c r="F2166" t="inlineStr">
        <is>
          <t>COREA DEL NORTE</t>
        </is>
      </c>
      <c r="G2166" t="inlineStr">
        <is>
          <t>KP</t>
        </is>
      </c>
      <c r="H2166" t="n">
        <v>5</v>
      </c>
      <c r="I2166" t="n">
        <v>5</v>
      </c>
      <c r="J2166" t="n">
        <v>4</v>
      </c>
      <c r="K2166" t="n">
        <v>20</v>
      </c>
      <c r="L2166" t="n">
        <v>20</v>
      </c>
      <c r="M2166" t="n">
        <v>20</v>
      </c>
      <c r="N2166" t="n">
        <v>20</v>
      </c>
      <c r="O2166" t="n">
        <v>20</v>
      </c>
      <c r="P2166" t="n">
        <v>4</v>
      </c>
      <c r="Q2166" t="inlineStr">
        <is>
          <t>PROHIBITIVO</t>
        </is>
      </c>
      <c r="R2166" s="9" t="n">
        <v>0.04</v>
      </c>
      <c r="S2166" s="10" t="inlineStr">
        <is>
          <t>SÍ — integrante</t>
        </is>
      </c>
      <c r="T2166" s="11" t="inlineStr">
        <is>
          <t>B · INTEGRANTE</t>
        </is>
      </c>
      <c r="U2166" s="11" t="inlineStr">
        <is>
          <t>DEL BANCO (se hereda)</t>
        </is>
      </c>
      <c r="V2166" s="11" t="n"/>
      <c r="W2166" s="12" t="n"/>
      <c r="X2166" s="12" t="n"/>
    </row>
    <row r="2167" ht="15" customHeight="1">
      <c r="C2167" t="inlineStr">
        <is>
          <t>NACIONALIDAD</t>
        </is>
      </c>
      <c r="D2167" t="inlineStr">
        <is>
          <t>F5</t>
        </is>
      </c>
      <c r="E2167" t="inlineStr">
        <is>
          <t>INHERENTE</t>
        </is>
      </c>
      <c r="F2167" t="inlineStr">
        <is>
          <t>COREA DEL SUR</t>
        </is>
      </c>
      <c r="G2167" t="inlineStr">
        <is>
          <t>KR</t>
        </is>
      </c>
      <c r="H2167" t="n">
        <v>1</v>
      </c>
      <c r="I2167" t="n">
        <v>1</v>
      </c>
      <c r="J2167" t="n">
        <v>4</v>
      </c>
      <c r="K2167" t="n">
        <v>4</v>
      </c>
      <c r="L2167" t="n">
        <v>4</v>
      </c>
      <c r="M2167" t="n">
        <v>4</v>
      </c>
      <c r="N2167" t="n">
        <v>4</v>
      </c>
      <c r="O2167" t="n">
        <v>20</v>
      </c>
      <c r="P2167" t="n">
        <v>4</v>
      </c>
      <c r="R2167" s="9" t="n">
        <v>0.04</v>
      </c>
      <c r="S2167" s="10" t="inlineStr">
        <is>
          <t>SÍ — integrante</t>
        </is>
      </c>
      <c r="T2167" s="11" t="inlineStr">
        <is>
          <t>B · INTEGRANTE</t>
        </is>
      </c>
      <c r="U2167" s="11" t="inlineStr">
        <is>
          <t>DEL BANCO (se hereda)</t>
        </is>
      </c>
      <c r="V2167" s="11" t="n"/>
      <c r="W2167" s="12" t="n"/>
      <c r="X2167" s="12" t="n"/>
    </row>
    <row r="2168" ht="15" customHeight="1">
      <c r="C2168" t="inlineStr">
        <is>
          <t>NACIONALIDAD</t>
        </is>
      </c>
      <c r="D2168" t="inlineStr">
        <is>
          <t>F5</t>
        </is>
      </c>
      <c r="E2168" t="inlineStr">
        <is>
          <t>INHERENTE</t>
        </is>
      </c>
      <c r="F2168" t="inlineStr">
        <is>
          <t>KUWAIT</t>
        </is>
      </c>
      <c r="G2168" t="inlineStr">
        <is>
          <t>KW</t>
        </is>
      </c>
      <c r="H2168" t="n">
        <v>4</v>
      </c>
      <c r="I2168" t="n">
        <v>4</v>
      </c>
      <c r="J2168" t="n">
        <v>4</v>
      </c>
      <c r="K2168" t="n">
        <v>16</v>
      </c>
      <c r="L2168" t="n">
        <v>16</v>
      </c>
      <c r="M2168" t="n">
        <v>16</v>
      </c>
      <c r="N2168" t="n">
        <v>16</v>
      </c>
      <c r="O2168" t="n">
        <v>20</v>
      </c>
      <c r="P2168" t="n">
        <v>4</v>
      </c>
      <c r="Q2168" t="inlineStr">
        <is>
          <t>DETERMINANTE</t>
        </is>
      </c>
      <c r="R2168" s="9" t="n">
        <v>0.04</v>
      </c>
      <c r="S2168" s="10" t="inlineStr">
        <is>
          <t>SÍ — integrante</t>
        </is>
      </c>
      <c r="T2168" s="11" t="inlineStr">
        <is>
          <t>B · INTEGRANTE</t>
        </is>
      </c>
      <c r="U2168" s="11" t="inlineStr">
        <is>
          <t>DEL BANCO (se hereda)</t>
        </is>
      </c>
      <c r="V2168" s="11" t="n"/>
      <c r="W2168" s="12" t="n"/>
      <c r="X2168" s="12" t="n"/>
    </row>
    <row r="2169" ht="15" customHeight="1">
      <c r="C2169" t="inlineStr">
        <is>
          <t>NACIONALIDAD</t>
        </is>
      </c>
      <c r="D2169" t="inlineStr">
        <is>
          <t>F5</t>
        </is>
      </c>
      <c r="E2169" t="inlineStr">
        <is>
          <t>INHERENTE</t>
        </is>
      </c>
      <c r="F2169" t="inlineStr">
        <is>
          <t>ISLAS CAIMAN</t>
        </is>
      </c>
      <c r="G2169" t="inlineStr">
        <is>
          <t>KY</t>
        </is>
      </c>
      <c r="H2169" t="n">
        <v>3</v>
      </c>
      <c r="I2169" t="n">
        <v>3</v>
      </c>
      <c r="J2169" t="n">
        <v>4</v>
      </c>
      <c r="K2169" t="n">
        <v>12</v>
      </c>
      <c r="L2169" t="n">
        <v>12</v>
      </c>
      <c r="M2169" t="n">
        <v>12</v>
      </c>
      <c r="N2169" t="n">
        <v>12</v>
      </c>
      <c r="O2169" t="n">
        <v>20</v>
      </c>
      <c r="P2169" t="n">
        <v>4</v>
      </c>
      <c r="R2169" s="9" t="n">
        <v>0.04</v>
      </c>
      <c r="S2169" s="10" t="inlineStr">
        <is>
          <t>SÍ — integrante</t>
        </is>
      </c>
      <c r="T2169" s="11" t="inlineStr">
        <is>
          <t>B · INTEGRANTE</t>
        </is>
      </c>
      <c r="U2169" s="11" t="inlineStr">
        <is>
          <t>DEL BANCO (se hereda)</t>
        </is>
      </c>
      <c r="V2169" s="11" t="n"/>
      <c r="W2169" s="12" t="n"/>
      <c r="X2169" s="12" t="n"/>
    </row>
    <row r="2170" ht="15" customHeight="1">
      <c r="C2170" t="inlineStr">
        <is>
          <t>NACIONALIDAD</t>
        </is>
      </c>
      <c r="D2170" t="inlineStr">
        <is>
          <t>F5</t>
        </is>
      </c>
      <c r="E2170" t="inlineStr">
        <is>
          <t>INHERENTE</t>
        </is>
      </c>
      <c r="F2170" t="inlineStr">
        <is>
          <t>KAZAKSTAN</t>
        </is>
      </c>
      <c r="G2170" t="inlineStr">
        <is>
          <t>KZ</t>
        </is>
      </c>
      <c r="H2170" t="n">
        <v>2</v>
      </c>
      <c r="I2170" t="n">
        <v>2</v>
      </c>
      <c r="J2170" t="n">
        <v>4</v>
      </c>
      <c r="K2170" t="n">
        <v>8</v>
      </c>
      <c r="L2170" t="n">
        <v>8</v>
      </c>
      <c r="M2170" t="n">
        <v>8</v>
      </c>
      <c r="N2170" t="n">
        <v>8</v>
      </c>
      <c r="O2170" t="n">
        <v>20</v>
      </c>
      <c r="P2170" t="n">
        <v>4</v>
      </c>
      <c r="R2170" s="9" t="n">
        <v>0.04</v>
      </c>
      <c r="S2170" s="10" t="inlineStr">
        <is>
          <t>SÍ — integrante</t>
        </is>
      </c>
      <c r="T2170" s="11" t="inlineStr">
        <is>
          <t>B · INTEGRANTE</t>
        </is>
      </c>
      <c r="U2170" s="11" t="inlineStr">
        <is>
          <t>DEL BANCO (se hereda)</t>
        </is>
      </c>
      <c r="V2170" s="11" t="n"/>
      <c r="W2170" s="12" t="n"/>
      <c r="X2170" s="12" t="n"/>
    </row>
    <row r="2171" ht="15" customHeight="1">
      <c r="C2171" t="inlineStr">
        <is>
          <t>NACIONALIDAD</t>
        </is>
      </c>
      <c r="D2171" t="inlineStr">
        <is>
          <t>F5</t>
        </is>
      </c>
      <c r="E2171" t="inlineStr">
        <is>
          <t>INHERENTE</t>
        </is>
      </c>
      <c r="F2171" t="inlineStr">
        <is>
          <t>LAOS</t>
        </is>
      </c>
      <c r="G2171" t="inlineStr">
        <is>
          <t>LA</t>
        </is>
      </c>
      <c r="H2171" t="n">
        <v>4</v>
      </c>
      <c r="I2171" t="n">
        <v>4</v>
      </c>
      <c r="J2171" t="n">
        <v>4</v>
      </c>
      <c r="K2171" t="n">
        <v>16</v>
      </c>
      <c r="L2171" t="n">
        <v>16</v>
      </c>
      <c r="M2171" t="n">
        <v>16</v>
      </c>
      <c r="N2171" t="n">
        <v>16</v>
      </c>
      <c r="O2171" t="n">
        <v>20</v>
      </c>
      <c r="P2171" t="n">
        <v>4</v>
      </c>
      <c r="Q2171" t="inlineStr">
        <is>
          <t>DETERMINANTE</t>
        </is>
      </c>
      <c r="R2171" s="9" t="n">
        <v>0.04</v>
      </c>
      <c r="S2171" s="10" t="inlineStr">
        <is>
          <t>SÍ — integrante</t>
        </is>
      </c>
      <c r="T2171" s="11" t="inlineStr">
        <is>
          <t>B · INTEGRANTE</t>
        </is>
      </c>
      <c r="U2171" s="11" t="inlineStr">
        <is>
          <t>DEL BANCO (se hereda)</t>
        </is>
      </c>
      <c r="V2171" s="11" t="n"/>
      <c r="W2171" s="12" t="n"/>
      <c r="X2171" s="12" t="n"/>
    </row>
    <row r="2172" ht="15" customHeight="1">
      <c r="C2172" t="inlineStr">
        <is>
          <t>NACIONALIDAD</t>
        </is>
      </c>
      <c r="D2172" t="inlineStr">
        <is>
          <t>F5</t>
        </is>
      </c>
      <c r="E2172" t="inlineStr">
        <is>
          <t>INHERENTE</t>
        </is>
      </c>
      <c r="F2172" t="inlineStr">
        <is>
          <t>LIBANO</t>
        </is>
      </c>
      <c r="G2172" t="inlineStr">
        <is>
          <t>LB</t>
        </is>
      </c>
      <c r="H2172" t="n">
        <v>4</v>
      </c>
      <c r="I2172" t="n">
        <v>4</v>
      </c>
      <c r="J2172" t="n">
        <v>4</v>
      </c>
      <c r="K2172" t="n">
        <v>16</v>
      </c>
      <c r="L2172" t="n">
        <v>16</v>
      </c>
      <c r="M2172" t="n">
        <v>16</v>
      </c>
      <c r="N2172" t="n">
        <v>16</v>
      </c>
      <c r="O2172" t="n">
        <v>20</v>
      </c>
      <c r="P2172" t="n">
        <v>4</v>
      </c>
      <c r="Q2172" t="inlineStr">
        <is>
          <t>DETERMINANTE</t>
        </is>
      </c>
      <c r="R2172" s="9" t="n">
        <v>0.04</v>
      </c>
      <c r="S2172" s="10" t="inlineStr">
        <is>
          <t>SÍ — integrante</t>
        </is>
      </c>
      <c r="T2172" s="11" t="inlineStr">
        <is>
          <t>B · INTEGRANTE</t>
        </is>
      </c>
      <c r="U2172" s="11" t="inlineStr">
        <is>
          <t>DEL BANCO (se hereda)</t>
        </is>
      </c>
      <c r="V2172" s="11" t="n"/>
      <c r="W2172" s="12" t="n"/>
      <c r="X2172" s="12" t="n"/>
    </row>
    <row r="2173" ht="15" customHeight="1">
      <c r="C2173" t="inlineStr">
        <is>
          <t>NACIONALIDAD</t>
        </is>
      </c>
      <c r="D2173" t="inlineStr">
        <is>
          <t>F5</t>
        </is>
      </c>
      <c r="E2173" t="inlineStr">
        <is>
          <t>INHERENTE</t>
        </is>
      </c>
      <c r="F2173" t="inlineStr">
        <is>
          <t>SANTA LUCIA</t>
        </is>
      </c>
      <c r="G2173" t="inlineStr">
        <is>
          <t>LC</t>
        </is>
      </c>
      <c r="H2173" t="n">
        <v>3</v>
      </c>
      <c r="I2173" t="n">
        <v>3</v>
      </c>
      <c r="J2173" t="n">
        <v>4</v>
      </c>
      <c r="K2173" t="n">
        <v>12</v>
      </c>
      <c r="L2173" t="n">
        <v>12</v>
      </c>
      <c r="M2173" t="n">
        <v>12</v>
      </c>
      <c r="N2173" t="n">
        <v>12</v>
      </c>
      <c r="O2173" t="n">
        <v>20</v>
      </c>
      <c r="P2173" t="n">
        <v>4</v>
      </c>
      <c r="R2173" s="9" t="n">
        <v>0.04</v>
      </c>
      <c r="S2173" s="10" t="inlineStr">
        <is>
          <t>SÍ — integrante</t>
        </is>
      </c>
      <c r="T2173" s="11" t="inlineStr">
        <is>
          <t>B · INTEGRANTE</t>
        </is>
      </c>
      <c r="U2173" s="11" t="inlineStr">
        <is>
          <t>DEL BANCO (se hereda)</t>
        </is>
      </c>
      <c r="V2173" s="11" t="n"/>
      <c r="W2173" s="12" t="n"/>
      <c r="X2173" s="12" t="n"/>
    </row>
    <row r="2174" ht="15" customHeight="1">
      <c r="C2174" t="inlineStr">
        <is>
          <t>NACIONALIDAD</t>
        </is>
      </c>
      <c r="D2174" t="inlineStr">
        <is>
          <t>F5</t>
        </is>
      </c>
      <c r="E2174" t="inlineStr">
        <is>
          <t>INHERENTE</t>
        </is>
      </c>
      <c r="F2174" t="inlineStr">
        <is>
          <t>LIECHTENSTEIN</t>
        </is>
      </c>
      <c r="G2174" t="inlineStr">
        <is>
          <t>LI</t>
        </is>
      </c>
      <c r="H2174" t="n">
        <v>3</v>
      </c>
      <c r="I2174" t="n">
        <v>3</v>
      </c>
      <c r="J2174" t="n">
        <v>4</v>
      </c>
      <c r="K2174" t="n">
        <v>12</v>
      </c>
      <c r="L2174" t="n">
        <v>12</v>
      </c>
      <c r="M2174" t="n">
        <v>12</v>
      </c>
      <c r="N2174" t="n">
        <v>12</v>
      </c>
      <c r="O2174" t="n">
        <v>20</v>
      </c>
      <c r="P2174" t="n">
        <v>4</v>
      </c>
      <c r="R2174" s="9" t="n">
        <v>0.04</v>
      </c>
      <c r="S2174" s="10" t="inlineStr">
        <is>
          <t>SÍ — integrante</t>
        </is>
      </c>
      <c r="T2174" s="11" t="inlineStr">
        <is>
          <t>B · INTEGRANTE</t>
        </is>
      </c>
      <c r="U2174" s="11" t="inlineStr">
        <is>
          <t>DEL BANCO (se hereda)</t>
        </is>
      </c>
      <c r="V2174" s="11" t="n"/>
      <c r="W2174" s="12" t="n"/>
      <c r="X2174" s="12" t="n"/>
    </row>
    <row r="2175" ht="15" customHeight="1">
      <c r="C2175" t="inlineStr">
        <is>
          <t>NACIONALIDAD</t>
        </is>
      </c>
      <c r="D2175" t="inlineStr">
        <is>
          <t>F5</t>
        </is>
      </c>
      <c r="E2175" t="inlineStr">
        <is>
          <t>INHERENTE</t>
        </is>
      </c>
      <c r="F2175" t="inlineStr">
        <is>
          <t>SRI LANKA</t>
        </is>
      </c>
      <c r="G2175" t="inlineStr">
        <is>
          <t>LK</t>
        </is>
      </c>
      <c r="H2175" t="n">
        <v>2</v>
      </c>
      <c r="I2175" t="n">
        <v>2</v>
      </c>
      <c r="J2175" t="n">
        <v>4</v>
      </c>
      <c r="K2175" t="n">
        <v>8</v>
      </c>
      <c r="L2175" t="n">
        <v>8</v>
      </c>
      <c r="M2175" t="n">
        <v>8</v>
      </c>
      <c r="N2175" t="n">
        <v>8</v>
      </c>
      <c r="O2175" t="n">
        <v>20</v>
      </c>
      <c r="P2175" t="n">
        <v>4</v>
      </c>
      <c r="R2175" s="9" t="n">
        <v>0.04</v>
      </c>
      <c r="S2175" s="10" t="inlineStr">
        <is>
          <t>SÍ — integrante</t>
        </is>
      </c>
      <c r="T2175" s="11" t="inlineStr">
        <is>
          <t>B · INTEGRANTE</t>
        </is>
      </c>
      <c r="U2175" s="11" t="inlineStr">
        <is>
          <t>DEL BANCO (se hereda)</t>
        </is>
      </c>
      <c r="V2175" s="11" t="n"/>
      <c r="W2175" s="12" t="n"/>
      <c r="X2175" s="12" t="n"/>
    </row>
    <row r="2176" ht="15" customHeight="1">
      <c r="C2176" t="inlineStr">
        <is>
          <t>NACIONALIDAD</t>
        </is>
      </c>
      <c r="D2176" t="inlineStr">
        <is>
          <t>F5</t>
        </is>
      </c>
      <c r="E2176" t="inlineStr">
        <is>
          <t>INHERENTE</t>
        </is>
      </c>
      <c r="F2176" t="inlineStr">
        <is>
          <t>LIBERIA</t>
        </is>
      </c>
      <c r="G2176" t="inlineStr">
        <is>
          <t>LR</t>
        </is>
      </c>
      <c r="H2176" t="n">
        <v>3</v>
      </c>
      <c r="I2176" t="n">
        <v>3</v>
      </c>
      <c r="J2176" t="n">
        <v>4</v>
      </c>
      <c r="K2176" t="n">
        <v>12</v>
      </c>
      <c r="L2176" t="n">
        <v>12</v>
      </c>
      <c r="M2176" t="n">
        <v>12</v>
      </c>
      <c r="N2176" t="n">
        <v>12</v>
      </c>
      <c r="O2176" t="n">
        <v>20</v>
      </c>
      <c r="P2176" t="n">
        <v>4</v>
      </c>
      <c r="R2176" s="9" t="n">
        <v>0.04</v>
      </c>
      <c r="S2176" s="10" t="inlineStr">
        <is>
          <t>SÍ — integrante</t>
        </is>
      </c>
      <c r="T2176" s="11" t="inlineStr">
        <is>
          <t>B · INTEGRANTE</t>
        </is>
      </c>
      <c r="U2176" s="11" t="inlineStr">
        <is>
          <t>DEL BANCO (se hereda)</t>
        </is>
      </c>
      <c r="V2176" s="11" t="n"/>
      <c r="W2176" s="12" t="n"/>
      <c r="X2176" s="12" t="n"/>
    </row>
    <row r="2177" ht="15" customHeight="1">
      <c r="C2177" t="inlineStr">
        <is>
          <t>NACIONALIDAD</t>
        </is>
      </c>
      <c r="D2177" t="inlineStr">
        <is>
          <t>F5</t>
        </is>
      </c>
      <c r="E2177" t="inlineStr">
        <is>
          <t>INHERENTE</t>
        </is>
      </c>
      <c r="F2177" t="inlineStr">
        <is>
          <t>LESOTHO</t>
        </is>
      </c>
      <c r="G2177" t="inlineStr">
        <is>
          <t>LS</t>
        </is>
      </c>
      <c r="H2177" t="n">
        <v>3</v>
      </c>
      <c r="I2177" t="n">
        <v>3</v>
      </c>
      <c r="J2177" t="n">
        <v>4</v>
      </c>
      <c r="K2177" t="n">
        <v>12</v>
      </c>
      <c r="L2177" t="n">
        <v>12</v>
      </c>
      <c r="M2177" t="n">
        <v>12</v>
      </c>
      <c r="N2177" t="n">
        <v>12</v>
      </c>
      <c r="O2177" t="n">
        <v>20</v>
      </c>
      <c r="P2177" t="n">
        <v>4</v>
      </c>
      <c r="R2177" s="9" t="n">
        <v>0.04</v>
      </c>
      <c r="S2177" s="10" t="inlineStr">
        <is>
          <t>SÍ — integrante</t>
        </is>
      </c>
      <c r="T2177" s="11" t="inlineStr">
        <is>
          <t>B · INTEGRANTE</t>
        </is>
      </c>
      <c r="U2177" s="11" t="inlineStr">
        <is>
          <t>DEL BANCO (se hereda)</t>
        </is>
      </c>
      <c r="V2177" s="11" t="n"/>
      <c r="W2177" s="12" t="n"/>
      <c r="X2177" s="12" t="n"/>
    </row>
    <row r="2178" ht="15" customHeight="1">
      <c r="C2178" t="inlineStr">
        <is>
          <t>NACIONALIDAD</t>
        </is>
      </c>
      <c r="D2178" t="inlineStr">
        <is>
          <t>F5</t>
        </is>
      </c>
      <c r="E2178" t="inlineStr">
        <is>
          <t>INHERENTE</t>
        </is>
      </c>
      <c r="F2178" t="inlineStr">
        <is>
          <t>LITUANIA</t>
        </is>
      </c>
      <c r="G2178" t="inlineStr">
        <is>
          <t>LT</t>
        </is>
      </c>
      <c r="H2178" t="n">
        <v>1</v>
      </c>
      <c r="I2178" t="n">
        <v>1</v>
      </c>
      <c r="J2178" t="n">
        <v>4</v>
      </c>
      <c r="K2178" t="n">
        <v>4</v>
      </c>
      <c r="L2178" t="n">
        <v>4</v>
      </c>
      <c r="M2178" t="n">
        <v>4</v>
      </c>
      <c r="N2178" t="n">
        <v>4</v>
      </c>
      <c r="O2178" t="n">
        <v>20</v>
      </c>
      <c r="P2178" t="n">
        <v>4</v>
      </c>
      <c r="R2178" s="9" t="n">
        <v>0.04</v>
      </c>
      <c r="S2178" s="10" t="inlineStr">
        <is>
          <t>SÍ — integrante</t>
        </is>
      </c>
      <c r="T2178" s="11" t="inlineStr">
        <is>
          <t>B · INTEGRANTE</t>
        </is>
      </c>
      <c r="U2178" s="11" t="inlineStr">
        <is>
          <t>DEL BANCO (se hereda)</t>
        </is>
      </c>
      <c r="V2178" s="11" t="n"/>
      <c r="W2178" s="12" t="n"/>
      <c r="X2178" s="12" t="n"/>
    </row>
    <row r="2179" ht="15" customHeight="1">
      <c r="C2179" t="inlineStr">
        <is>
          <t>NACIONALIDAD</t>
        </is>
      </c>
      <c r="D2179" t="inlineStr">
        <is>
          <t>F5</t>
        </is>
      </c>
      <c r="E2179" t="inlineStr">
        <is>
          <t>INHERENTE</t>
        </is>
      </c>
      <c r="F2179" t="inlineStr">
        <is>
          <t>LUXEMBURGO</t>
        </is>
      </c>
      <c r="G2179" t="inlineStr">
        <is>
          <t>LU</t>
        </is>
      </c>
      <c r="H2179" t="n">
        <v>3</v>
      </c>
      <c r="I2179" t="n">
        <v>3</v>
      </c>
      <c r="J2179" t="n">
        <v>4</v>
      </c>
      <c r="K2179" t="n">
        <v>12</v>
      </c>
      <c r="L2179" t="n">
        <v>12</v>
      </c>
      <c r="M2179" t="n">
        <v>12</v>
      </c>
      <c r="N2179" t="n">
        <v>12</v>
      </c>
      <c r="O2179" t="n">
        <v>20</v>
      </c>
      <c r="P2179" t="n">
        <v>4</v>
      </c>
      <c r="R2179" s="9" t="n">
        <v>0.04</v>
      </c>
      <c r="S2179" s="10" t="inlineStr">
        <is>
          <t>SÍ — integrante</t>
        </is>
      </c>
      <c r="T2179" s="11" t="inlineStr">
        <is>
          <t>B · INTEGRANTE</t>
        </is>
      </c>
      <c r="U2179" s="11" t="inlineStr">
        <is>
          <t>DEL BANCO (se hereda)</t>
        </is>
      </c>
      <c r="V2179" s="11" t="n"/>
      <c r="W2179" s="12" t="n"/>
      <c r="X2179" s="12" t="n"/>
    </row>
    <row r="2180" ht="15" customHeight="1">
      <c r="C2180" t="inlineStr">
        <is>
          <t>NACIONALIDAD</t>
        </is>
      </c>
      <c r="D2180" t="inlineStr">
        <is>
          <t>F5</t>
        </is>
      </c>
      <c r="E2180" t="inlineStr">
        <is>
          <t>INHERENTE</t>
        </is>
      </c>
      <c r="F2180" t="inlineStr">
        <is>
          <t>LATVIA</t>
        </is>
      </c>
      <c r="G2180" t="inlineStr">
        <is>
          <t>LV</t>
        </is>
      </c>
      <c r="H2180" t="n">
        <v>1</v>
      </c>
      <c r="I2180" t="n">
        <v>1</v>
      </c>
      <c r="J2180" t="n">
        <v>4</v>
      </c>
      <c r="K2180" t="n">
        <v>4</v>
      </c>
      <c r="L2180" t="n">
        <v>4</v>
      </c>
      <c r="M2180" t="n">
        <v>4</v>
      </c>
      <c r="N2180" t="n">
        <v>4</v>
      </c>
      <c r="O2180" t="n">
        <v>20</v>
      </c>
      <c r="P2180" t="n">
        <v>4</v>
      </c>
      <c r="R2180" s="9" t="n">
        <v>0.04</v>
      </c>
      <c r="S2180" s="10" t="inlineStr">
        <is>
          <t>SÍ — integrante</t>
        </is>
      </c>
      <c r="T2180" s="11" t="inlineStr">
        <is>
          <t>B · INTEGRANTE</t>
        </is>
      </c>
      <c r="U2180" s="11" t="inlineStr">
        <is>
          <t>DEL BANCO (se hereda)</t>
        </is>
      </c>
      <c r="V2180" s="11" t="n"/>
      <c r="W2180" s="12" t="n"/>
      <c r="X2180" s="12" t="n"/>
    </row>
    <row r="2181" ht="15" customHeight="1">
      <c r="C2181" t="inlineStr">
        <is>
          <t>NACIONALIDAD</t>
        </is>
      </c>
      <c r="D2181" t="inlineStr">
        <is>
          <t>F5</t>
        </is>
      </c>
      <c r="E2181" t="inlineStr">
        <is>
          <t>INHERENTE</t>
        </is>
      </c>
      <c r="F2181" t="inlineStr">
        <is>
          <t>LIBIA</t>
        </is>
      </c>
      <c r="G2181" t="inlineStr">
        <is>
          <t>LY</t>
        </is>
      </c>
      <c r="H2181" t="n">
        <v>4</v>
      </c>
      <c r="I2181" t="n">
        <v>4</v>
      </c>
      <c r="J2181" t="n">
        <v>4</v>
      </c>
      <c r="K2181" t="n">
        <v>16</v>
      </c>
      <c r="L2181" t="n">
        <v>16</v>
      </c>
      <c r="M2181" t="n">
        <v>16</v>
      </c>
      <c r="N2181" t="n">
        <v>16</v>
      </c>
      <c r="O2181" t="n">
        <v>20</v>
      </c>
      <c r="P2181" t="n">
        <v>4</v>
      </c>
      <c r="R2181" s="9" t="n">
        <v>0.04</v>
      </c>
      <c r="S2181" s="10" t="inlineStr">
        <is>
          <t>SÍ — integrante</t>
        </is>
      </c>
      <c r="T2181" s="11" t="inlineStr">
        <is>
          <t>B · INTEGRANTE</t>
        </is>
      </c>
      <c r="U2181" s="11" t="inlineStr">
        <is>
          <t>DEL BANCO (se hereda)</t>
        </is>
      </c>
      <c r="V2181" s="11" t="n"/>
      <c r="W2181" s="12" t="n"/>
      <c r="X2181" s="12" t="n"/>
    </row>
    <row r="2182" ht="15" customHeight="1">
      <c r="C2182" t="inlineStr">
        <is>
          <t>NACIONALIDAD</t>
        </is>
      </c>
      <c r="D2182" t="inlineStr">
        <is>
          <t>F5</t>
        </is>
      </c>
      <c r="E2182" t="inlineStr">
        <is>
          <t>INHERENTE</t>
        </is>
      </c>
      <c r="F2182" t="inlineStr">
        <is>
          <t>MARRUECOS</t>
        </is>
      </c>
      <c r="G2182" t="inlineStr">
        <is>
          <t>MA</t>
        </is>
      </c>
      <c r="H2182" t="n">
        <v>2</v>
      </c>
      <c r="I2182" t="n">
        <v>2</v>
      </c>
      <c r="J2182" t="n">
        <v>4</v>
      </c>
      <c r="K2182" t="n">
        <v>8</v>
      </c>
      <c r="L2182" t="n">
        <v>8</v>
      </c>
      <c r="M2182" t="n">
        <v>8</v>
      </c>
      <c r="N2182" t="n">
        <v>8</v>
      </c>
      <c r="O2182" t="n">
        <v>20</v>
      </c>
      <c r="P2182" t="n">
        <v>4</v>
      </c>
      <c r="R2182" s="9" t="n">
        <v>0.04</v>
      </c>
      <c r="S2182" s="10" t="inlineStr">
        <is>
          <t>SÍ — integrante</t>
        </is>
      </c>
      <c r="T2182" s="11" t="inlineStr">
        <is>
          <t>B · INTEGRANTE</t>
        </is>
      </c>
      <c r="U2182" s="11" t="inlineStr">
        <is>
          <t>DEL BANCO (se hereda)</t>
        </is>
      </c>
      <c r="V2182" s="11" t="n"/>
      <c r="W2182" s="12" t="n"/>
      <c r="X2182" s="12" t="n"/>
    </row>
    <row r="2183" ht="15" customHeight="1">
      <c r="C2183" t="inlineStr">
        <is>
          <t>NACIONALIDAD</t>
        </is>
      </c>
      <c r="D2183" t="inlineStr">
        <is>
          <t>F5</t>
        </is>
      </c>
      <c r="E2183" t="inlineStr">
        <is>
          <t>INHERENTE</t>
        </is>
      </c>
      <c r="F2183" t="inlineStr">
        <is>
          <t>MONACO</t>
        </is>
      </c>
      <c r="G2183" t="inlineStr">
        <is>
          <t>MC</t>
        </is>
      </c>
      <c r="H2183" t="n">
        <v>4</v>
      </c>
      <c r="I2183" t="n">
        <v>4</v>
      </c>
      <c r="J2183" t="n">
        <v>4</v>
      </c>
      <c r="K2183" t="n">
        <v>16</v>
      </c>
      <c r="L2183" t="n">
        <v>16</v>
      </c>
      <c r="M2183" t="n">
        <v>16</v>
      </c>
      <c r="N2183" t="n">
        <v>16</v>
      </c>
      <c r="O2183" t="n">
        <v>20</v>
      </c>
      <c r="P2183" t="n">
        <v>4</v>
      </c>
      <c r="Q2183" t="inlineStr">
        <is>
          <t>DETERMINANTE</t>
        </is>
      </c>
      <c r="R2183" s="9" t="n">
        <v>0.04</v>
      </c>
      <c r="S2183" s="10" t="inlineStr">
        <is>
          <t>SÍ — integrante</t>
        </is>
      </c>
      <c r="T2183" s="11" t="inlineStr">
        <is>
          <t>B · INTEGRANTE</t>
        </is>
      </c>
      <c r="U2183" s="11" t="inlineStr">
        <is>
          <t>DEL BANCO (se hereda)</t>
        </is>
      </c>
      <c r="V2183" s="11" t="n"/>
      <c r="W2183" s="12" t="n"/>
      <c r="X2183" s="12" t="n"/>
    </row>
    <row r="2184" ht="15" customHeight="1">
      <c r="C2184" t="inlineStr">
        <is>
          <t>NACIONALIDAD</t>
        </is>
      </c>
      <c r="D2184" t="inlineStr">
        <is>
          <t>F5</t>
        </is>
      </c>
      <c r="E2184" t="inlineStr">
        <is>
          <t>INHERENTE</t>
        </is>
      </c>
      <c r="F2184" t="inlineStr">
        <is>
          <t>MOLDAVIA, REP.</t>
        </is>
      </c>
      <c r="G2184" t="inlineStr">
        <is>
          <t>MD</t>
        </is>
      </c>
      <c r="H2184" t="n">
        <v>2</v>
      </c>
      <c r="I2184" t="n">
        <v>2</v>
      </c>
      <c r="J2184" t="n">
        <v>4</v>
      </c>
      <c r="K2184" t="n">
        <v>8</v>
      </c>
      <c r="L2184" t="n">
        <v>8</v>
      </c>
      <c r="M2184" t="n">
        <v>8</v>
      </c>
      <c r="N2184" t="n">
        <v>8</v>
      </c>
      <c r="O2184" t="n">
        <v>20</v>
      </c>
      <c r="P2184" t="n">
        <v>4</v>
      </c>
      <c r="R2184" s="9" t="n">
        <v>0.04</v>
      </c>
      <c r="S2184" s="10" t="inlineStr">
        <is>
          <t>SÍ — integrante</t>
        </is>
      </c>
      <c r="T2184" s="11" t="inlineStr">
        <is>
          <t>B · INTEGRANTE</t>
        </is>
      </c>
      <c r="U2184" s="11" t="inlineStr">
        <is>
          <t>DEL BANCO (se hereda)</t>
        </is>
      </c>
      <c r="V2184" s="11" t="n"/>
      <c r="W2184" s="12" t="n"/>
      <c r="X2184" s="12" t="n"/>
    </row>
    <row r="2185" ht="15" customHeight="1">
      <c r="C2185" t="inlineStr">
        <is>
          <t>NACIONALIDAD</t>
        </is>
      </c>
      <c r="D2185" t="inlineStr">
        <is>
          <t>F5</t>
        </is>
      </c>
      <c r="E2185" t="inlineStr">
        <is>
          <t>INHERENTE</t>
        </is>
      </c>
      <c r="F2185" t="inlineStr">
        <is>
          <t>MONTENEGRO</t>
        </is>
      </c>
      <c r="G2185" t="inlineStr">
        <is>
          <t>ME</t>
        </is>
      </c>
      <c r="H2185" t="n">
        <v>2</v>
      </c>
      <c r="I2185" t="n">
        <v>2</v>
      </c>
      <c r="J2185" t="n">
        <v>4</v>
      </c>
      <c r="K2185" t="n">
        <v>8</v>
      </c>
      <c r="L2185" t="n">
        <v>8</v>
      </c>
      <c r="M2185" t="n">
        <v>8</v>
      </c>
      <c r="N2185" t="n">
        <v>8</v>
      </c>
      <c r="O2185" t="n">
        <v>20</v>
      </c>
      <c r="P2185" t="n">
        <v>4</v>
      </c>
      <c r="R2185" s="9" t="n">
        <v>0.04</v>
      </c>
      <c r="S2185" s="10" t="inlineStr">
        <is>
          <t>SÍ — integrante</t>
        </is>
      </c>
      <c r="T2185" s="11" t="inlineStr">
        <is>
          <t>B · INTEGRANTE</t>
        </is>
      </c>
      <c r="U2185" s="11" t="inlineStr">
        <is>
          <t>DEL BANCO (se hereda)</t>
        </is>
      </c>
      <c r="V2185" s="11" t="n"/>
      <c r="W2185" s="12" t="n"/>
      <c r="X2185" s="12" t="n"/>
    </row>
    <row r="2186" ht="15" customHeight="1">
      <c r="C2186" t="inlineStr">
        <is>
          <t>NACIONALIDAD</t>
        </is>
      </c>
      <c r="D2186" t="inlineStr">
        <is>
          <t>F5</t>
        </is>
      </c>
      <c r="E2186" t="inlineStr">
        <is>
          <t>INHERENTE</t>
        </is>
      </c>
      <c r="F2186" t="inlineStr">
        <is>
          <t>SAN MARTIN</t>
        </is>
      </c>
      <c r="G2186" t="inlineStr">
        <is>
          <t>MF</t>
        </is>
      </c>
      <c r="H2186" t="n">
        <v>1</v>
      </c>
      <c r="I2186" t="n">
        <v>1</v>
      </c>
      <c r="J2186" t="n">
        <v>4</v>
      </c>
      <c r="K2186" t="n">
        <v>4</v>
      </c>
      <c r="L2186" t="n">
        <v>4</v>
      </c>
      <c r="M2186" t="n">
        <v>4</v>
      </c>
      <c r="N2186" t="n">
        <v>4</v>
      </c>
      <c r="O2186" t="n">
        <v>20</v>
      </c>
      <c r="P2186" t="n">
        <v>4</v>
      </c>
      <c r="R2186" s="9" t="n">
        <v>0.04</v>
      </c>
      <c r="S2186" s="10" t="inlineStr">
        <is>
          <t>SÍ — integrante</t>
        </is>
      </c>
      <c r="T2186" s="11" t="inlineStr">
        <is>
          <t>B · INTEGRANTE</t>
        </is>
      </c>
      <c r="U2186" s="11" t="inlineStr">
        <is>
          <t>DEL BANCO (se hereda)</t>
        </is>
      </c>
      <c r="V2186" s="11" t="n"/>
      <c r="W2186" s="12" t="n"/>
      <c r="X2186" s="12" t="n"/>
    </row>
    <row r="2187" ht="15" customHeight="1">
      <c r="C2187" t="inlineStr">
        <is>
          <t>NACIONALIDAD</t>
        </is>
      </c>
      <c r="D2187" t="inlineStr">
        <is>
          <t>F5</t>
        </is>
      </c>
      <c r="E2187" t="inlineStr">
        <is>
          <t>INHERENTE</t>
        </is>
      </c>
      <c r="F2187" t="inlineStr">
        <is>
          <t>MADAGASCAR</t>
        </is>
      </c>
      <c r="G2187" t="inlineStr">
        <is>
          <t>MG</t>
        </is>
      </c>
      <c r="H2187" t="n">
        <v>4</v>
      </c>
      <c r="I2187" t="n">
        <v>4</v>
      </c>
      <c r="J2187" t="n">
        <v>4</v>
      </c>
      <c r="K2187" t="n">
        <v>16</v>
      </c>
      <c r="L2187" t="n">
        <v>16</v>
      </c>
      <c r="M2187" t="n">
        <v>16</v>
      </c>
      <c r="N2187" t="n">
        <v>16</v>
      </c>
      <c r="O2187" t="n">
        <v>20</v>
      </c>
      <c r="P2187" t="n">
        <v>4</v>
      </c>
      <c r="R2187" s="9" t="n">
        <v>0.04</v>
      </c>
      <c r="S2187" s="10" t="inlineStr">
        <is>
          <t>SÍ — integrante</t>
        </is>
      </c>
      <c r="T2187" s="11" t="inlineStr">
        <is>
          <t>B · INTEGRANTE</t>
        </is>
      </c>
      <c r="U2187" s="11" t="inlineStr">
        <is>
          <t>DEL BANCO (se hereda)</t>
        </is>
      </c>
      <c r="V2187" s="11" t="n"/>
      <c r="W2187" s="12" t="n"/>
      <c r="X2187" s="12" t="n"/>
    </row>
    <row r="2188" ht="15" customHeight="1">
      <c r="C2188" t="inlineStr">
        <is>
          <t>NACIONALIDAD</t>
        </is>
      </c>
      <c r="D2188" t="inlineStr">
        <is>
          <t>F5</t>
        </is>
      </c>
      <c r="E2188" t="inlineStr">
        <is>
          <t>INHERENTE</t>
        </is>
      </c>
      <c r="F2188" t="inlineStr">
        <is>
          <t>ISLAS MARSHALL</t>
        </is>
      </c>
      <c r="G2188" t="inlineStr">
        <is>
          <t>MH</t>
        </is>
      </c>
      <c r="H2188" t="n">
        <v>3</v>
      </c>
      <c r="I2188" t="n">
        <v>3</v>
      </c>
      <c r="J2188" t="n">
        <v>4</v>
      </c>
      <c r="K2188" t="n">
        <v>12</v>
      </c>
      <c r="L2188" t="n">
        <v>12</v>
      </c>
      <c r="M2188" t="n">
        <v>12</v>
      </c>
      <c r="N2188" t="n">
        <v>12</v>
      </c>
      <c r="O2188" t="n">
        <v>20</v>
      </c>
      <c r="P2188" t="n">
        <v>4</v>
      </c>
      <c r="R2188" s="9" t="n">
        <v>0.04</v>
      </c>
      <c r="S2188" s="10" t="inlineStr">
        <is>
          <t>SÍ — integrante</t>
        </is>
      </c>
      <c r="T2188" s="11" t="inlineStr">
        <is>
          <t>B · INTEGRANTE</t>
        </is>
      </c>
      <c r="U2188" s="11" t="inlineStr">
        <is>
          <t>DEL BANCO (se hereda)</t>
        </is>
      </c>
      <c r="V2188" s="11" t="n"/>
      <c r="W2188" s="12" t="n"/>
      <c r="X2188" s="12" t="n"/>
    </row>
    <row r="2189" ht="15" customHeight="1">
      <c r="C2189" t="inlineStr">
        <is>
          <t>NACIONALIDAD</t>
        </is>
      </c>
      <c r="D2189" t="inlineStr">
        <is>
          <t>F5</t>
        </is>
      </c>
      <c r="E2189" t="inlineStr">
        <is>
          <t>INHERENTE</t>
        </is>
      </c>
      <c r="F2189" t="inlineStr">
        <is>
          <t>MACEDONIA</t>
        </is>
      </c>
      <c r="G2189" t="inlineStr">
        <is>
          <t>MK</t>
        </is>
      </c>
      <c r="H2189" t="n">
        <v>2</v>
      </c>
      <c r="I2189" t="n">
        <v>2</v>
      </c>
      <c r="J2189" t="n">
        <v>4</v>
      </c>
      <c r="K2189" t="n">
        <v>8</v>
      </c>
      <c r="L2189" t="n">
        <v>8</v>
      </c>
      <c r="M2189" t="n">
        <v>8</v>
      </c>
      <c r="N2189" t="n">
        <v>8</v>
      </c>
      <c r="O2189" t="n">
        <v>20</v>
      </c>
      <c r="P2189" t="n">
        <v>4</v>
      </c>
      <c r="R2189" s="9" t="n">
        <v>0.04</v>
      </c>
      <c r="S2189" s="10" t="inlineStr">
        <is>
          <t>SÍ — integrante</t>
        </is>
      </c>
      <c r="T2189" s="11" t="inlineStr">
        <is>
          <t>B · INTEGRANTE</t>
        </is>
      </c>
      <c r="U2189" s="11" t="inlineStr">
        <is>
          <t>DEL BANCO (se hereda)</t>
        </is>
      </c>
      <c r="V2189" s="11" t="n"/>
      <c r="W2189" s="12" t="n"/>
      <c r="X2189" s="12" t="n"/>
    </row>
    <row r="2190" ht="15" customHeight="1">
      <c r="C2190" t="inlineStr">
        <is>
          <t>NACIONALIDAD</t>
        </is>
      </c>
      <c r="D2190" t="inlineStr">
        <is>
          <t>F5</t>
        </is>
      </c>
      <c r="E2190" t="inlineStr">
        <is>
          <t>INHERENTE</t>
        </is>
      </c>
      <c r="F2190" t="inlineStr">
        <is>
          <t>MALI</t>
        </is>
      </c>
      <c r="G2190" t="inlineStr">
        <is>
          <t>ML</t>
        </is>
      </c>
      <c r="H2190" t="n">
        <v>3</v>
      </c>
      <c r="I2190" t="n">
        <v>3</v>
      </c>
      <c r="J2190" t="n">
        <v>4</v>
      </c>
      <c r="K2190" t="n">
        <v>12</v>
      </c>
      <c r="L2190" t="n">
        <v>12</v>
      </c>
      <c r="M2190" t="n">
        <v>12</v>
      </c>
      <c r="N2190" t="n">
        <v>12</v>
      </c>
      <c r="O2190" t="n">
        <v>20</v>
      </c>
      <c r="P2190" t="n">
        <v>4</v>
      </c>
      <c r="R2190" s="9" t="n">
        <v>0.04</v>
      </c>
      <c r="S2190" s="10" t="inlineStr">
        <is>
          <t>SÍ — integrante</t>
        </is>
      </c>
      <c r="T2190" s="11" t="inlineStr">
        <is>
          <t>B · INTEGRANTE</t>
        </is>
      </c>
      <c r="U2190" s="11" t="inlineStr">
        <is>
          <t>DEL BANCO (se hereda)</t>
        </is>
      </c>
      <c r="V2190" s="11" t="n"/>
      <c r="W2190" s="12" t="n"/>
      <c r="X2190" s="12" t="n"/>
    </row>
    <row r="2191" ht="15" customHeight="1">
      <c r="C2191" t="inlineStr">
        <is>
          <t>NACIONALIDAD</t>
        </is>
      </c>
      <c r="D2191" t="inlineStr">
        <is>
          <t>F5</t>
        </is>
      </c>
      <c r="E2191" t="inlineStr">
        <is>
          <t>INHERENTE</t>
        </is>
      </c>
      <c r="F2191" t="inlineStr">
        <is>
          <t>MYANMAR</t>
        </is>
      </c>
      <c r="G2191" t="inlineStr">
        <is>
          <t>MM</t>
        </is>
      </c>
      <c r="H2191" t="n">
        <v>5</v>
      </c>
      <c r="I2191" t="n">
        <v>5</v>
      </c>
      <c r="J2191" t="n">
        <v>4</v>
      </c>
      <c r="K2191" t="n">
        <v>20</v>
      </c>
      <c r="L2191" t="n">
        <v>20</v>
      </c>
      <c r="M2191" t="n">
        <v>20</v>
      </c>
      <c r="N2191" t="n">
        <v>20</v>
      </c>
      <c r="O2191" t="n">
        <v>20</v>
      </c>
      <c r="P2191" t="n">
        <v>4</v>
      </c>
      <c r="Q2191" t="inlineStr">
        <is>
          <t>PROHIBITIVO</t>
        </is>
      </c>
      <c r="R2191" s="9" t="n">
        <v>0.04</v>
      </c>
      <c r="S2191" s="10" t="inlineStr">
        <is>
          <t>SÍ — integrante</t>
        </is>
      </c>
      <c r="T2191" s="11" t="inlineStr">
        <is>
          <t>B · INTEGRANTE</t>
        </is>
      </c>
      <c r="U2191" s="11" t="inlineStr">
        <is>
          <t>DEL BANCO (se hereda)</t>
        </is>
      </c>
      <c r="V2191" s="11" t="n"/>
      <c r="W2191" s="12" t="n"/>
      <c r="X2191" s="12" t="n"/>
    </row>
    <row r="2192" ht="15" customHeight="1">
      <c r="C2192" t="inlineStr">
        <is>
          <t>NACIONALIDAD</t>
        </is>
      </c>
      <c r="D2192" t="inlineStr">
        <is>
          <t>F5</t>
        </is>
      </c>
      <c r="E2192" t="inlineStr">
        <is>
          <t>INHERENTE</t>
        </is>
      </c>
      <c r="F2192" t="inlineStr">
        <is>
          <t>MONGOLIA</t>
        </is>
      </c>
      <c r="G2192" t="inlineStr">
        <is>
          <t>MN</t>
        </is>
      </c>
      <c r="H2192" t="n">
        <v>2</v>
      </c>
      <c r="I2192" t="n">
        <v>2</v>
      </c>
      <c r="J2192" t="n">
        <v>4</v>
      </c>
      <c r="K2192" t="n">
        <v>8</v>
      </c>
      <c r="L2192" t="n">
        <v>8</v>
      </c>
      <c r="M2192" t="n">
        <v>8</v>
      </c>
      <c r="N2192" t="n">
        <v>8</v>
      </c>
      <c r="O2192" t="n">
        <v>20</v>
      </c>
      <c r="P2192" t="n">
        <v>4</v>
      </c>
      <c r="R2192" s="9" t="n">
        <v>0.04</v>
      </c>
      <c r="S2192" s="10" t="inlineStr">
        <is>
          <t>SÍ — integrante</t>
        </is>
      </c>
      <c r="T2192" s="11" t="inlineStr">
        <is>
          <t>B · INTEGRANTE</t>
        </is>
      </c>
      <c r="U2192" s="11" t="inlineStr">
        <is>
          <t>DEL BANCO (se hereda)</t>
        </is>
      </c>
      <c r="V2192" s="11" t="n"/>
      <c r="W2192" s="12" t="n"/>
      <c r="X2192" s="12" t="n"/>
    </row>
    <row r="2193" ht="15" customHeight="1">
      <c r="C2193" t="inlineStr">
        <is>
          <t>NACIONALIDAD</t>
        </is>
      </c>
      <c r="D2193" t="inlineStr">
        <is>
          <t>F5</t>
        </is>
      </c>
      <c r="E2193" t="inlineStr">
        <is>
          <t>INHERENTE</t>
        </is>
      </c>
      <c r="F2193" t="inlineStr">
        <is>
          <t>MACAO</t>
        </is>
      </c>
      <c r="G2193" t="inlineStr">
        <is>
          <t>MO</t>
        </is>
      </c>
      <c r="H2193" t="n">
        <v>3</v>
      </c>
      <c r="I2193" t="n">
        <v>3</v>
      </c>
      <c r="J2193" t="n">
        <v>4</v>
      </c>
      <c r="K2193" t="n">
        <v>12</v>
      </c>
      <c r="L2193" t="n">
        <v>12</v>
      </c>
      <c r="M2193" t="n">
        <v>12</v>
      </c>
      <c r="N2193" t="n">
        <v>12</v>
      </c>
      <c r="O2193" t="n">
        <v>20</v>
      </c>
      <c r="P2193" t="n">
        <v>4</v>
      </c>
      <c r="R2193" s="9" t="n">
        <v>0.04</v>
      </c>
      <c r="S2193" s="10" t="inlineStr">
        <is>
          <t>SÍ — integrante</t>
        </is>
      </c>
      <c r="T2193" s="11" t="inlineStr">
        <is>
          <t>B · INTEGRANTE</t>
        </is>
      </c>
      <c r="U2193" s="11" t="inlineStr">
        <is>
          <t>DEL BANCO (se hereda)</t>
        </is>
      </c>
      <c r="V2193" s="11" t="n"/>
      <c r="W2193" s="12" t="n"/>
      <c r="X2193" s="12" t="n"/>
    </row>
    <row r="2194" ht="15" customHeight="1">
      <c r="C2194" t="inlineStr">
        <is>
          <t>NACIONALIDAD</t>
        </is>
      </c>
      <c r="D2194" t="inlineStr">
        <is>
          <t>F5</t>
        </is>
      </c>
      <c r="E2194" t="inlineStr">
        <is>
          <t>INHERENTE</t>
        </is>
      </c>
      <c r="F2194" t="inlineStr">
        <is>
          <t>ISLAS MARIANAS</t>
        </is>
      </c>
      <c r="G2194" t="inlineStr">
        <is>
          <t>MP</t>
        </is>
      </c>
      <c r="H2194" t="n">
        <v>1</v>
      </c>
      <c r="I2194" t="n">
        <v>1</v>
      </c>
      <c r="J2194" t="n">
        <v>4</v>
      </c>
      <c r="K2194" t="n">
        <v>4</v>
      </c>
      <c r="L2194" t="n">
        <v>4</v>
      </c>
      <c r="M2194" t="n">
        <v>4</v>
      </c>
      <c r="N2194" t="n">
        <v>4</v>
      </c>
      <c r="O2194" t="n">
        <v>20</v>
      </c>
      <c r="P2194" t="n">
        <v>4</v>
      </c>
      <c r="R2194" s="9" t="n">
        <v>0.04</v>
      </c>
      <c r="S2194" s="10" t="inlineStr">
        <is>
          <t>SÍ — integrante</t>
        </is>
      </c>
      <c r="T2194" s="11" t="inlineStr">
        <is>
          <t>B · INTEGRANTE</t>
        </is>
      </c>
      <c r="U2194" s="11" t="inlineStr">
        <is>
          <t>DEL BANCO (se hereda)</t>
        </is>
      </c>
      <c r="V2194" s="11" t="n"/>
      <c r="W2194" s="12" t="n"/>
      <c r="X2194" s="12" t="n"/>
    </row>
    <row r="2195" ht="15" customHeight="1">
      <c r="C2195" t="inlineStr">
        <is>
          <t>NACIONALIDAD</t>
        </is>
      </c>
      <c r="D2195" t="inlineStr">
        <is>
          <t>F5</t>
        </is>
      </c>
      <c r="E2195" t="inlineStr">
        <is>
          <t>INHERENTE</t>
        </is>
      </c>
      <c r="F2195" t="inlineStr">
        <is>
          <t>MARTINICA</t>
        </is>
      </c>
      <c r="G2195" t="inlineStr">
        <is>
          <t>MQ</t>
        </is>
      </c>
      <c r="H2195" t="n">
        <v>1</v>
      </c>
      <c r="I2195" t="n">
        <v>1</v>
      </c>
      <c r="J2195" t="n">
        <v>4</v>
      </c>
      <c r="K2195" t="n">
        <v>4</v>
      </c>
      <c r="L2195" t="n">
        <v>4</v>
      </c>
      <c r="M2195" t="n">
        <v>4</v>
      </c>
      <c r="N2195" t="n">
        <v>4</v>
      </c>
      <c r="O2195" t="n">
        <v>20</v>
      </c>
      <c r="P2195" t="n">
        <v>4</v>
      </c>
      <c r="R2195" s="9" t="n">
        <v>0.04</v>
      </c>
      <c r="S2195" s="10" t="inlineStr">
        <is>
          <t>SÍ — integrante</t>
        </is>
      </c>
      <c r="T2195" s="11" t="inlineStr">
        <is>
          <t>B · INTEGRANTE</t>
        </is>
      </c>
      <c r="U2195" s="11" t="inlineStr">
        <is>
          <t>DEL BANCO (se hereda)</t>
        </is>
      </c>
      <c r="V2195" s="11" t="n"/>
      <c r="W2195" s="12" t="n"/>
      <c r="X2195" s="12" t="n"/>
    </row>
    <row r="2196" ht="15" customHeight="1">
      <c r="C2196" t="inlineStr">
        <is>
          <t>NACIONALIDAD</t>
        </is>
      </c>
      <c r="D2196" t="inlineStr">
        <is>
          <t>F5</t>
        </is>
      </c>
      <c r="E2196" t="inlineStr">
        <is>
          <t>INHERENTE</t>
        </is>
      </c>
      <c r="F2196" t="inlineStr">
        <is>
          <t>MAURITANIA</t>
        </is>
      </c>
      <c r="G2196" t="inlineStr">
        <is>
          <t>MR</t>
        </is>
      </c>
      <c r="H2196" t="n">
        <v>3</v>
      </c>
      <c r="I2196" t="n">
        <v>3</v>
      </c>
      <c r="J2196" t="n">
        <v>4</v>
      </c>
      <c r="K2196" t="n">
        <v>12</v>
      </c>
      <c r="L2196" t="n">
        <v>12</v>
      </c>
      <c r="M2196" t="n">
        <v>12</v>
      </c>
      <c r="N2196" t="n">
        <v>12</v>
      </c>
      <c r="O2196" t="n">
        <v>20</v>
      </c>
      <c r="P2196" t="n">
        <v>4</v>
      </c>
      <c r="R2196" s="9" t="n">
        <v>0.04</v>
      </c>
      <c r="S2196" s="10" t="inlineStr">
        <is>
          <t>SÍ — integrante</t>
        </is>
      </c>
      <c r="T2196" s="11" t="inlineStr">
        <is>
          <t>B · INTEGRANTE</t>
        </is>
      </c>
      <c r="U2196" s="11" t="inlineStr">
        <is>
          <t>DEL BANCO (se hereda)</t>
        </is>
      </c>
      <c r="V2196" s="11" t="n"/>
      <c r="W2196" s="12" t="n"/>
      <c r="X2196" s="12" t="n"/>
    </row>
    <row r="2197" ht="15" customHeight="1">
      <c r="C2197" t="inlineStr">
        <is>
          <t>NACIONALIDAD</t>
        </is>
      </c>
      <c r="D2197" t="inlineStr">
        <is>
          <t>F5</t>
        </is>
      </c>
      <c r="E2197" t="inlineStr">
        <is>
          <t>INHERENTE</t>
        </is>
      </c>
      <c r="F2197" t="inlineStr">
        <is>
          <t>MONTSERRAT</t>
        </is>
      </c>
      <c r="G2197" t="inlineStr">
        <is>
          <t>MS</t>
        </is>
      </c>
      <c r="H2197" t="n">
        <v>1</v>
      </c>
      <c r="I2197" t="n">
        <v>1</v>
      </c>
      <c r="J2197" t="n">
        <v>4</v>
      </c>
      <c r="K2197" t="n">
        <v>4</v>
      </c>
      <c r="L2197" t="n">
        <v>4</v>
      </c>
      <c r="M2197" t="n">
        <v>4</v>
      </c>
      <c r="N2197" t="n">
        <v>4</v>
      </c>
      <c r="O2197" t="n">
        <v>20</v>
      </c>
      <c r="P2197" t="n">
        <v>4</v>
      </c>
      <c r="R2197" s="9" t="n">
        <v>0.04</v>
      </c>
      <c r="S2197" s="10" t="inlineStr">
        <is>
          <t>SÍ — integrante</t>
        </is>
      </c>
      <c r="T2197" s="11" t="inlineStr">
        <is>
          <t>B · INTEGRANTE</t>
        </is>
      </c>
      <c r="U2197" s="11" t="inlineStr">
        <is>
          <t>DEL BANCO (se hereda)</t>
        </is>
      </c>
      <c r="V2197" s="11" t="n"/>
      <c r="W2197" s="12" t="n"/>
      <c r="X2197" s="12" t="n"/>
    </row>
    <row r="2198" ht="15" customHeight="1">
      <c r="C2198" t="inlineStr">
        <is>
          <t>NACIONALIDAD</t>
        </is>
      </c>
      <c r="D2198" t="inlineStr">
        <is>
          <t>F5</t>
        </is>
      </c>
      <c r="E2198" t="inlineStr">
        <is>
          <t>INHERENTE</t>
        </is>
      </c>
      <c r="F2198" t="inlineStr">
        <is>
          <t>MALTA</t>
        </is>
      </c>
      <c r="G2198" t="inlineStr">
        <is>
          <t>MT</t>
        </is>
      </c>
      <c r="H2198" t="n">
        <v>2</v>
      </c>
      <c r="I2198" t="n">
        <v>2</v>
      </c>
      <c r="J2198" t="n">
        <v>4</v>
      </c>
      <c r="K2198" t="n">
        <v>8</v>
      </c>
      <c r="L2198" t="n">
        <v>8</v>
      </c>
      <c r="M2198" t="n">
        <v>8</v>
      </c>
      <c r="N2198" t="n">
        <v>8</v>
      </c>
      <c r="O2198" t="n">
        <v>20</v>
      </c>
      <c r="P2198" t="n">
        <v>4</v>
      </c>
      <c r="R2198" s="9" t="n">
        <v>0.04</v>
      </c>
      <c r="S2198" s="10" t="inlineStr">
        <is>
          <t>SÍ — integrante</t>
        </is>
      </c>
      <c r="T2198" s="11" t="inlineStr">
        <is>
          <t>B · INTEGRANTE</t>
        </is>
      </c>
      <c r="U2198" s="11" t="inlineStr">
        <is>
          <t>DEL BANCO (se hereda)</t>
        </is>
      </c>
      <c r="V2198" s="11" t="n"/>
      <c r="W2198" s="12" t="n"/>
      <c r="X2198" s="12" t="n"/>
    </row>
    <row r="2199" ht="15" customHeight="1">
      <c r="C2199" t="inlineStr">
        <is>
          <t>NACIONALIDAD</t>
        </is>
      </c>
      <c r="D2199" t="inlineStr">
        <is>
          <t>F5</t>
        </is>
      </c>
      <c r="E2199" t="inlineStr">
        <is>
          <t>INHERENTE</t>
        </is>
      </c>
      <c r="F2199" t="inlineStr">
        <is>
          <t>MAURICIO</t>
        </is>
      </c>
      <c r="G2199" t="inlineStr">
        <is>
          <t>MU</t>
        </is>
      </c>
      <c r="H2199" t="n">
        <v>3</v>
      </c>
      <c r="I2199" t="n">
        <v>3</v>
      </c>
      <c r="J2199" t="n">
        <v>4</v>
      </c>
      <c r="K2199" t="n">
        <v>12</v>
      </c>
      <c r="L2199" t="n">
        <v>12</v>
      </c>
      <c r="M2199" t="n">
        <v>12</v>
      </c>
      <c r="N2199" t="n">
        <v>12</v>
      </c>
      <c r="O2199" t="n">
        <v>20</v>
      </c>
      <c r="P2199" t="n">
        <v>4</v>
      </c>
      <c r="R2199" s="9" t="n">
        <v>0.04</v>
      </c>
      <c r="S2199" s="10" t="inlineStr">
        <is>
          <t>SÍ — integrante</t>
        </is>
      </c>
      <c r="T2199" s="11" t="inlineStr">
        <is>
          <t>B · INTEGRANTE</t>
        </is>
      </c>
      <c r="U2199" s="11" t="inlineStr">
        <is>
          <t>DEL BANCO (se hereda)</t>
        </is>
      </c>
      <c r="V2199" s="11" t="n"/>
      <c r="W2199" s="12" t="n"/>
      <c r="X2199" s="12" t="n"/>
    </row>
    <row r="2200" ht="15" customHeight="1">
      <c r="C2200" t="inlineStr">
        <is>
          <t>NACIONALIDAD</t>
        </is>
      </c>
      <c r="D2200" t="inlineStr">
        <is>
          <t>F5</t>
        </is>
      </c>
      <c r="E2200" t="inlineStr">
        <is>
          <t>INHERENTE</t>
        </is>
      </c>
      <c r="F2200" t="inlineStr">
        <is>
          <t>MALDIVAS</t>
        </is>
      </c>
      <c r="G2200" t="inlineStr">
        <is>
          <t>MV</t>
        </is>
      </c>
      <c r="H2200" t="n">
        <v>2</v>
      </c>
      <c r="I2200" t="n">
        <v>2</v>
      </c>
      <c r="J2200" t="n">
        <v>4</v>
      </c>
      <c r="K2200" t="n">
        <v>8</v>
      </c>
      <c r="L2200" t="n">
        <v>8</v>
      </c>
      <c r="M2200" t="n">
        <v>8</v>
      </c>
      <c r="N2200" t="n">
        <v>8</v>
      </c>
      <c r="O2200" t="n">
        <v>20</v>
      </c>
      <c r="P2200" t="n">
        <v>4</v>
      </c>
      <c r="R2200" s="9" t="n">
        <v>0.04</v>
      </c>
      <c r="S2200" s="10" t="inlineStr">
        <is>
          <t>SÍ — integrante</t>
        </is>
      </c>
      <c r="T2200" s="11" t="inlineStr">
        <is>
          <t>B · INTEGRANTE</t>
        </is>
      </c>
      <c r="U2200" s="11" t="inlineStr">
        <is>
          <t>DEL BANCO (se hereda)</t>
        </is>
      </c>
      <c r="V2200" s="11" t="n"/>
      <c r="W2200" s="12" t="n"/>
      <c r="X2200" s="12" t="n"/>
    </row>
    <row r="2201" ht="15" customHeight="1">
      <c r="C2201" t="inlineStr">
        <is>
          <t>NACIONALIDAD</t>
        </is>
      </c>
      <c r="D2201" t="inlineStr">
        <is>
          <t>F5</t>
        </is>
      </c>
      <c r="E2201" t="inlineStr">
        <is>
          <t>INHERENTE</t>
        </is>
      </c>
      <c r="F2201" t="inlineStr">
        <is>
          <t>MALAWI</t>
        </is>
      </c>
      <c r="G2201" t="inlineStr">
        <is>
          <t>MW</t>
        </is>
      </c>
      <c r="H2201" t="n">
        <v>3</v>
      </c>
      <c r="I2201" t="n">
        <v>3</v>
      </c>
      <c r="J2201" t="n">
        <v>4</v>
      </c>
      <c r="K2201" t="n">
        <v>12</v>
      </c>
      <c r="L2201" t="n">
        <v>12</v>
      </c>
      <c r="M2201" t="n">
        <v>12</v>
      </c>
      <c r="N2201" t="n">
        <v>12</v>
      </c>
      <c r="O2201" t="n">
        <v>20</v>
      </c>
      <c r="P2201" t="n">
        <v>4</v>
      </c>
      <c r="R2201" s="9" t="n">
        <v>0.04</v>
      </c>
      <c r="S2201" s="10" t="inlineStr">
        <is>
          <t>SÍ — integrante</t>
        </is>
      </c>
      <c r="T2201" s="11" t="inlineStr">
        <is>
          <t>B · INTEGRANTE</t>
        </is>
      </c>
      <c r="U2201" s="11" t="inlineStr">
        <is>
          <t>DEL BANCO (se hereda)</t>
        </is>
      </c>
      <c r="V2201" s="11" t="n"/>
      <c r="W2201" s="12" t="n"/>
      <c r="X2201" s="12" t="n"/>
    </row>
    <row r="2202" ht="15" customHeight="1">
      <c r="C2202" t="inlineStr">
        <is>
          <t>NACIONALIDAD</t>
        </is>
      </c>
      <c r="D2202" t="inlineStr">
        <is>
          <t>F5</t>
        </is>
      </c>
      <c r="E2202" t="inlineStr">
        <is>
          <t>INHERENTE</t>
        </is>
      </c>
      <c r="F2202" t="inlineStr">
        <is>
          <t>MEXICO</t>
        </is>
      </c>
      <c r="G2202" t="inlineStr">
        <is>
          <t>MX</t>
        </is>
      </c>
      <c r="H2202" t="n">
        <v>3</v>
      </c>
      <c r="I2202" t="n">
        <v>3</v>
      </c>
      <c r="J2202" t="n">
        <v>4</v>
      </c>
      <c r="K2202" t="n">
        <v>12</v>
      </c>
      <c r="L2202" t="n">
        <v>12</v>
      </c>
      <c r="M2202" t="n">
        <v>12</v>
      </c>
      <c r="N2202" t="n">
        <v>12</v>
      </c>
      <c r="O2202" t="n">
        <v>20</v>
      </c>
      <c r="P2202" t="n">
        <v>4</v>
      </c>
      <c r="R2202" s="9" t="n">
        <v>0.04</v>
      </c>
      <c r="S2202" s="10" t="inlineStr">
        <is>
          <t>SÍ — integrante</t>
        </is>
      </c>
      <c r="T2202" s="11" t="inlineStr">
        <is>
          <t>B · INTEGRANTE</t>
        </is>
      </c>
      <c r="U2202" s="11" t="inlineStr">
        <is>
          <t>DEL BANCO (se hereda)</t>
        </is>
      </c>
      <c r="V2202" s="11" t="n"/>
      <c r="W2202" s="12" t="n"/>
      <c r="X2202" s="12" t="n"/>
    </row>
    <row r="2203" ht="15" customHeight="1">
      <c r="C2203" t="inlineStr">
        <is>
          <t>NACIONALIDAD</t>
        </is>
      </c>
      <c r="D2203" t="inlineStr">
        <is>
          <t>F5</t>
        </is>
      </c>
      <c r="E2203" t="inlineStr">
        <is>
          <t>INHERENTE</t>
        </is>
      </c>
      <c r="F2203" t="inlineStr">
        <is>
          <t>MALAYSIA, LABUAN</t>
        </is>
      </c>
      <c r="G2203" t="inlineStr">
        <is>
          <t>MY</t>
        </is>
      </c>
      <c r="H2203" t="n">
        <v>3</v>
      </c>
      <c r="I2203" t="n">
        <v>3</v>
      </c>
      <c r="J2203" t="n">
        <v>4</v>
      </c>
      <c r="K2203" t="n">
        <v>12</v>
      </c>
      <c r="L2203" t="n">
        <v>12</v>
      </c>
      <c r="M2203" t="n">
        <v>12</v>
      </c>
      <c r="N2203" t="n">
        <v>12</v>
      </c>
      <c r="O2203" t="n">
        <v>20</v>
      </c>
      <c r="P2203" t="n">
        <v>4</v>
      </c>
      <c r="R2203" s="9" t="n">
        <v>0.04</v>
      </c>
      <c r="S2203" s="10" t="inlineStr">
        <is>
          <t>SÍ — integrante</t>
        </is>
      </c>
      <c r="T2203" s="11" t="inlineStr">
        <is>
          <t>B · INTEGRANTE</t>
        </is>
      </c>
      <c r="U2203" s="11" t="inlineStr">
        <is>
          <t>DEL BANCO (se hereda)</t>
        </is>
      </c>
      <c r="V2203" s="11" t="n"/>
      <c r="W2203" s="12" t="n"/>
      <c r="X2203" s="12" t="n"/>
    </row>
    <row r="2204" ht="15" customHeight="1">
      <c r="C2204" t="inlineStr">
        <is>
          <t>NACIONALIDAD</t>
        </is>
      </c>
      <c r="D2204" t="inlineStr">
        <is>
          <t>F5</t>
        </is>
      </c>
      <c r="E2204" t="inlineStr">
        <is>
          <t>INHERENTE</t>
        </is>
      </c>
      <c r="F2204" t="inlineStr">
        <is>
          <t>MOZAMBIQUE</t>
        </is>
      </c>
      <c r="G2204" t="inlineStr">
        <is>
          <t>MZ</t>
        </is>
      </c>
      <c r="H2204" t="n">
        <v>3</v>
      </c>
      <c r="I2204" t="n">
        <v>3</v>
      </c>
      <c r="J2204" t="n">
        <v>4</v>
      </c>
      <c r="K2204" t="n">
        <v>12</v>
      </c>
      <c r="L2204" t="n">
        <v>12</v>
      </c>
      <c r="M2204" t="n">
        <v>12</v>
      </c>
      <c r="N2204" t="n">
        <v>12</v>
      </c>
      <c r="O2204" t="n">
        <v>20</v>
      </c>
      <c r="P2204" t="n">
        <v>4</v>
      </c>
      <c r="R2204" s="9" t="n">
        <v>0.04</v>
      </c>
      <c r="S2204" s="10" t="inlineStr">
        <is>
          <t>SÍ — integrante</t>
        </is>
      </c>
      <c r="T2204" s="11" t="inlineStr">
        <is>
          <t>B · INTEGRANTE</t>
        </is>
      </c>
      <c r="U2204" s="11" t="inlineStr">
        <is>
          <t>DEL BANCO (se hereda)</t>
        </is>
      </c>
      <c r="V2204" s="11" t="n"/>
      <c r="W2204" s="12" t="n"/>
      <c r="X2204" s="12" t="n"/>
    </row>
    <row r="2205" ht="15" customHeight="1">
      <c r="C2205" t="inlineStr">
        <is>
          <t>NACIONALIDAD</t>
        </is>
      </c>
      <c r="D2205" t="inlineStr">
        <is>
          <t>F5</t>
        </is>
      </c>
      <c r="E2205" t="inlineStr">
        <is>
          <t>INHERENTE</t>
        </is>
      </c>
      <c r="F2205" t="inlineStr">
        <is>
          <t>NAMIBIA</t>
        </is>
      </c>
      <c r="G2205" t="inlineStr">
        <is>
          <t>NA</t>
        </is>
      </c>
      <c r="H2205" t="n">
        <v>4</v>
      </c>
      <c r="I2205" t="n">
        <v>4</v>
      </c>
      <c r="J2205" t="n">
        <v>4</v>
      </c>
      <c r="K2205" t="n">
        <v>16</v>
      </c>
      <c r="L2205" t="n">
        <v>16</v>
      </c>
      <c r="M2205" t="n">
        <v>16</v>
      </c>
      <c r="N2205" t="n">
        <v>16</v>
      </c>
      <c r="O2205" t="n">
        <v>20</v>
      </c>
      <c r="P2205" t="n">
        <v>4</v>
      </c>
      <c r="Q2205" t="inlineStr">
        <is>
          <t>DETERMINANTE</t>
        </is>
      </c>
      <c r="R2205" s="9" t="n">
        <v>0.04</v>
      </c>
      <c r="S2205" s="10" t="inlineStr">
        <is>
          <t>SÍ — integrante</t>
        </is>
      </c>
      <c r="T2205" s="11" t="inlineStr">
        <is>
          <t>B · INTEGRANTE</t>
        </is>
      </c>
      <c r="U2205" s="11" t="inlineStr">
        <is>
          <t>DEL BANCO (se hereda)</t>
        </is>
      </c>
      <c r="V2205" s="11" t="n"/>
      <c r="W2205" s="12" t="n"/>
      <c r="X2205" s="12" t="n"/>
    </row>
    <row r="2206" ht="15" customHeight="1">
      <c r="C2206" t="inlineStr">
        <is>
          <t>NACIONALIDAD</t>
        </is>
      </c>
      <c r="D2206" t="inlineStr">
        <is>
          <t>F5</t>
        </is>
      </c>
      <c r="E2206" t="inlineStr">
        <is>
          <t>INHERENTE</t>
        </is>
      </c>
      <c r="F2206" t="inlineStr">
        <is>
          <t>NUEVA CALEDONIA</t>
        </is>
      </c>
      <c r="G2206" t="inlineStr">
        <is>
          <t>NC</t>
        </is>
      </c>
      <c r="H2206" t="n">
        <v>1</v>
      </c>
      <c r="I2206" t="n">
        <v>1</v>
      </c>
      <c r="J2206" t="n">
        <v>4</v>
      </c>
      <c r="K2206" t="n">
        <v>4</v>
      </c>
      <c r="L2206" t="n">
        <v>4</v>
      </c>
      <c r="M2206" t="n">
        <v>4</v>
      </c>
      <c r="N2206" t="n">
        <v>4</v>
      </c>
      <c r="O2206" t="n">
        <v>20</v>
      </c>
      <c r="P2206" t="n">
        <v>4</v>
      </c>
      <c r="R2206" s="9" t="n">
        <v>0.04</v>
      </c>
      <c r="S2206" s="10" t="inlineStr">
        <is>
          <t>SÍ — integrante</t>
        </is>
      </c>
      <c r="T2206" s="11" t="inlineStr">
        <is>
          <t>B · INTEGRANTE</t>
        </is>
      </c>
      <c r="U2206" s="11" t="inlineStr">
        <is>
          <t>DEL BANCO (se hereda)</t>
        </is>
      </c>
      <c r="V2206" s="11" t="n"/>
      <c r="W2206" s="12" t="n"/>
      <c r="X2206" s="12" t="n"/>
    </row>
    <row r="2207" ht="15" customHeight="1">
      <c r="C2207" t="inlineStr">
        <is>
          <t>NACIONALIDAD</t>
        </is>
      </c>
      <c r="D2207" t="inlineStr">
        <is>
          <t>F5</t>
        </is>
      </c>
      <c r="E2207" t="inlineStr">
        <is>
          <t>INHERENTE</t>
        </is>
      </c>
      <c r="F2207" t="inlineStr">
        <is>
          <t>NIGER</t>
        </is>
      </c>
      <c r="G2207" t="inlineStr">
        <is>
          <t>NE</t>
        </is>
      </c>
      <c r="H2207" t="n">
        <v>4</v>
      </c>
      <c r="I2207" t="n">
        <v>4</v>
      </c>
      <c r="J2207" t="n">
        <v>4</v>
      </c>
      <c r="K2207" t="n">
        <v>16</v>
      </c>
      <c r="L2207" t="n">
        <v>16</v>
      </c>
      <c r="M2207" t="n">
        <v>16</v>
      </c>
      <c r="N2207" t="n">
        <v>16</v>
      </c>
      <c r="O2207" t="n">
        <v>20</v>
      </c>
      <c r="P2207" t="n">
        <v>4</v>
      </c>
      <c r="R2207" s="9" t="n">
        <v>0.04</v>
      </c>
      <c r="S2207" s="10" t="inlineStr">
        <is>
          <t>SÍ — integrante</t>
        </is>
      </c>
      <c r="T2207" s="11" t="inlineStr">
        <is>
          <t>B · INTEGRANTE</t>
        </is>
      </c>
      <c r="U2207" s="11" t="inlineStr">
        <is>
          <t>DEL BANCO (se hereda)</t>
        </is>
      </c>
      <c r="V2207" s="11" t="n"/>
      <c r="W2207" s="12" t="n"/>
      <c r="X2207" s="12" t="n"/>
    </row>
    <row r="2208" ht="15" customHeight="1">
      <c r="C2208" t="inlineStr">
        <is>
          <t>NACIONALIDAD</t>
        </is>
      </c>
      <c r="D2208" t="inlineStr">
        <is>
          <t>F5</t>
        </is>
      </c>
      <c r="E2208" t="inlineStr">
        <is>
          <t>INHERENTE</t>
        </is>
      </c>
      <c r="F2208" t="inlineStr">
        <is>
          <t>ISLA DE NORFOLK</t>
        </is>
      </c>
      <c r="G2208" t="inlineStr">
        <is>
          <t>NF</t>
        </is>
      </c>
      <c r="H2208" t="n">
        <v>1</v>
      </c>
      <c r="I2208" t="n">
        <v>1</v>
      </c>
      <c r="J2208" t="n">
        <v>4</v>
      </c>
      <c r="K2208" t="n">
        <v>4</v>
      </c>
      <c r="L2208" t="n">
        <v>4</v>
      </c>
      <c r="M2208" t="n">
        <v>4</v>
      </c>
      <c r="N2208" t="n">
        <v>4</v>
      </c>
      <c r="O2208" t="n">
        <v>20</v>
      </c>
      <c r="P2208" t="n">
        <v>4</v>
      </c>
      <c r="R2208" s="9" t="n">
        <v>0.04</v>
      </c>
      <c r="S2208" s="10" t="inlineStr">
        <is>
          <t>SÍ — integrante</t>
        </is>
      </c>
      <c r="T2208" s="11" t="inlineStr">
        <is>
          <t>B · INTEGRANTE</t>
        </is>
      </c>
      <c r="U2208" s="11" t="inlineStr">
        <is>
          <t>DEL BANCO (se hereda)</t>
        </is>
      </c>
      <c r="V2208" s="11" t="n"/>
      <c r="W2208" s="12" t="n"/>
      <c r="X2208" s="12" t="n"/>
    </row>
    <row r="2209" ht="15" customHeight="1">
      <c r="C2209" t="inlineStr">
        <is>
          <t>NACIONALIDAD</t>
        </is>
      </c>
      <c r="D2209" t="inlineStr">
        <is>
          <t>F5</t>
        </is>
      </c>
      <c r="E2209" t="inlineStr">
        <is>
          <t>INHERENTE</t>
        </is>
      </c>
      <c r="F2209" t="inlineStr">
        <is>
          <t>NIGERIA</t>
        </is>
      </c>
      <c r="G2209" t="inlineStr">
        <is>
          <t>NG</t>
        </is>
      </c>
      <c r="H2209" t="n">
        <v>3</v>
      </c>
      <c r="I2209" t="n">
        <v>3</v>
      </c>
      <c r="J2209" t="n">
        <v>4</v>
      </c>
      <c r="K2209" t="n">
        <v>12</v>
      </c>
      <c r="L2209" t="n">
        <v>12</v>
      </c>
      <c r="M2209" t="n">
        <v>12</v>
      </c>
      <c r="N2209" t="n">
        <v>12</v>
      </c>
      <c r="O2209" t="n">
        <v>20</v>
      </c>
      <c r="P2209" t="n">
        <v>4</v>
      </c>
      <c r="R2209" s="9" t="n">
        <v>0.04</v>
      </c>
      <c r="S2209" s="10" t="inlineStr">
        <is>
          <t>SÍ — integrante</t>
        </is>
      </c>
      <c r="T2209" s="11" t="inlineStr">
        <is>
          <t>B · INTEGRANTE</t>
        </is>
      </c>
      <c r="U2209" s="11" t="inlineStr">
        <is>
          <t>DEL BANCO (se hereda)</t>
        </is>
      </c>
      <c r="V2209" s="11" t="n"/>
      <c r="W2209" s="12" t="n"/>
      <c r="X2209" s="12" t="n"/>
    </row>
    <row r="2210" ht="15" customHeight="1">
      <c r="C2210" t="inlineStr">
        <is>
          <t>NACIONALIDAD</t>
        </is>
      </c>
      <c r="D2210" t="inlineStr">
        <is>
          <t>F5</t>
        </is>
      </c>
      <c r="E2210" t="inlineStr">
        <is>
          <t>INHERENTE</t>
        </is>
      </c>
      <c r="F2210" t="inlineStr">
        <is>
          <t>NICARAGUA</t>
        </is>
      </c>
      <c r="G2210" t="inlineStr">
        <is>
          <t>NI</t>
        </is>
      </c>
      <c r="H2210" t="n">
        <v>4</v>
      </c>
      <c r="I2210" t="n">
        <v>4</v>
      </c>
      <c r="J2210" t="n">
        <v>4</v>
      </c>
      <c r="K2210" t="n">
        <v>16</v>
      </c>
      <c r="L2210" t="n">
        <v>16</v>
      </c>
      <c r="M2210" t="n">
        <v>16</v>
      </c>
      <c r="N2210" t="n">
        <v>16</v>
      </c>
      <c r="O2210" t="n">
        <v>20</v>
      </c>
      <c r="P2210" t="n">
        <v>4</v>
      </c>
      <c r="R2210" s="9" t="n">
        <v>0.04</v>
      </c>
      <c r="S2210" s="10" t="inlineStr">
        <is>
          <t>SÍ — integrante</t>
        </is>
      </c>
      <c r="T2210" s="11" t="inlineStr">
        <is>
          <t>B · INTEGRANTE</t>
        </is>
      </c>
      <c r="U2210" s="11" t="inlineStr">
        <is>
          <t>DEL BANCO (se hereda)</t>
        </is>
      </c>
      <c r="V2210" s="11" t="n"/>
      <c r="W2210" s="12" t="n"/>
      <c r="X2210" s="12" t="n"/>
    </row>
    <row r="2211" ht="15" customHeight="1">
      <c r="C2211" t="inlineStr">
        <is>
          <t>NACIONALIDAD</t>
        </is>
      </c>
      <c r="D2211" t="inlineStr">
        <is>
          <t>F5</t>
        </is>
      </c>
      <c r="E2211" t="inlineStr">
        <is>
          <t>INHERENTE</t>
        </is>
      </c>
      <c r="F2211" t="inlineStr">
        <is>
          <t>PAISES BAJOS</t>
        </is>
      </c>
      <c r="G2211" t="inlineStr">
        <is>
          <t>NL</t>
        </is>
      </c>
      <c r="H2211" t="n">
        <v>1</v>
      </c>
      <c r="I2211" t="n">
        <v>1</v>
      </c>
      <c r="J2211" t="n">
        <v>4</v>
      </c>
      <c r="K2211" t="n">
        <v>4</v>
      </c>
      <c r="L2211" t="n">
        <v>4</v>
      </c>
      <c r="M2211" t="n">
        <v>4</v>
      </c>
      <c r="N2211" t="n">
        <v>4</v>
      </c>
      <c r="O2211" t="n">
        <v>20</v>
      </c>
      <c r="P2211" t="n">
        <v>4</v>
      </c>
      <c r="R2211" s="9" t="n">
        <v>0.04</v>
      </c>
      <c r="S2211" s="10" t="inlineStr">
        <is>
          <t>SÍ — integrante</t>
        </is>
      </c>
      <c r="T2211" s="11" t="inlineStr">
        <is>
          <t>B · INTEGRANTE</t>
        </is>
      </c>
      <c r="U2211" s="11" t="inlineStr">
        <is>
          <t>DEL BANCO (se hereda)</t>
        </is>
      </c>
      <c r="V2211" s="11" t="n"/>
      <c r="W2211" s="12" t="n"/>
      <c r="X2211" s="12" t="n"/>
    </row>
    <row r="2212" ht="15" customHeight="1">
      <c r="C2212" t="inlineStr">
        <is>
          <t>NACIONALIDAD</t>
        </is>
      </c>
      <c r="D2212" t="inlineStr">
        <is>
          <t>F5</t>
        </is>
      </c>
      <c r="E2212" t="inlineStr">
        <is>
          <t>INHERENTE</t>
        </is>
      </c>
      <c r="F2212" t="inlineStr">
        <is>
          <t>NORUEGA</t>
        </is>
      </c>
      <c r="G2212" t="inlineStr">
        <is>
          <t>NO</t>
        </is>
      </c>
      <c r="H2212" t="n">
        <v>1</v>
      </c>
      <c r="I2212" t="n">
        <v>1</v>
      </c>
      <c r="J2212" t="n">
        <v>4</v>
      </c>
      <c r="K2212" t="n">
        <v>4</v>
      </c>
      <c r="L2212" t="n">
        <v>4</v>
      </c>
      <c r="M2212" t="n">
        <v>4</v>
      </c>
      <c r="N2212" t="n">
        <v>4</v>
      </c>
      <c r="O2212" t="n">
        <v>20</v>
      </c>
      <c r="P2212" t="n">
        <v>4</v>
      </c>
      <c r="R2212" s="9" t="n">
        <v>0.04</v>
      </c>
      <c r="S2212" s="10" t="inlineStr">
        <is>
          <t>SÍ — integrante</t>
        </is>
      </c>
      <c r="T2212" s="11" t="inlineStr">
        <is>
          <t>B · INTEGRANTE</t>
        </is>
      </c>
      <c r="U2212" s="11" t="inlineStr">
        <is>
          <t>DEL BANCO (se hereda)</t>
        </is>
      </c>
      <c r="V2212" s="11" t="n"/>
      <c r="W2212" s="12" t="n"/>
      <c r="X2212" s="12" t="n"/>
    </row>
    <row r="2213" ht="15" customHeight="1">
      <c r="C2213" t="inlineStr">
        <is>
          <t>NACIONALIDAD</t>
        </is>
      </c>
      <c r="D2213" t="inlineStr">
        <is>
          <t>F5</t>
        </is>
      </c>
      <c r="E2213" t="inlineStr">
        <is>
          <t>INHERENTE</t>
        </is>
      </c>
      <c r="F2213" t="inlineStr">
        <is>
          <t>NEPAL</t>
        </is>
      </c>
      <c r="G2213" t="inlineStr">
        <is>
          <t>NP</t>
        </is>
      </c>
      <c r="H2213" t="n">
        <v>4</v>
      </c>
      <c r="I2213" t="n">
        <v>4</v>
      </c>
      <c r="J2213" t="n">
        <v>4</v>
      </c>
      <c r="K2213" t="n">
        <v>16</v>
      </c>
      <c r="L2213" t="n">
        <v>16</v>
      </c>
      <c r="M2213" t="n">
        <v>16</v>
      </c>
      <c r="N2213" t="n">
        <v>16</v>
      </c>
      <c r="O2213" t="n">
        <v>20</v>
      </c>
      <c r="P2213" t="n">
        <v>4</v>
      </c>
      <c r="Q2213" t="inlineStr">
        <is>
          <t>DETERMINANTE</t>
        </is>
      </c>
      <c r="R2213" s="9" t="n">
        <v>0.04</v>
      </c>
      <c r="S2213" s="10" t="inlineStr">
        <is>
          <t>SÍ — integrante</t>
        </is>
      </c>
      <c r="T2213" s="11" t="inlineStr">
        <is>
          <t>B · INTEGRANTE</t>
        </is>
      </c>
      <c r="U2213" s="11" t="inlineStr">
        <is>
          <t>DEL BANCO (se hereda)</t>
        </is>
      </c>
      <c r="V2213" s="11" t="n"/>
      <c r="W2213" s="12" t="n"/>
      <c r="X2213" s="12" t="n"/>
    </row>
    <row r="2214" ht="15" customHeight="1">
      <c r="C2214" t="inlineStr">
        <is>
          <t>NACIONALIDAD</t>
        </is>
      </c>
      <c r="D2214" t="inlineStr">
        <is>
          <t>F5</t>
        </is>
      </c>
      <c r="E2214" t="inlineStr">
        <is>
          <t>INHERENTE</t>
        </is>
      </c>
      <c r="F2214" t="inlineStr">
        <is>
          <t>NAURU</t>
        </is>
      </c>
      <c r="G2214" t="inlineStr">
        <is>
          <t>NR</t>
        </is>
      </c>
      <c r="H2214" t="n">
        <v>3</v>
      </c>
      <c r="I2214" t="n">
        <v>3</v>
      </c>
      <c r="J2214" t="n">
        <v>4</v>
      </c>
      <c r="K2214" t="n">
        <v>12</v>
      </c>
      <c r="L2214" t="n">
        <v>12</v>
      </c>
      <c r="M2214" t="n">
        <v>12</v>
      </c>
      <c r="N2214" t="n">
        <v>12</v>
      </c>
      <c r="O2214" t="n">
        <v>20</v>
      </c>
      <c r="P2214" t="n">
        <v>4</v>
      </c>
      <c r="R2214" s="9" t="n">
        <v>0.04</v>
      </c>
      <c r="S2214" s="10" t="inlineStr">
        <is>
          <t>SÍ — integrante</t>
        </is>
      </c>
      <c r="T2214" s="11" t="inlineStr">
        <is>
          <t>B · INTEGRANTE</t>
        </is>
      </c>
      <c r="U2214" s="11" t="inlineStr">
        <is>
          <t>DEL BANCO (se hereda)</t>
        </is>
      </c>
      <c r="V2214" s="11" t="n"/>
      <c r="W2214" s="12" t="n"/>
      <c r="X2214" s="12" t="n"/>
    </row>
    <row r="2215" ht="15" customHeight="1">
      <c r="C2215" t="inlineStr">
        <is>
          <t>NACIONALIDAD</t>
        </is>
      </c>
      <c r="D2215" t="inlineStr">
        <is>
          <t>F5</t>
        </is>
      </c>
      <c r="E2215" t="inlineStr">
        <is>
          <t>INHERENTE</t>
        </is>
      </c>
      <c r="F2215" t="inlineStr">
        <is>
          <t>NIUE</t>
        </is>
      </c>
      <c r="G2215" t="inlineStr">
        <is>
          <t>NU</t>
        </is>
      </c>
      <c r="H2215" t="n">
        <v>1</v>
      </c>
      <c r="I2215" t="n">
        <v>1</v>
      </c>
      <c r="J2215" t="n">
        <v>4</v>
      </c>
      <c r="K2215" t="n">
        <v>4</v>
      </c>
      <c r="L2215" t="n">
        <v>4</v>
      </c>
      <c r="M2215" t="n">
        <v>4</v>
      </c>
      <c r="N2215" t="n">
        <v>4</v>
      </c>
      <c r="O2215" t="n">
        <v>20</v>
      </c>
      <c r="P2215" t="n">
        <v>4</v>
      </c>
      <c r="R2215" s="9" t="n">
        <v>0.04</v>
      </c>
      <c r="S2215" s="10" t="inlineStr">
        <is>
          <t>SÍ — integrante</t>
        </is>
      </c>
      <c r="T2215" s="11" t="inlineStr">
        <is>
          <t>B · INTEGRANTE</t>
        </is>
      </c>
      <c r="U2215" s="11" t="inlineStr">
        <is>
          <t>DEL BANCO (se hereda)</t>
        </is>
      </c>
      <c r="V2215" s="11" t="n"/>
      <c r="W2215" s="12" t="n"/>
      <c r="X2215" s="12" t="n"/>
    </row>
    <row r="2216" ht="15" customHeight="1">
      <c r="C2216" t="inlineStr">
        <is>
          <t>NACIONALIDAD</t>
        </is>
      </c>
      <c r="D2216" t="inlineStr">
        <is>
          <t>F5</t>
        </is>
      </c>
      <c r="E2216" t="inlineStr">
        <is>
          <t>INHERENTE</t>
        </is>
      </c>
      <c r="F2216" t="inlineStr">
        <is>
          <t>NIEVES</t>
        </is>
      </c>
      <c r="G2216" t="inlineStr">
        <is>
          <t>NV</t>
        </is>
      </c>
      <c r="H2216" t="n">
        <v>3</v>
      </c>
      <c r="I2216" t="n">
        <v>3</v>
      </c>
      <c r="J2216" t="n">
        <v>4</v>
      </c>
      <c r="K2216" t="n">
        <v>12</v>
      </c>
      <c r="L2216" t="n">
        <v>12</v>
      </c>
      <c r="M2216" t="n">
        <v>12</v>
      </c>
      <c r="N2216" t="n">
        <v>12</v>
      </c>
      <c r="O2216" t="n">
        <v>20</v>
      </c>
      <c r="P2216" t="n">
        <v>4</v>
      </c>
      <c r="R2216" s="9" t="n">
        <v>0.04</v>
      </c>
      <c r="S2216" s="10" t="inlineStr">
        <is>
          <t>SÍ — integrante</t>
        </is>
      </c>
      <c r="T2216" s="11" t="inlineStr">
        <is>
          <t>B · INTEGRANTE</t>
        </is>
      </c>
      <c r="U2216" s="11" t="inlineStr">
        <is>
          <t>DEL BANCO (se hereda)</t>
        </is>
      </c>
      <c r="V2216" s="11" t="n"/>
      <c r="W2216" s="12" t="n"/>
      <c r="X2216" s="12" t="n"/>
    </row>
    <row r="2217" ht="15" customHeight="1">
      <c r="C2217" t="inlineStr">
        <is>
          <t>NACIONALIDAD</t>
        </is>
      </c>
      <c r="D2217" t="inlineStr">
        <is>
          <t>F5</t>
        </is>
      </c>
      <c r="E2217" t="inlineStr">
        <is>
          <t>INHERENTE</t>
        </is>
      </c>
      <c r="F2217" t="inlineStr">
        <is>
          <t>NUEVA ZELANDIA</t>
        </is>
      </c>
      <c r="G2217" t="inlineStr">
        <is>
          <t>NZ</t>
        </is>
      </c>
      <c r="H2217" t="n">
        <v>1</v>
      </c>
      <c r="I2217" t="n">
        <v>1</v>
      </c>
      <c r="J2217" t="n">
        <v>4</v>
      </c>
      <c r="K2217" t="n">
        <v>4</v>
      </c>
      <c r="L2217" t="n">
        <v>4</v>
      </c>
      <c r="M2217" t="n">
        <v>4</v>
      </c>
      <c r="N2217" t="n">
        <v>4</v>
      </c>
      <c r="O2217" t="n">
        <v>20</v>
      </c>
      <c r="P2217" t="n">
        <v>4</v>
      </c>
      <c r="R2217" s="9" t="n">
        <v>0.04</v>
      </c>
      <c r="S2217" s="10" t="inlineStr">
        <is>
          <t>SÍ — integrante</t>
        </is>
      </c>
      <c r="T2217" s="11" t="inlineStr">
        <is>
          <t>B · INTEGRANTE</t>
        </is>
      </c>
      <c r="U2217" s="11" t="inlineStr">
        <is>
          <t>DEL BANCO (se hereda)</t>
        </is>
      </c>
      <c r="V2217" s="11" t="n"/>
      <c r="W2217" s="12" t="n"/>
      <c r="X2217" s="12" t="n"/>
    </row>
    <row r="2218" ht="15" customHeight="1">
      <c r="C2218" t="inlineStr">
        <is>
          <t>NACIONALIDAD</t>
        </is>
      </c>
      <c r="D2218" t="inlineStr">
        <is>
          <t>F5</t>
        </is>
      </c>
      <c r="E2218" t="inlineStr">
        <is>
          <t>INHERENTE</t>
        </is>
      </c>
      <c r="F2218" t="inlineStr">
        <is>
          <t>OMAN</t>
        </is>
      </c>
      <c r="G2218" t="inlineStr">
        <is>
          <t>OM</t>
        </is>
      </c>
      <c r="H2218" t="n">
        <v>3</v>
      </c>
      <c r="I2218" t="n">
        <v>3</v>
      </c>
      <c r="J2218" t="n">
        <v>4</v>
      </c>
      <c r="K2218" t="n">
        <v>12</v>
      </c>
      <c r="L2218" t="n">
        <v>12</v>
      </c>
      <c r="M2218" t="n">
        <v>12</v>
      </c>
      <c r="N2218" t="n">
        <v>12</v>
      </c>
      <c r="O2218" t="n">
        <v>20</v>
      </c>
      <c r="P2218" t="n">
        <v>4</v>
      </c>
      <c r="R2218" s="9" t="n">
        <v>0.04</v>
      </c>
      <c r="S2218" s="10" t="inlineStr">
        <is>
          <t>SÍ — integrante</t>
        </is>
      </c>
      <c r="T2218" s="11" t="inlineStr">
        <is>
          <t>B · INTEGRANTE</t>
        </is>
      </c>
      <c r="U2218" s="11" t="inlineStr">
        <is>
          <t>DEL BANCO (se hereda)</t>
        </is>
      </c>
      <c r="V2218" s="11" t="n"/>
      <c r="W2218" s="12" t="n"/>
      <c r="X2218" s="12" t="n"/>
    </row>
    <row r="2219" ht="15" customHeight="1">
      <c r="C2219" t="inlineStr">
        <is>
          <t>NACIONALIDAD</t>
        </is>
      </c>
      <c r="D2219" t="inlineStr">
        <is>
          <t>F5</t>
        </is>
      </c>
      <c r="E2219" t="inlineStr">
        <is>
          <t>INHERENTE</t>
        </is>
      </c>
      <c r="F2219" t="inlineStr">
        <is>
          <t>PANAMA</t>
        </is>
      </c>
      <c r="G2219" t="inlineStr">
        <is>
          <t>PA</t>
        </is>
      </c>
      <c r="H2219" t="n">
        <v>3</v>
      </c>
      <c r="I2219" t="n">
        <v>3</v>
      </c>
      <c r="J2219" t="n">
        <v>4</v>
      </c>
      <c r="K2219" t="n">
        <v>12</v>
      </c>
      <c r="L2219" t="n">
        <v>12</v>
      </c>
      <c r="M2219" t="n">
        <v>12</v>
      </c>
      <c r="N2219" t="n">
        <v>12</v>
      </c>
      <c r="O2219" t="n">
        <v>20</v>
      </c>
      <c r="P2219" t="n">
        <v>4</v>
      </c>
      <c r="R2219" s="9" t="n">
        <v>0.04</v>
      </c>
      <c r="S2219" s="10" t="inlineStr">
        <is>
          <t>SÍ — integrante</t>
        </is>
      </c>
      <c r="T2219" s="11" t="inlineStr">
        <is>
          <t>B · INTEGRANTE</t>
        </is>
      </c>
      <c r="U2219" s="11" t="inlineStr">
        <is>
          <t>DEL BANCO (se hereda)</t>
        </is>
      </c>
      <c r="V2219" s="11" t="n"/>
      <c r="W2219" s="12" t="n"/>
      <c r="X2219" s="12" t="n"/>
    </row>
    <row r="2220" ht="15" customHeight="1">
      <c r="C2220" t="inlineStr">
        <is>
          <t>NACIONALIDAD</t>
        </is>
      </c>
      <c r="D2220" t="inlineStr">
        <is>
          <t>F5</t>
        </is>
      </c>
      <c r="E2220" t="inlineStr">
        <is>
          <t>INHERENTE</t>
        </is>
      </c>
      <c r="F2220" t="inlineStr">
        <is>
          <t>PERU</t>
        </is>
      </c>
      <c r="G2220" t="inlineStr">
        <is>
          <t>PE</t>
        </is>
      </c>
      <c r="H2220" t="n">
        <v>2</v>
      </c>
      <c r="I2220" t="n">
        <v>2</v>
      </c>
      <c r="J2220" t="n">
        <v>4</v>
      </c>
      <c r="K2220" t="n">
        <v>8</v>
      </c>
      <c r="L2220" t="n">
        <v>8</v>
      </c>
      <c r="M2220" t="n">
        <v>8</v>
      </c>
      <c r="N2220" t="n">
        <v>8</v>
      </c>
      <c r="O2220" t="n">
        <v>20</v>
      </c>
      <c r="P2220" t="n">
        <v>4</v>
      </c>
      <c r="R2220" s="9" t="n">
        <v>0.04</v>
      </c>
      <c r="S2220" s="10" t="inlineStr">
        <is>
          <t>SÍ — integrante</t>
        </is>
      </c>
      <c r="T2220" s="11" t="inlineStr">
        <is>
          <t>B · INTEGRANTE</t>
        </is>
      </c>
      <c r="U2220" s="11" t="inlineStr">
        <is>
          <t>DEL BANCO (se hereda)</t>
        </is>
      </c>
      <c r="V2220" s="11" t="n"/>
      <c r="W2220" s="12" t="n"/>
      <c r="X2220" s="12" t="n"/>
    </row>
    <row r="2221" ht="15" customHeight="1">
      <c r="C2221" t="inlineStr">
        <is>
          <t>NACIONALIDAD</t>
        </is>
      </c>
      <c r="D2221" t="inlineStr">
        <is>
          <t>F5</t>
        </is>
      </c>
      <c r="E2221" t="inlineStr">
        <is>
          <t>INHERENTE</t>
        </is>
      </c>
      <c r="F2221" t="inlineStr">
        <is>
          <t>POLINESIA FRANCESA</t>
        </is>
      </c>
      <c r="G2221" t="inlineStr">
        <is>
          <t>PF</t>
        </is>
      </c>
      <c r="H2221" t="n">
        <v>3</v>
      </c>
      <c r="I2221" t="n">
        <v>3</v>
      </c>
      <c r="J2221" t="n">
        <v>4</v>
      </c>
      <c r="K2221" t="n">
        <v>12</v>
      </c>
      <c r="L2221" t="n">
        <v>12</v>
      </c>
      <c r="M2221" t="n">
        <v>12</v>
      </c>
      <c r="N2221" t="n">
        <v>12</v>
      </c>
      <c r="O2221" t="n">
        <v>20</v>
      </c>
      <c r="P2221" t="n">
        <v>4</v>
      </c>
      <c r="R2221" s="9" t="n">
        <v>0.04</v>
      </c>
      <c r="S2221" s="10" t="inlineStr">
        <is>
          <t>SÍ — integrante</t>
        </is>
      </c>
      <c r="T2221" s="11" t="inlineStr">
        <is>
          <t>B · INTEGRANTE</t>
        </is>
      </c>
      <c r="U2221" s="11" t="inlineStr">
        <is>
          <t>DEL BANCO (se hereda)</t>
        </is>
      </c>
      <c r="V2221" s="11" t="n"/>
      <c r="W2221" s="12" t="n"/>
      <c r="X2221" s="12" t="n"/>
    </row>
    <row r="2222" ht="15" customHeight="1">
      <c r="C2222" t="inlineStr">
        <is>
          <t>NACIONALIDAD</t>
        </is>
      </c>
      <c r="D2222" t="inlineStr">
        <is>
          <t>F5</t>
        </is>
      </c>
      <c r="E2222" t="inlineStr">
        <is>
          <t>INHERENTE</t>
        </is>
      </c>
      <c r="F2222" t="inlineStr">
        <is>
          <t>PAP NUEVA GUINE</t>
        </is>
      </c>
      <c r="G2222" t="inlineStr">
        <is>
          <t>PG</t>
        </is>
      </c>
      <c r="H2222" t="n">
        <v>4</v>
      </c>
      <c r="I2222" t="n">
        <v>4</v>
      </c>
      <c r="J2222" t="n">
        <v>4</v>
      </c>
      <c r="K2222" t="n">
        <v>16</v>
      </c>
      <c r="L2222" t="n">
        <v>16</v>
      </c>
      <c r="M2222" t="n">
        <v>16</v>
      </c>
      <c r="N2222" t="n">
        <v>16</v>
      </c>
      <c r="O2222" t="n">
        <v>20</v>
      </c>
      <c r="P2222" t="n">
        <v>4</v>
      </c>
      <c r="Q2222" t="inlineStr">
        <is>
          <t>DETERMINANTE</t>
        </is>
      </c>
      <c r="R2222" s="9" t="n">
        <v>0.04</v>
      </c>
      <c r="S2222" s="10" t="inlineStr">
        <is>
          <t>SÍ — integrante</t>
        </is>
      </c>
      <c r="T2222" s="11" t="inlineStr">
        <is>
          <t>B · INTEGRANTE</t>
        </is>
      </c>
      <c r="U2222" s="11" t="inlineStr">
        <is>
          <t>DEL BANCO (se hereda)</t>
        </is>
      </c>
      <c r="V2222" s="11" t="n"/>
      <c r="W2222" s="12" t="n"/>
      <c r="X2222" s="12" t="n"/>
    </row>
    <row r="2223" ht="15" customHeight="1">
      <c r="C2223" t="inlineStr">
        <is>
          <t>NACIONALIDAD</t>
        </is>
      </c>
      <c r="D2223" t="inlineStr">
        <is>
          <t>F5</t>
        </is>
      </c>
      <c r="E2223" t="inlineStr">
        <is>
          <t>INHERENTE</t>
        </is>
      </c>
      <c r="F2223" t="inlineStr">
        <is>
          <t>FILIPINAS</t>
        </is>
      </c>
      <c r="G2223" t="inlineStr">
        <is>
          <t>PH</t>
        </is>
      </c>
      <c r="H2223" t="n">
        <v>2</v>
      </c>
      <c r="I2223" t="n">
        <v>2</v>
      </c>
      <c r="J2223" t="n">
        <v>4</v>
      </c>
      <c r="K2223" t="n">
        <v>8</v>
      </c>
      <c r="L2223" t="n">
        <v>8</v>
      </c>
      <c r="M2223" t="n">
        <v>8</v>
      </c>
      <c r="N2223" t="n">
        <v>8</v>
      </c>
      <c r="O2223" t="n">
        <v>20</v>
      </c>
      <c r="P2223" t="n">
        <v>4</v>
      </c>
      <c r="R2223" s="9" t="n">
        <v>0.04</v>
      </c>
      <c r="S2223" s="10" t="inlineStr">
        <is>
          <t>SÍ — integrante</t>
        </is>
      </c>
      <c r="T2223" s="11" t="inlineStr">
        <is>
          <t>B · INTEGRANTE</t>
        </is>
      </c>
      <c r="U2223" s="11" t="inlineStr">
        <is>
          <t>DEL BANCO (se hereda)</t>
        </is>
      </c>
      <c r="V2223" s="11" t="n"/>
      <c r="W2223" s="12" t="n"/>
      <c r="X2223" s="12" t="n"/>
    </row>
    <row r="2224" ht="15" customHeight="1">
      <c r="C2224" t="inlineStr">
        <is>
          <t>NACIONALIDAD</t>
        </is>
      </c>
      <c r="D2224" t="inlineStr">
        <is>
          <t>F5</t>
        </is>
      </c>
      <c r="E2224" t="inlineStr">
        <is>
          <t>INHERENTE</t>
        </is>
      </c>
      <c r="F2224" t="inlineStr">
        <is>
          <t>PAKISTAN</t>
        </is>
      </c>
      <c r="G2224" t="inlineStr">
        <is>
          <t>PK</t>
        </is>
      </c>
      <c r="H2224" t="n">
        <v>3</v>
      </c>
      <c r="I2224" t="n">
        <v>3</v>
      </c>
      <c r="J2224" t="n">
        <v>4</v>
      </c>
      <c r="K2224" t="n">
        <v>12</v>
      </c>
      <c r="L2224" t="n">
        <v>12</v>
      </c>
      <c r="M2224" t="n">
        <v>12</v>
      </c>
      <c r="N2224" t="n">
        <v>12</v>
      </c>
      <c r="O2224" t="n">
        <v>20</v>
      </c>
      <c r="P2224" t="n">
        <v>4</v>
      </c>
      <c r="R2224" s="9" t="n">
        <v>0.04</v>
      </c>
      <c r="S2224" s="10" t="inlineStr">
        <is>
          <t>SÍ — integrante</t>
        </is>
      </c>
      <c r="T2224" s="11" t="inlineStr">
        <is>
          <t>B · INTEGRANTE</t>
        </is>
      </c>
      <c r="U2224" s="11" t="inlineStr">
        <is>
          <t>DEL BANCO (se hereda)</t>
        </is>
      </c>
      <c r="V2224" s="11" t="n"/>
      <c r="W2224" s="12" t="n"/>
      <c r="X2224" s="12" t="n"/>
    </row>
    <row r="2225" ht="15" customHeight="1">
      <c r="C2225" t="inlineStr">
        <is>
          <t>NACIONALIDAD</t>
        </is>
      </c>
      <c r="D2225" t="inlineStr">
        <is>
          <t>F5</t>
        </is>
      </c>
      <c r="E2225" t="inlineStr">
        <is>
          <t>INHERENTE</t>
        </is>
      </c>
      <c r="F2225" t="inlineStr">
        <is>
          <t>POLONIA</t>
        </is>
      </c>
      <c r="G2225" t="inlineStr">
        <is>
          <t>PL</t>
        </is>
      </c>
      <c r="H2225" t="n">
        <v>1</v>
      </c>
      <c r="I2225" t="n">
        <v>1</v>
      </c>
      <c r="J2225" t="n">
        <v>4</v>
      </c>
      <c r="K2225" t="n">
        <v>4</v>
      </c>
      <c r="L2225" t="n">
        <v>4</v>
      </c>
      <c r="M2225" t="n">
        <v>4</v>
      </c>
      <c r="N2225" t="n">
        <v>4</v>
      </c>
      <c r="O2225" t="n">
        <v>20</v>
      </c>
      <c r="P2225" t="n">
        <v>4</v>
      </c>
      <c r="R2225" s="9" t="n">
        <v>0.04</v>
      </c>
      <c r="S2225" s="10" t="inlineStr">
        <is>
          <t>SÍ — integrante</t>
        </is>
      </c>
      <c r="T2225" s="11" t="inlineStr">
        <is>
          <t>B · INTEGRANTE</t>
        </is>
      </c>
      <c r="U2225" s="11" t="inlineStr">
        <is>
          <t>DEL BANCO (se hereda)</t>
        </is>
      </c>
      <c r="V2225" s="11" t="n"/>
      <c r="W2225" s="12" t="n"/>
      <c r="X2225" s="12" t="n"/>
    </row>
    <row r="2226" ht="15" customHeight="1">
      <c r="C2226" t="inlineStr">
        <is>
          <t>NACIONALIDAD</t>
        </is>
      </c>
      <c r="D2226" t="inlineStr">
        <is>
          <t>F5</t>
        </is>
      </c>
      <c r="E2226" t="inlineStr">
        <is>
          <t>INHERENTE</t>
        </is>
      </c>
      <c r="F2226" t="inlineStr">
        <is>
          <t>SAN PEDRO</t>
        </is>
      </c>
      <c r="G2226" t="inlineStr">
        <is>
          <t>PM</t>
        </is>
      </c>
      <c r="H2226" t="n">
        <v>1</v>
      </c>
      <c r="I2226" t="n">
        <v>1</v>
      </c>
      <c r="J2226" t="n">
        <v>4</v>
      </c>
      <c r="K2226" t="n">
        <v>4</v>
      </c>
      <c r="L2226" t="n">
        <v>4</v>
      </c>
      <c r="M2226" t="n">
        <v>4</v>
      </c>
      <c r="N2226" t="n">
        <v>4</v>
      </c>
      <c r="O2226" t="n">
        <v>20</v>
      </c>
      <c r="P2226" t="n">
        <v>4</v>
      </c>
      <c r="R2226" s="9" t="n">
        <v>0.04</v>
      </c>
      <c r="S2226" s="10" t="inlineStr">
        <is>
          <t>SÍ — integrante</t>
        </is>
      </c>
      <c r="T2226" s="11" t="inlineStr">
        <is>
          <t>B · INTEGRANTE</t>
        </is>
      </c>
      <c r="U2226" s="11" t="inlineStr">
        <is>
          <t>DEL BANCO (se hereda)</t>
        </is>
      </c>
      <c r="V2226" s="11" t="n"/>
      <c r="W2226" s="12" t="n"/>
      <c r="X2226" s="12" t="n"/>
    </row>
    <row r="2227" ht="15" customHeight="1">
      <c r="C2227" t="inlineStr">
        <is>
          <t>NACIONALIDAD</t>
        </is>
      </c>
      <c r="D2227" t="inlineStr">
        <is>
          <t>F5</t>
        </is>
      </c>
      <c r="E2227" t="inlineStr">
        <is>
          <t>INHERENTE</t>
        </is>
      </c>
      <c r="F2227" t="inlineStr">
        <is>
          <t>PITCAIRN</t>
        </is>
      </c>
      <c r="G2227" t="inlineStr">
        <is>
          <t>PN</t>
        </is>
      </c>
      <c r="H2227" t="n">
        <v>1</v>
      </c>
      <c r="I2227" t="n">
        <v>1</v>
      </c>
      <c r="J2227" t="n">
        <v>4</v>
      </c>
      <c r="K2227" t="n">
        <v>4</v>
      </c>
      <c r="L2227" t="n">
        <v>4</v>
      </c>
      <c r="M2227" t="n">
        <v>4</v>
      </c>
      <c r="N2227" t="n">
        <v>4</v>
      </c>
      <c r="O2227" t="n">
        <v>20</v>
      </c>
      <c r="P2227" t="n">
        <v>4</v>
      </c>
      <c r="R2227" s="9" t="n">
        <v>0.04</v>
      </c>
      <c r="S2227" s="10" t="inlineStr">
        <is>
          <t>SÍ — integrante</t>
        </is>
      </c>
      <c r="T2227" s="11" t="inlineStr">
        <is>
          <t>B · INTEGRANTE</t>
        </is>
      </c>
      <c r="U2227" s="11" t="inlineStr">
        <is>
          <t>DEL BANCO (se hereda)</t>
        </is>
      </c>
      <c r="V2227" s="11" t="n"/>
      <c r="W2227" s="12" t="n"/>
      <c r="X2227" s="12" t="n"/>
    </row>
    <row r="2228" ht="15" customHeight="1">
      <c r="C2228" t="inlineStr">
        <is>
          <t>NACIONALIDAD</t>
        </is>
      </c>
      <c r="D2228" t="inlineStr">
        <is>
          <t>F5</t>
        </is>
      </c>
      <c r="E2228" t="inlineStr">
        <is>
          <t>INHERENTE</t>
        </is>
      </c>
      <c r="F2228" t="inlineStr">
        <is>
          <t>PUERTO RICO</t>
        </is>
      </c>
      <c r="G2228" t="inlineStr">
        <is>
          <t>PR</t>
        </is>
      </c>
      <c r="H2228" t="n">
        <v>1</v>
      </c>
      <c r="I2228" t="n">
        <v>1</v>
      </c>
      <c r="J2228" t="n">
        <v>4</v>
      </c>
      <c r="K2228" t="n">
        <v>4</v>
      </c>
      <c r="L2228" t="n">
        <v>4</v>
      </c>
      <c r="M2228" t="n">
        <v>4</v>
      </c>
      <c r="N2228" t="n">
        <v>4</v>
      </c>
      <c r="O2228" t="n">
        <v>20</v>
      </c>
      <c r="P2228" t="n">
        <v>4</v>
      </c>
      <c r="R2228" s="9" t="n">
        <v>0.04</v>
      </c>
      <c r="S2228" s="10" t="inlineStr">
        <is>
          <t>SÍ — integrante</t>
        </is>
      </c>
      <c r="T2228" s="11" t="inlineStr">
        <is>
          <t>B · INTEGRANTE</t>
        </is>
      </c>
      <c r="U2228" s="11" t="inlineStr">
        <is>
          <t>DEL BANCO (se hereda)</t>
        </is>
      </c>
      <c r="V2228" s="11" t="n"/>
      <c r="W2228" s="12" t="n"/>
      <c r="X2228" s="12" t="n"/>
    </row>
    <row r="2229" ht="15" customHeight="1">
      <c r="C2229" t="inlineStr">
        <is>
          <t>NACIONALIDAD</t>
        </is>
      </c>
      <c r="D2229" t="inlineStr">
        <is>
          <t>F5</t>
        </is>
      </c>
      <c r="E2229" t="inlineStr">
        <is>
          <t>INHERENTE</t>
        </is>
      </c>
      <c r="F2229" t="inlineStr">
        <is>
          <t>TERRITORIOS PALESTIN</t>
        </is>
      </c>
      <c r="G2229" t="inlineStr">
        <is>
          <t>PS</t>
        </is>
      </c>
      <c r="H2229" t="n">
        <v>4</v>
      </c>
      <c r="I2229" t="n">
        <v>4</v>
      </c>
      <c r="J2229" t="n">
        <v>4</v>
      </c>
      <c r="K2229" t="n">
        <v>16</v>
      </c>
      <c r="L2229" t="n">
        <v>16</v>
      </c>
      <c r="M2229" t="n">
        <v>16</v>
      </c>
      <c r="N2229" t="n">
        <v>16</v>
      </c>
      <c r="O2229" t="n">
        <v>20</v>
      </c>
      <c r="P2229" t="n">
        <v>4</v>
      </c>
      <c r="R2229" s="9" t="n">
        <v>0.04</v>
      </c>
      <c r="S2229" s="10" t="inlineStr">
        <is>
          <t>SÍ — integrante</t>
        </is>
      </c>
      <c r="T2229" s="11" t="inlineStr">
        <is>
          <t>B · INTEGRANTE</t>
        </is>
      </c>
      <c r="U2229" s="11" t="inlineStr">
        <is>
          <t>DEL BANCO (se hereda)</t>
        </is>
      </c>
      <c r="V2229" s="11" t="n"/>
      <c r="W2229" s="12" t="n"/>
      <c r="X2229" s="12" t="n"/>
    </row>
    <row r="2230" ht="15" customHeight="1">
      <c r="C2230" t="inlineStr">
        <is>
          <t>NACIONALIDAD</t>
        </is>
      </c>
      <c r="D2230" t="inlineStr">
        <is>
          <t>F5</t>
        </is>
      </c>
      <c r="E2230" t="inlineStr">
        <is>
          <t>INHERENTE</t>
        </is>
      </c>
      <c r="F2230" t="inlineStr">
        <is>
          <t>PORTUGAL</t>
        </is>
      </c>
      <c r="G2230" t="inlineStr">
        <is>
          <t>PT</t>
        </is>
      </c>
      <c r="H2230" t="n">
        <v>1</v>
      </c>
      <c r="I2230" t="n">
        <v>1</v>
      </c>
      <c r="J2230" t="n">
        <v>4</v>
      </c>
      <c r="K2230" t="n">
        <v>4</v>
      </c>
      <c r="L2230" t="n">
        <v>4</v>
      </c>
      <c r="M2230" t="n">
        <v>4</v>
      </c>
      <c r="N2230" t="n">
        <v>4</v>
      </c>
      <c r="O2230" t="n">
        <v>20</v>
      </c>
      <c r="P2230" t="n">
        <v>4</v>
      </c>
      <c r="R2230" s="9" t="n">
        <v>0.04</v>
      </c>
      <c r="S2230" s="10" t="inlineStr">
        <is>
          <t>SÍ — integrante</t>
        </is>
      </c>
      <c r="T2230" s="11" t="inlineStr">
        <is>
          <t>B · INTEGRANTE</t>
        </is>
      </c>
      <c r="U2230" s="11" t="inlineStr">
        <is>
          <t>DEL BANCO (se hereda)</t>
        </is>
      </c>
      <c r="V2230" s="11" t="n"/>
      <c r="W2230" s="12" t="n"/>
      <c r="X2230" s="12" t="n"/>
    </row>
    <row r="2231" ht="15" customHeight="1">
      <c r="C2231" t="inlineStr">
        <is>
          <t>NACIONALIDAD</t>
        </is>
      </c>
      <c r="D2231" t="inlineStr">
        <is>
          <t>F5</t>
        </is>
      </c>
      <c r="E2231" t="inlineStr">
        <is>
          <t>INHERENTE</t>
        </is>
      </c>
      <c r="F2231" t="inlineStr">
        <is>
          <t>PATAU</t>
        </is>
      </c>
      <c r="G2231" t="inlineStr">
        <is>
          <t>PW</t>
        </is>
      </c>
      <c r="H2231" t="n">
        <v>1</v>
      </c>
      <c r="I2231" t="n">
        <v>1</v>
      </c>
      <c r="J2231" t="n">
        <v>4</v>
      </c>
      <c r="K2231" t="n">
        <v>4</v>
      </c>
      <c r="L2231" t="n">
        <v>4</v>
      </c>
      <c r="M2231" t="n">
        <v>4</v>
      </c>
      <c r="N2231" t="n">
        <v>4</v>
      </c>
      <c r="O2231" t="n">
        <v>20</v>
      </c>
      <c r="P2231" t="n">
        <v>4</v>
      </c>
      <c r="R2231" s="9" t="n">
        <v>0.04</v>
      </c>
      <c r="S2231" s="10" t="inlineStr">
        <is>
          <t>SÍ — integrante</t>
        </is>
      </c>
      <c r="T2231" s="11" t="inlineStr">
        <is>
          <t>B · INTEGRANTE</t>
        </is>
      </c>
      <c r="U2231" s="11" t="inlineStr">
        <is>
          <t>DEL BANCO (se hereda)</t>
        </is>
      </c>
      <c r="V2231" s="11" t="n"/>
      <c r="W2231" s="12" t="n"/>
      <c r="X2231" s="12" t="n"/>
    </row>
    <row r="2232" ht="15" customHeight="1">
      <c r="C2232" t="inlineStr">
        <is>
          <t>NACIONALIDAD</t>
        </is>
      </c>
      <c r="D2232" t="inlineStr">
        <is>
          <t>F5</t>
        </is>
      </c>
      <c r="E2232" t="inlineStr">
        <is>
          <t>INHERENTE</t>
        </is>
      </c>
      <c r="F2232" t="inlineStr">
        <is>
          <t>PARAGUAY</t>
        </is>
      </c>
      <c r="G2232" t="inlineStr">
        <is>
          <t>PY</t>
        </is>
      </c>
      <c r="H2232" t="n">
        <v>3</v>
      </c>
      <c r="I2232" t="n">
        <v>3</v>
      </c>
      <c r="J2232" t="n">
        <v>4</v>
      </c>
      <c r="K2232" t="n">
        <v>12</v>
      </c>
      <c r="L2232" t="n">
        <v>12</v>
      </c>
      <c r="M2232" t="n">
        <v>12</v>
      </c>
      <c r="N2232" t="n">
        <v>12</v>
      </c>
      <c r="O2232" t="n">
        <v>20</v>
      </c>
      <c r="P2232" t="n">
        <v>4</v>
      </c>
      <c r="R2232" s="9" t="n">
        <v>0.04</v>
      </c>
      <c r="S2232" s="10" t="inlineStr">
        <is>
          <t>SÍ — integrante</t>
        </is>
      </c>
      <c r="T2232" s="11" t="inlineStr">
        <is>
          <t>B · INTEGRANTE</t>
        </is>
      </c>
      <c r="U2232" s="11" t="inlineStr">
        <is>
          <t>DEL BANCO (se hereda)</t>
        </is>
      </c>
      <c r="V2232" s="11" t="n"/>
      <c r="W2232" s="12" t="n"/>
      <c r="X2232" s="12" t="n"/>
    </row>
    <row r="2233" ht="15" customHeight="1">
      <c r="C2233" t="inlineStr">
        <is>
          <t>NACIONALIDAD</t>
        </is>
      </c>
      <c r="D2233" t="inlineStr">
        <is>
          <t>F5</t>
        </is>
      </c>
      <c r="E2233" t="inlineStr">
        <is>
          <t>INHERENTE</t>
        </is>
      </c>
      <c r="F2233" t="inlineStr">
        <is>
          <t>QATAR</t>
        </is>
      </c>
      <c r="G2233" t="inlineStr">
        <is>
          <t>QA</t>
        </is>
      </c>
      <c r="H2233" t="n">
        <v>3</v>
      </c>
      <c r="I2233" t="n">
        <v>3</v>
      </c>
      <c r="J2233" t="n">
        <v>4</v>
      </c>
      <c r="K2233" t="n">
        <v>12</v>
      </c>
      <c r="L2233" t="n">
        <v>12</v>
      </c>
      <c r="M2233" t="n">
        <v>12</v>
      </c>
      <c r="N2233" t="n">
        <v>12</v>
      </c>
      <c r="O2233" t="n">
        <v>20</v>
      </c>
      <c r="P2233" t="n">
        <v>4</v>
      </c>
      <c r="R2233" s="9" t="n">
        <v>0.04</v>
      </c>
      <c r="S2233" s="10" t="inlineStr">
        <is>
          <t>SÍ — integrante</t>
        </is>
      </c>
      <c r="T2233" s="11" t="inlineStr">
        <is>
          <t>B · INTEGRANTE</t>
        </is>
      </c>
      <c r="U2233" s="11" t="inlineStr">
        <is>
          <t>DEL BANCO (se hereda)</t>
        </is>
      </c>
      <c r="V2233" s="11" t="n"/>
      <c r="W2233" s="12" t="n"/>
      <c r="X2233" s="12" t="n"/>
    </row>
    <row r="2234" ht="15" customHeight="1">
      <c r="C2234" t="inlineStr">
        <is>
          <t>NACIONALIDAD</t>
        </is>
      </c>
      <c r="D2234" t="inlineStr">
        <is>
          <t>F5</t>
        </is>
      </c>
      <c r="E2234" t="inlineStr">
        <is>
          <t>INHERENTE</t>
        </is>
      </c>
      <c r="F2234" t="inlineStr">
        <is>
          <t>REUNION</t>
        </is>
      </c>
      <c r="G2234" t="inlineStr">
        <is>
          <t>RE</t>
        </is>
      </c>
      <c r="H2234" t="n">
        <v>1</v>
      </c>
      <c r="I2234" t="n">
        <v>1</v>
      </c>
      <c r="J2234" t="n">
        <v>4</v>
      </c>
      <c r="K2234" t="n">
        <v>4</v>
      </c>
      <c r="L2234" t="n">
        <v>4</v>
      </c>
      <c r="M2234" t="n">
        <v>4</v>
      </c>
      <c r="N2234" t="n">
        <v>4</v>
      </c>
      <c r="O2234" t="n">
        <v>20</v>
      </c>
      <c r="P2234" t="n">
        <v>4</v>
      </c>
      <c r="R2234" s="9" t="n">
        <v>0.04</v>
      </c>
      <c r="S2234" s="10" t="inlineStr">
        <is>
          <t>SÍ — integrante</t>
        </is>
      </c>
      <c r="T2234" s="11" t="inlineStr">
        <is>
          <t>B · INTEGRANTE</t>
        </is>
      </c>
      <c r="U2234" s="11" t="inlineStr">
        <is>
          <t>DEL BANCO (se hereda)</t>
        </is>
      </c>
      <c r="V2234" s="11" t="n"/>
      <c r="W2234" s="12" t="n"/>
      <c r="X2234" s="12" t="n"/>
    </row>
    <row r="2235" ht="15" customHeight="1">
      <c r="C2235" t="inlineStr">
        <is>
          <t>NACIONALIDAD</t>
        </is>
      </c>
      <c r="D2235" t="inlineStr">
        <is>
          <t>F5</t>
        </is>
      </c>
      <c r="E2235" t="inlineStr">
        <is>
          <t>INHERENTE</t>
        </is>
      </c>
      <c r="F2235" t="inlineStr">
        <is>
          <t>RUMANIA</t>
        </is>
      </c>
      <c r="G2235" t="inlineStr">
        <is>
          <t>RO</t>
        </is>
      </c>
      <c r="H2235" t="n">
        <v>1</v>
      </c>
      <c r="I2235" t="n">
        <v>1</v>
      </c>
      <c r="J2235" t="n">
        <v>4</v>
      </c>
      <c r="K2235" t="n">
        <v>4</v>
      </c>
      <c r="L2235" t="n">
        <v>4</v>
      </c>
      <c r="M2235" t="n">
        <v>4</v>
      </c>
      <c r="N2235" t="n">
        <v>4</v>
      </c>
      <c r="O2235" t="n">
        <v>20</v>
      </c>
      <c r="P2235" t="n">
        <v>4</v>
      </c>
      <c r="R2235" s="9" t="n">
        <v>0.04</v>
      </c>
      <c r="S2235" s="10" t="inlineStr">
        <is>
          <t>SÍ — integrante</t>
        </is>
      </c>
      <c r="T2235" s="11" t="inlineStr">
        <is>
          <t>B · INTEGRANTE</t>
        </is>
      </c>
      <c r="U2235" s="11" t="inlineStr">
        <is>
          <t>DEL BANCO (se hereda)</t>
        </is>
      </c>
      <c r="V2235" s="11" t="n"/>
      <c r="W2235" s="12" t="n"/>
      <c r="X2235" s="12" t="n"/>
    </row>
    <row r="2236" ht="15" customHeight="1">
      <c r="C2236" t="inlineStr">
        <is>
          <t>NACIONALIDAD</t>
        </is>
      </c>
      <c r="D2236" t="inlineStr">
        <is>
          <t>F5</t>
        </is>
      </c>
      <c r="E2236" t="inlineStr">
        <is>
          <t>INHERENTE</t>
        </is>
      </c>
      <c r="F2236" t="inlineStr">
        <is>
          <t>SERBIA</t>
        </is>
      </c>
      <c r="G2236" t="inlineStr">
        <is>
          <t>RS</t>
        </is>
      </c>
      <c r="H2236" t="n">
        <v>2</v>
      </c>
      <c r="I2236" t="n">
        <v>2</v>
      </c>
      <c r="J2236" t="n">
        <v>4</v>
      </c>
      <c r="K2236" t="n">
        <v>8</v>
      </c>
      <c r="L2236" t="n">
        <v>8</v>
      </c>
      <c r="M2236" t="n">
        <v>8</v>
      </c>
      <c r="N2236" t="n">
        <v>8</v>
      </c>
      <c r="O2236" t="n">
        <v>20</v>
      </c>
      <c r="P2236" t="n">
        <v>4</v>
      </c>
      <c r="R2236" s="9" t="n">
        <v>0.04</v>
      </c>
      <c r="S2236" s="10" t="inlineStr">
        <is>
          <t>SÍ — integrante</t>
        </is>
      </c>
      <c r="T2236" s="11" t="inlineStr">
        <is>
          <t>B · INTEGRANTE</t>
        </is>
      </c>
      <c r="U2236" s="11" t="inlineStr">
        <is>
          <t>DEL BANCO (se hereda)</t>
        </is>
      </c>
      <c r="V2236" s="11" t="n"/>
      <c r="W2236" s="12" t="n"/>
      <c r="X2236" s="12" t="n"/>
    </row>
    <row r="2237" ht="15" customHeight="1">
      <c r="C2237" t="inlineStr">
        <is>
          <t>NACIONALIDAD</t>
        </is>
      </c>
      <c r="D2237" t="inlineStr">
        <is>
          <t>F5</t>
        </is>
      </c>
      <c r="E2237" t="inlineStr">
        <is>
          <t>INHERENTE</t>
        </is>
      </c>
      <c r="F2237" t="inlineStr">
        <is>
          <t>FEDERACION RUSA</t>
        </is>
      </c>
      <c r="G2237" t="inlineStr">
        <is>
          <t>RU</t>
        </is>
      </c>
      <c r="H2237" t="n">
        <v>4</v>
      </c>
      <c r="I2237" t="n">
        <v>4</v>
      </c>
      <c r="J2237" t="n">
        <v>4</v>
      </c>
      <c r="K2237" t="n">
        <v>16</v>
      </c>
      <c r="L2237" t="n">
        <v>16</v>
      </c>
      <c r="M2237" t="n">
        <v>16</v>
      </c>
      <c r="N2237" t="n">
        <v>16</v>
      </c>
      <c r="O2237" t="n">
        <v>20</v>
      </c>
      <c r="P2237" t="n">
        <v>4</v>
      </c>
      <c r="R2237" s="9" t="n">
        <v>0.04</v>
      </c>
      <c r="S2237" s="10" t="inlineStr">
        <is>
          <t>SÍ — integrante</t>
        </is>
      </c>
      <c r="T2237" s="11" t="inlineStr">
        <is>
          <t>B · INTEGRANTE</t>
        </is>
      </c>
      <c r="U2237" s="11" t="inlineStr">
        <is>
          <t>DEL BANCO (se hereda)</t>
        </is>
      </c>
      <c r="V2237" s="11" t="n"/>
      <c r="W2237" s="12" t="n"/>
      <c r="X2237" s="12" t="n"/>
    </row>
    <row r="2238" ht="15" customHeight="1">
      <c r="C2238" t="inlineStr">
        <is>
          <t>NACIONALIDAD</t>
        </is>
      </c>
      <c r="D2238" t="inlineStr">
        <is>
          <t>F5</t>
        </is>
      </c>
      <c r="E2238" t="inlineStr">
        <is>
          <t>INHERENTE</t>
        </is>
      </c>
      <c r="F2238" t="inlineStr">
        <is>
          <t>RWANDA</t>
        </is>
      </c>
      <c r="G2238" t="inlineStr">
        <is>
          <t>RW</t>
        </is>
      </c>
      <c r="H2238" t="n">
        <v>3</v>
      </c>
      <c r="I2238" t="n">
        <v>3</v>
      </c>
      <c r="J2238" t="n">
        <v>4</v>
      </c>
      <c r="K2238" t="n">
        <v>12</v>
      </c>
      <c r="L2238" t="n">
        <v>12</v>
      </c>
      <c r="M2238" t="n">
        <v>12</v>
      </c>
      <c r="N2238" t="n">
        <v>12</v>
      </c>
      <c r="O2238" t="n">
        <v>20</v>
      </c>
      <c r="P2238" t="n">
        <v>4</v>
      </c>
      <c r="R2238" s="9" t="n">
        <v>0.04</v>
      </c>
      <c r="S2238" s="10" t="inlineStr">
        <is>
          <t>SÍ — integrante</t>
        </is>
      </c>
      <c r="T2238" s="11" t="inlineStr">
        <is>
          <t>B · INTEGRANTE</t>
        </is>
      </c>
      <c r="U2238" s="11" t="inlineStr">
        <is>
          <t>DEL BANCO (se hereda)</t>
        </is>
      </c>
      <c r="V2238" s="11" t="n"/>
      <c r="W2238" s="12" t="n"/>
      <c r="X2238" s="12" t="n"/>
    </row>
    <row r="2239" ht="15" customHeight="1">
      <c r="C2239" t="inlineStr">
        <is>
          <t>NACIONALIDAD</t>
        </is>
      </c>
      <c r="D2239" t="inlineStr">
        <is>
          <t>F5</t>
        </is>
      </c>
      <c r="E2239" t="inlineStr">
        <is>
          <t>INHERENTE</t>
        </is>
      </c>
      <c r="F2239" t="inlineStr">
        <is>
          <t>ARABIA SAUDI</t>
        </is>
      </c>
      <c r="G2239" t="inlineStr">
        <is>
          <t>SA</t>
        </is>
      </c>
      <c r="H2239" t="n">
        <v>3</v>
      </c>
      <c r="I2239" t="n">
        <v>3</v>
      </c>
      <c r="J2239" t="n">
        <v>4</v>
      </c>
      <c r="K2239" t="n">
        <v>12</v>
      </c>
      <c r="L2239" t="n">
        <v>12</v>
      </c>
      <c r="M2239" t="n">
        <v>12</v>
      </c>
      <c r="N2239" t="n">
        <v>12</v>
      </c>
      <c r="O2239" t="n">
        <v>20</v>
      </c>
      <c r="P2239" t="n">
        <v>4</v>
      </c>
      <c r="R2239" s="9" t="n">
        <v>0.04</v>
      </c>
      <c r="S2239" s="10" t="inlineStr">
        <is>
          <t>SÍ — integrante</t>
        </is>
      </c>
      <c r="T2239" s="11" t="inlineStr">
        <is>
          <t>B · INTEGRANTE</t>
        </is>
      </c>
      <c r="U2239" s="11" t="inlineStr">
        <is>
          <t>DEL BANCO (se hereda)</t>
        </is>
      </c>
      <c r="V2239" s="11" t="n"/>
      <c r="W2239" s="12" t="n"/>
      <c r="X2239" s="12" t="n"/>
    </row>
    <row r="2240" ht="15" customHeight="1">
      <c r="C2240" t="inlineStr">
        <is>
          <t>NACIONALIDAD</t>
        </is>
      </c>
      <c r="D2240" t="inlineStr">
        <is>
          <t>F5</t>
        </is>
      </c>
      <c r="E2240" t="inlineStr">
        <is>
          <t>INHERENTE</t>
        </is>
      </c>
      <c r="F2240" t="inlineStr">
        <is>
          <t>ISLAS SOLOMON</t>
        </is>
      </c>
      <c r="G2240" t="inlineStr">
        <is>
          <t>SB</t>
        </is>
      </c>
      <c r="H2240" t="n">
        <v>3</v>
      </c>
      <c r="I2240" t="n">
        <v>3</v>
      </c>
      <c r="J2240" t="n">
        <v>4</v>
      </c>
      <c r="K2240" t="n">
        <v>12</v>
      </c>
      <c r="L2240" t="n">
        <v>12</v>
      </c>
      <c r="M2240" t="n">
        <v>12</v>
      </c>
      <c r="N2240" t="n">
        <v>12</v>
      </c>
      <c r="O2240" t="n">
        <v>20</v>
      </c>
      <c r="P2240" t="n">
        <v>4</v>
      </c>
      <c r="R2240" s="9" t="n">
        <v>0.04</v>
      </c>
      <c r="S2240" s="10" t="inlineStr">
        <is>
          <t>SÍ — integrante</t>
        </is>
      </c>
      <c r="T2240" s="11" t="inlineStr">
        <is>
          <t>B · INTEGRANTE</t>
        </is>
      </c>
      <c r="U2240" s="11" t="inlineStr">
        <is>
          <t>DEL BANCO (se hereda)</t>
        </is>
      </c>
      <c r="V2240" s="11" t="n"/>
      <c r="W2240" s="12" t="n"/>
      <c r="X2240" s="12" t="n"/>
    </row>
    <row r="2241" ht="15" customHeight="1">
      <c r="C2241" t="inlineStr">
        <is>
          <t>NACIONALIDAD</t>
        </is>
      </c>
      <c r="D2241" t="inlineStr">
        <is>
          <t>F5</t>
        </is>
      </c>
      <c r="E2241" t="inlineStr">
        <is>
          <t>INHERENTE</t>
        </is>
      </c>
      <c r="F2241" t="inlineStr">
        <is>
          <t>SEYCHELLES</t>
        </is>
      </c>
      <c r="G2241" t="inlineStr">
        <is>
          <t>SC</t>
        </is>
      </c>
      <c r="H2241" t="n">
        <v>3</v>
      </c>
      <c r="I2241" t="n">
        <v>3</v>
      </c>
      <c r="J2241" t="n">
        <v>4</v>
      </c>
      <c r="K2241" t="n">
        <v>12</v>
      </c>
      <c r="L2241" t="n">
        <v>12</v>
      </c>
      <c r="M2241" t="n">
        <v>12</v>
      </c>
      <c r="N2241" t="n">
        <v>12</v>
      </c>
      <c r="O2241" t="n">
        <v>20</v>
      </c>
      <c r="P2241" t="n">
        <v>4</v>
      </c>
      <c r="R2241" s="9" t="n">
        <v>0.04</v>
      </c>
      <c r="S2241" s="10" t="inlineStr">
        <is>
          <t>SÍ — integrante</t>
        </is>
      </c>
      <c r="T2241" s="11" t="inlineStr">
        <is>
          <t>B · INTEGRANTE</t>
        </is>
      </c>
      <c r="U2241" s="11" t="inlineStr">
        <is>
          <t>DEL BANCO (se hereda)</t>
        </is>
      </c>
      <c r="V2241" s="11" t="n"/>
      <c r="W2241" s="12" t="n"/>
      <c r="X2241" s="12" t="n"/>
    </row>
    <row r="2242" ht="15" customHeight="1">
      <c r="C2242" t="inlineStr">
        <is>
          <t>NACIONALIDAD</t>
        </is>
      </c>
      <c r="D2242" t="inlineStr">
        <is>
          <t>F5</t>
        </is>
      </c>
      <c r="E2242" t="inlineStr">
        <is>
          <t>INHERENTE</t>
        </is>
      </c>
      <c r="F2242" t="inlineStr">
        <is>
          <t>SUDAN</t>
        </is>
      </c>
      <c r="G2242" t="inlineStr">
        <is>
          <t>SD</t>
        </is>
      </c>
      <c r="H2242" t="n">
        <v>4</v>
      </c>
      <c r="I2242" t="n">
        <v>4</v>
      </c>
      <c r="J2242" t="n">
        <v>4</v>
      </c>
      <c r="K2242" t="n">
        <v>16</v>
      </c>
      <c r="L2242" t="n">
        <v>16</v>
      </c>
      <c r="M2242" t="n">
        <v>16</v>
      </c>
      <c r="N2242" t="n">
        <v>16</v>
      </c>
      <c r="O2242" t="n">
        <v>20</v>
      </c>
      <c r="P2242" t="n">
        <v>4</v>
      </c>
      <c r="R2242" s="9" t="n">
        <v>0.04</v>
      </c>
      <c r="S2242" s="10" t="inlineStr">
        <is>
          <t>SÍ — integrante</t>
        </is>
      </c>
      <c r="T2242" s="11" t="inlineStr">
        <is>
          <t>B · INTEGRANTE</t>
        </is>
      </c>
      <c r="U2242" s="11" t="inlineStr">
        <is>
          <t>DEL BANCO (se hereda)</t>
        </is>
      </c>
      <c r="V2242" s="11" t="n"/>
      <c r="W2242" s="12" t="n"/>
      <c r="X2242" s="12" t="n"/>
    </row>
    <row r="2243" ht="15" customHeight="1">
      <c r="C2243" t="inlineStr">
        <is>
          <t>NACIONALIDAD</t>
        </is>
      </c>
      <c r="D2243" t="inlineStr">
        <is>
          <t>F5</t>
        </is>
      </c>
      <c r="E2243" t="inlineStr">
        <is>
          <t>INHERENTE</t>
        </is>
      </c>
      <c r="F2243" t="inlineStr">
        <is>
          <t>SUECIA</t>
        </is>
      </c>
      <c r="G2243" t="inlineStr">
        <is>
          <t>SE</t>
        </is>
      </c>
      <c r="H2243" t="n">
        <v>1</v>
      </c>
      <c r="I2243" t="n">
        <v>1</v>
      </c>
      <c r="J2243" t="n">
        <v>4</v>
      </c>
      <c r="K2243" t="n">
        <v>4</v>
      </c>
      <c r="L2243" t="n">
        <v>4</v>
      </c>
      <c r="M2243" t="n">
        <v>4</v>
      </c>
      <c r="N2243" t="n">
        <v>4</v>
      </c>
      <c r="O2243" t="n">
        <v>20</v>
      </c>
      <c r="P2243" t="n">
        <v>4</v>
      </c>
      <c r="R2243" s="9" t="n">
        <v>0.04</v>
      </c>
      <c r="S2243" s="10" t="inlineStr">
        <is>
          <t>SÍ — integrante</t>
        </is>
      </c>
      <c r="T2243" s="11" t="inlineStr">
        <is>
          <t>B · INTEGRANTE</t>
        </is>
      </c>
      <c r="U2243" s="11" t="inlineStr">
        <is>
          <t>DEL BANCO (se hereda)</t>
        </is>
      </c>
      <c r="V2243" s="11" t="n"/>
      <c r="W2243" s="12" t="n"/>
      <c r="X2243" s="12" t="n"/>
    </row>
    <row r="2244" ht="15" customHeight="1">
      <c r="C2244" t="inlineStr">
        <is>
          <t>NACIONALIDAD</t>
        </is>
      </c>
      <c r="D2244" t="inlineStr">
        <is>
          <t>F5</t>
        </is>
      </c>
      <c r="E2244" t="inlineStr">
        <is>
          <t>INHERENTE</t>
        </is>
      </c>
      <c r="F2244" t="inlineStr">
        <is>
          <t>SINGAPUR</t>
        </is>
      </c>
      <c r="G2244" t="inlineStr">
        <is>
          <t>SG</t>
        </is>
      </c>
      <c r="H2244" t="n">
        <v>3</v>
      </c>
      <c r="I2244" t="n">
        <v>3</v>
      </c>
      <c r="J2244" t="n">
        <v>4</v>
      </c>
      <c r="K2244" t="n">
        <v>12</v>
      </c>
      <c r="L2244" t="n">
        <v>12</v>
      </c>
      <c r="M2244" t="n">
        <v>12</v>
      </c>
      <c r="N2244" t="n">
        <v>12</v>
      </c>
      <c r="O2244" t="n">
        <v>20</v>
      </c>
      <c r="P2244" t="n">
        <v>4</v>
      </c>
      <c r="R2244" s="9" t="n">
        <v>0.04</v>
      </c>
      <c r="S2244" s="10" t="inlineStr">
        <is>
          <t>SÍ — integrante</t>
        </is>
      </c>
      <c r="T2244" s="11" t="inlineStr">
        <is>
          <t>B · INTEGRANTE</t>
        </is>
      </c>
      <c r="U2244" s="11" t="inlineStr">
        <is>
          <t>DEL BANCO (se hereda)</t>
        </is>
      </c>
      <c r="V2244" s="11" t="n"/>
      <c r="W2244" s="12" t="n"/>
      <c r="X2244" s="12" t="n"/>
    </row>
    <row r="2245" ht="15" customHeight="1">
      <c r="C2245" t="inlineStr">
        <is>
          <t>NACIONALIDAD</t>
        </is>
      </c>
      <c r="D2245" t="inlineStr">
        <is>
          <t>F5</t>
        </is>
      </c>
      <c r="E2245" t="inlineStr">
        <is>
          <t>INHERENTE</t>
        </is>
      </c>
      <c r="F2245" t="inlineStr">
        <is>
          <t>ST ELENA, ASCENSION</t>
        </is>
      </c>
      <c r="G2245" t="inlineStr">
        <is>
          <t>SH</t>
        </is>
      </c>
      <c r="H2245" t="n">
        <v>1</v>
      </c>
      <c r="I2245" t="n">
        <v>1</v>
      </c>
      <c r="J2245" t="n">
        <v>4</v>
      </c>
      <c r="K2245" t="n">
        <v>4</v>
      </c>
      <c r="L2245" t="n">
        <v>4</v>
      </c>
      <c r="M2245" t="n">
        <v>4</v>
      </c>
      <c r="N2245" t="n">
        <v>4</v>
      </c>
      <c r="O2245" t="n">
        <v>20</v>
      </c>
      <c r="P2245" t="n">
        <v>4</v>
      </c>
      <c r="R2245" s="9" t="n">
        <v>0.04</v>
      </c>
      <c r="S2245" s="10" t="inlineStr">
        <is>
          <t>SÍ — integrante</t>
        </is>
      </c>
      <c r="T2245" s="11" t="inlineStr">
        <is>
          <t>B · INTEGRANTE</t>
        </is>
      </c>
      <c r="U2245" s="11" t="inlineStr">
        <is>
          <t>DEL BANCO (se hereda)</t>
        </is>
      </c>
      <c r="V2245" s="11" t="n"/>
      <c r="W2245" s="12" t="n"/>
      <c r="X2245" s="12" t="n"/>
    </row>
    <row r="2246" ht="15" customHeight="1">
      <c r="C2246" t="inlineStr">
        <is>
          <t>NACIONALIDAD</t>
        </is>
      </c>
      <c r="D2246" t="inlineStr">
        <is>
          <t>F5</t>
        </is>
      </c>
      <c r="E2246" t="inlineStr">
        <is>
          <t>INHERENTE</t>
        </is>
      </c>
      <c r="F2246" t="inlineStr">
        <is>
          <t>SLOVENIA</t>
        </is>
      </c>
      <c r="G2246" t="inlineStr">
        <is>
          <t>SI</t>
        </is>
      </c>
      <c r="H2246" t="n">
        <v>1</v>
      </c>
      <c r="I2246" t="n">
        <v>1</v>
      </c>
      <c r="J2246" t="n">
        <v>4</v>
      </c>
      <c r="K2246" t="n">
        <v>4</v>
      </c>
      <c r="L2246" t="n">
        <v>4</v>
      </c>
      <c r="M2246" t="n">
        <v>4</v>
      </c>
      <c r="N2246" t="n">
        <v>4</v>
      </c>
      <c r="O2246" t="n">
        <v>20</v>
      </c>
      <c r="P2246" t="n">
        <v>4</v>
      </c>
      <c r="R2246" s="9" t="n">
        <v>0.04</v>
      </c>
      <c r="S2246" s="10" t="inlineStr">
        <is>
          <t>SÍ — integrante</t>
        </is>
      </c>
      <c r="T2246" s="11" t="inlineStr">
        <is>
          <t>B · INTEGRANTE</t>
        </is>
      </c>
      <c r="U2246" s="11" t="inlineStr">
        <is>
          <t>DEL BANCO (se hereda)</t>
        </is>
      </c>
      <c r="V2246" s="11" t="n"/>
      <c r="W2246" s="12" t="n"/>
      <c r="X2246" s="12" t="n"/>
    </row>
    <row r="2247" ht="15" customHeight="1">
      <c r="C2247" t="inlineStr">
        <is>
          <t>NACIONALIDAD</t>
        </is>
      </c>
      <c r="D2247" t="inlineStr">
        <is>
          <t>F5</t>
        </is>
      </c>
      <c r="E2247" t="inlineStr">
        <is>
          <t>INHERENTE</t>
        </is>
      </c>
      <c r="F2247" t="inlineStr">
        <is>
          <t>SVALBARD</t>
        </is>
      </c>
      <c r="G2247" t="inlineStr">
        <is>
          <t>SJ</t>
        </is>
      </c>
      <c r="H2247" t="n">
        <v>1</v>
      </c>
      <c r="I2247" t="n">
        <v>1</v>
      </c>
      <c r="J2247" t="n">
        <v>4</v>
      </c>
      <c r="K2247" t="n">
        <v>4</v>
      </c>
      <c r="L2247" t="n">
        <v>4</v>
      </c>
      <c r="M2247" t="n">
        <v>4</v>
      </c>
      <c r="N2247" t="n">
        <v>4</v>
      </c>
      <c r="O2247" t="n">
        <v>20</v>
      </c>
      <c r="P2247" t="n">
        <v>4</v>
      </c>
      <c r="R2247" s="9" t="n">
        <v>0.04</v>
      </c>
      <c r="S2247" s="10" t="inlineStr">
        <is>
          <t>SÍ — integrante</t>
        </is>
      </c>
      <c r="T2247" s="11" t="inlineStr">
        <is>
          <t>B · INTEGRANTE</t>
        </is>
      </c>
      <c r="U2247" s="11" t="inlineStr">
        <is>
          <t>DEL BANCO (se hereda)</t>
        </is>
      </c>
      <c r="V2247" s="11" t="n"/>
      <c r="W2247" s="12" t="n"/>
      <c r="X2247" s="12" t="n"/>
    </row>
    <row r="2248" ht="15" customHeight="1">
      <c r="C2248" t="inlineStr">
        <is>
          <t>NACIONALIDAD</t>
        </is>
      </c>
      <c r="D2248" t="inlineStr">
        <is>
          <t>F5</t>
        </is>
      </c>
      <c r="E2248" t="inlineStr">
        <is>
          <t>INHERENTE</t>
        </is>
      </c>
      <c r="F2248" t="inlineStr">
        <is>
          <t>SLOVAKIA</t>
        </is>
      </c>
      <c r="G2248" t="inlineStr">
        <is>
          <t>SK</t>
        </is>
      </c>
      <c r="H2248" t="n">
        <v>1</v>
      </c>
      <c r="I2248" t="n">
        <v>1</v>
      </c>
      <c r="J2248" t="n">
        <v>4</v>
      </c>
      <c r="K2248" t="n">
        <v>4</v>
      </c>
      <c r="L2248" t="n">
        <v>4</v>
      </c>
      <c r="M2248" t="n">
        <v>4</v>
      </c>
      <c r="N2248" t="n">
        <v>4</v>
      </c>
      <c r="O2248" t="n">
        <v>20</v>
      </c>
      <c r="P2248" t="n">
        <v>4</v>
      </c>
      <c r="R2248" s="9" t="n">
        <v>0.04</v>
      </c>
      <c r="S2248" s="10" t="inlineStr">
        <is>
          <t>SÍ — integrante</t>
        </is>
      </c>
      <c r="T2248" s="11" t="inlineStr">
        <is>
          <t>B · INTEGRANTE</t>
        </is>
      </c>
      <c r="U2248" s="11" t="inlineStr">
        <is>
          <t>DEL BANCO (se hereda)</t>
        </is>
      </c>
      <c r="V2248" s="11" t="n"/>
      <c r="W2248" s="12" t="n"/>
      <c r="X2248" s="12" t="n"/>
    </row>
    <row r="2249" ht="15" customHeight="1">
      <c r="C2249" t="inlineStr">
        <is>
          <t>NACIONALIDAD</t>
        </is>
      </c>
      <c r="D2249" t="inlineStr">
        <is>
          <t>F5</t>
        </is>
      </c>
      <c r="E2249" t="inlineStr">
        <is>
          <t>INHERENTE</t>
        </is>
      </c>
      <c r="F2249" t="inlineStr">
        <is>
          <t>SIERRA LEONA</t>
        </is>
      </c>
      <c r="G2249" t="inlineStr">
        <is>
          <t>SL</t>
        </is>
      </c>
      <c r="H2249" t="n">
        <v>3</v>
      </c>
      <c r="I2249" t="n">
        <v>3</v>
      </c>
      <c r="J2249" t="n">
        <v>4</v>
      </c>
      <c r="K2249" t="n">
        <v>12</v>
      </c>
      <c r="L2249" t="n">
        <v>12</v>
      </c>
      <c r="M2249" t="n">
        <v>12</v>
      </c>
      <c r="N2249" t="n">
        <v>12</v>
      </c>
      <c r="O2249" t="n">
        <v>20</v>
      </c>
      <c r="P2249" t="n">
        <v>4</v>
      </c>
      <c r="R2249" s="9" t="n">
        <v>0.04</v>
      </c>
      <c r="S2249" s="10" t="inlineStr">
        <is>
          <t>SÍ — integrante</t>
        </is>
      </c>
      <c r="T2249" s="11" t="inlineStr">
        <is>
          <t>B · INTEGRANTE</t>
        </is>
      </c>
      <c r="U2249" s="11" t="inlineStr">
        <is>
          <t>DEL BANCO (se hereda)</t>
        </is>
      </c>
      <c r="V2249" s="11" t="n"/>
      <c r="W2249" s="12" t="n"/>
      <c r="X2249" s="12" t="n"/>
    </row>
    <row r="2250" ht="15" customHeight="1">
      <c r="C2250" t="inlineStr">
        <is>
          <t>NACIONALIDAD</t>
        </is>
      </c>
      <c r="D2250" t="inlineStr">
        <is>
          <t>F5</t>
        </is>
      </c>
      <c r="E2250" t="inlineStr">
        <is>
          <t>INHERENTE</t>
        </is>
      </c>
      <c r="F2250" t="inlineStr">
        <is>
          <t>SAN MARINO</t>
        </is>
      </c>
      <c r="G2250" t="inlineStr">
        <is>
          <t>SM</t>
        </is>
      </c>
      <c r="H2250" t="n">
        <v>1</v>
      </c>
      <c r="I2250" t="n">
        <v>1</v>
      </c>
      <c r="J2250" t="n">
        <v>4</v>
      </c>
      <c r="K2250" t="n">
        <v>4</v>
      </c>
      <c r="L2250" t="n">
        <v>4</v>
      </c>
      <c r="M2250" t="n">
        <v>4</v>
      </c>
      <c r="N2250" t="n">
        <v>4</v>
      </c>
      <c r="O2250" t="n">
        <v>20</v>
      </c>
      <c r="P2250" t="n">
        <v>4</v>
      </c>
      <c r="R2250" s="9" t="n">
        <v>0.04</v>
      </c>
      <c r="S2250" s="10" t="inlineStr">
        <is>
          <t>SÍ — integrante</t>
        </is>
      </c>
      <c r="T2250" s="11" t="inlineStr">
        <is>
          <t>B · INTEGRANTE</t>
        </is>
      </c>
      <c r="U2250" s="11" t="inlineStr">
        <is>
          <t>DEL BANCO (se hereda)</t>
        </is>
      </c>
      <c r="V2250" s="11" t="n"/>
      <c r="W2250" s="12" t="n"/>
      <c r="X2250" s="12" t="n"/>
    </row>
    <row r="2251" ht="15" customHeight="1">
      <c r="C2251" t="inlineStr">
        <is>
          <t>NACIONALIDAD</t>
        </is>
      </c>
      <c r="D2251" t="inlineStr">
        <is>
          <t>F5</t>
        </is>
      </c>
      <c r="E2251" t="inlineStr">
        <is>
          <t>INHERENTE</t>
        </is>
      </c>
      <c r="F2251" t="inlineStr">
        <is>
          <t>SENEGAL</t>
        </is>
      </c>
      <c r="G2251" t="inlineStr">
        <is>
          <t>SN</t>
        </is>
      </c>
      <c r="H2251" t="n">
        <v>2</v>
      </c>
      <c r="I2251" t="n">
        <v>2</v>
      </c>
      <c r="J2251" t="n">
        <v>4</v>
      </c>
      <c r="K2251" t="n">
        <v>8</v>
      </c>
      <c r="L2251" t="n">
        <v>8</v>
      </c>
      <c r="M2251" t="n">
        <v>8</v>
      </c>
      <c r="N2251" t="n">
        <v>8</v>
      </c>
      <c r="O2251" t="n">
        <v>20</v>
      </c>
      <c r="P2251" t="n">
        <v>4</v>
      </c>
      <c r="R2251" s="9" t="n">
        <v>0.04</v>
      </c>
      <c r="S2251" s="10" t="inlineStr">
        <is>
          <t>SÍ — integrante</t>
        </is>
      </c>
      <c r="T2251" s="11" t="inlineStr">
        <is>
          <t>B · INTEGRANTE</t>
        </is>
      </c>
      <c r="U2251" s="11" t="inlineStr">
        <is>
          <t>DEL BANCO (se hereda)</t>
        </is>
      </c>
      <c r="V2251" s="11" t="n"/>
      <c r="W2251" s="12" t="n"/>
      <c r="X2251" s="12" t="n"/>
    </row>
    <row r="2252" ht="15" customHeight="1">
      <c r="C2252" t="inlineStr">
        <is>
          <t>NACIONALIDAD</t>
        </is>
      </c>
      <c r="D2252" t="inlineStr">
        <is>
          <t>F5</t>
        </is>
      </c>
      <c r="E2252" t="inlineStr">
        <is>
          <t>INHERENTE</t>
        </is>
      </c>
      <c r="F2252" t="inlineStr">
        <is>
          <t>SOMALIA</t>
        </is>
      </c>
      <c r="G2252" t="inlineStr">
        <is>
          <t>SO</t>
        </is>
      </c>
      <c r="H2252" t="n">
        <v>4</v>
      </c>
      <c r="I2252" t="n">
        <v>4</v>
      </c>
      <c r="J2252" t="n">
        <v>4</v>
      </c>
      <c r="K2252" t="n">
        <v>16</v>
      </c>
      <c r="L2252" t="n">
        <v>16</v>
      </c>
      <c r="M2252" t="n">
        <v>16</v>
      </c>
      <c r="N2252" t="n">
        <v>16</v>
      </c>
      <c r="O2252" t="n">
        <v>20</v>
      </c>
      <c r="P2252" t="n">
        <v>4</v>
      </c>
      <c r="R2252" s="9" t="n">
        <v>0.04</v>
      </c>
      <c r="S2252" s="10" t="inlineStr">
        <is>
          <t>SÍ — integrante</t>
        </is>
      </c>
      <c r="T2252" s="11" t="inlineStr">
        <is>
          <t>B · INTEGRANTE</t>
        </is>
      </c>
      <c r="U2252" s="11" t="inlineStr">
        <is>
          <t>DEL BANCO (se hereda)</t>
        </is>
      </c>
      <c r="V2252" s="11" t="n"/>
      <c r="W2252" s="12" t="n"/>
      <c r="X2252" s="12" t="n"/>
    </row>
    <row r="2253" ht="15" customHeight="1">
      <c r="C2253" t="inlineStr">
        <is>
          <t>NACIONALIDAD</t>
        </is>
      </c>
      <c r="D2253" t="inlineStr">
        <is>
          <t>F5</t>
        </is>
      </c>
      <c r="E2253" t="inlineStr">
        <is>
          <t>INHERENTE</t>
        </is>
      </c>
      <c r="F2253" t="inlineStr">
        <is>
          <t>SURINAM</t>
        </is>
      </c>
      <c r="G2253" t="inlineStr">
        <is>
          <t>SR</t>
        </is>
      </c>
      <c r="H2253" t="n">
        <v>3</v>
      </c>
      <c r="I2253" t="n">
        <v>3</v>
      </c>
      <c r="J2253" t="n">
        <v>4</v>
      </c>
      <c r="K2253" t="n">
        <v>12</v>
      </c>
      <c r="L2253" t="n">
        <v>12</v>
      </c>
      <c r="M2253" t="n">
        <v>12</v>
      </c>
      <c r="N2253" t="n">
        <v>12</v>
      </c>
      <c r="O2253" t="n">
        <v>20</v>
      </c>
      <c r="P2253" t="n">
        <v>4</v>
      </c>
      <c r="R2253" s="9" t="n">
        <v>0.04</v>
      </c>
      <c r="S2253" s="10" t="inlineStr">
        <is>
          <t>SÍ — integrante</t>
        </is>
      </c>
      <c r="T2253" s="11" t="inlineStr">
        <is>
          <t>B · INTEGRANTE</t>
        </is>
      </c>
      <c r="U2253" s="11" t="inlineStr">
        <is>
          <t>DEL BANCO (se hereda)</t>
        </is>
      </c>
      <c r="V2253" s="11" t="n"/>
      <c r="W2253" s="12" t="n"/>
      <c r="X2253" s="12" t="n"/>
    </row>
    <row r="2254" ht="15" customHeight="1">
      <c r="C2254" t="inlineStr">
        <is>
          <t>NACIONALIDAD</t>
        </is>
      </c>
      <c r="D2254" t="inlineStr">
        <is>
          <t>F5</t>
        </is>
      </c>
      <c r="E2254" t="inlineStr">
        <is>
          <t>INHERENTE</t>
        </is>
      </c>
      <c r="F2254" t="inlineStr">
        <is>
          <t>SANTO TOME</t>
        </is>
      </c>
      <c r="G2254" t="inlineStr">
        <is>
          <t>ST</t>
        </is>
      </c>
      <c r="H2254" t="n">
        <v>2</v>
      </c>
      <c r="I2254" t="n">
        <v>2</v>
      </c>
      <c r="J2254" t="n">
        <v>4</v>
      </c>
      <c r="K2254" t="n">
        <v>8</v>
      </c>
      <c r="L2254" t="n">
        <v>8</v>
      </c>
      <c r="M2254" t="n">
        <v>8</v>
      </c>
      <c r="N2254" t="n">
        <v>8</v>
      </c>
      <c r="O2254" t="n">
        <v>20</v>
      </c>
      <c r="P2254" t="n">
        <v>4</v>
      </c>
      <c r="R2254" s="9" t="n">
        <v>0.04</v>
      </c>
      <c r="S2254" s="10" t="inlineStr">
        <is>
          <t>SÍ — integrante</t>
        </is>
      </c>
      <c r="T2254" s="11" t="inlineStr">
        <is>
          <t>B · INTEGRANTE</t>
        </is>
      </c>
      <c r="U2254" s="11" t="inlineStr">
        <is>
          <t>DEL BANCO (se hereda)</t>
        </is>
      </c>
      <c r="V2254" s="11" t="n"/>
      <c r="W2254" s="12" t="n"/>
      <c r="X2254" s="12" t="n"/>
    </row>
    <row r="2255" ht="15" customHeight="1">
      <c r="C2255" t="inlineStr">
        <is>
          <t>NACIONALIDAD</t>
        </is>
      </c>
      <c r="D2255" t="inlineStr">
        <is>
          <t>F5</t>
        </is>
      </c>
      <c r="E2255" t="inlineStr">
        <is>
          <t>INHERENTE</t>
        </is>
      </c>
      <c r="F2255" t="inlineStr">
        <is>
          <t>EL SALVADOR</t>
        </is>
      </c>
      <c r="G2255" t="inlineStr">
        <is>
          <t>SV</t>
        </is>
      </c>
      <c r="H2255" t="n">
        <v>3</v>
      </c>
      <c r="I2255" t="n">
        <v>3</v>
      </c>
      <c r="J2255" t="n">
        <v>4</v>
      </c>
      <c r="K2255" t="n">
        <v>12</v>
      </c>
      <c r="L2255" t="n">
        <v>12</v>
      </c>
      <c r="M2255" t="n">
        <v>12</v>
      </c>
      <c r="N2255" t="n">
        <v>12</v>
      </c>
      <c r="O2255" t="n">
        <v>20</v>
      </c>
      <c r="P2255" t="n">
        <v>4</v>
      </c>
      <c r="R2255" s="9" t="n">
        <v>0.04</v>
      </c>
      <c r="S2255" s="10" t="inlineStr">
        <is>
          <t>SÍ — integrante</t>
        </is>
      </c>
      <c r="T2255" s="11" t="inlineStr">
        <is>
          <t>B · INTEGRANTE</t>
        </is>
      </c>
      <c r="U2255" s="11" t="inlineStr">
        <is>
          <t>DEL BANCO (se hereda)</t>
        </is>
      </c>
      <c r="V2255" s="11" t="n"/>
      <c r="W2255" s="12" t="n"/>
      <c r="X2255" s="12" t="n"/>
    </row>
    <row r="2256" ht="15" customHeight="1">
      <c r="C2256" t="inlineStr">
        <is>
          <t>NACIONALIDAD</t>
        </is>
      </c>
      <c r="D2256" t="inlineStr">
        <is>
          <t>F5</t>
        </is>
      </c>
      <c r="E2256" t="inlineStr">
        <is>
          <t>INHERENTE</t>
        </is>
      </c>
      <c r="F2256" t="inlineStr">
        <is>
          <t>SIRIA</t>
        </is>
      </c>
      <c r="G2256" t="inlineStr">
        <is>
          <t>SY</t>
        </is>
      </c>
      <c r="H2256" t="n">
        <v>4</v>
      </c>
      <c r="I2256" t="n">
        <v>4</v>
      </c>
      <c r="J2256" t="n">
        <v>4</v>
      </c>
      <c r="K2256" t="n">
        <v>16</v>
      </c>
      <c r="L2256" t="n">
        <v>16</v>
      </c>
      <c r="M2256" t="n">
        <v>16</v>
      </c>
      <c r="N2256" t="n">
        <v>16</v>
      </c>
      <c r="O2256" t="n">
        <v>20</v>
      </c>
      <c r="P2256" t="n">
        <v>4</v>
      </c>
      <c r="Q2256" t="inlineStr">
        <is>
          <t>DETERMINANTE</t>
        </is>
      </c>
      <c r="R2256" s="9" t="n">
        <v>0.04</v>
      </c>
      <c r="S2256" s="10" t="inlineStr">
        <is>
          <t>SÍ — integrante</t>
        </is>
      </c>
      <c r="T2256" s="11" t="inlineStr">
        <is>
          <t>B · INTEGRANTE</t>
        </is>
      </c>
      <c r="U2256" s="11" t="inlineStr">
        <is>
          <t>DEL BANCO (se hereda)</t>
        </is>
      </c>
      <c r="V2256" s="11" t="n"/>
      <c r="W2256" s="12" t="n"/>
      <c r="X2256" s="12" t="n"/>
    </row>
    <row r="2257" ht="15" customHeight="1">
      <c r="C2257" t="inlineStr">
        <is>
          <t>NACIONALIDAD</t>
        </is>
      </c>
      <c r="D2257" t="inlineStr">
        <is>
          <t>F5</t>
        </is>
      </c>
      <c r="E2257" t="inlineStr">
        <is>
          <t>INHERENTE</t>
        </is>
      </c>
      <c r="F2257" t="inlineStr">
        <is>
          <t>SWAZILANDIA</t>
        </is>
      </c>
      <c r="G2257" t="inlineStr">
        <is>
          <t>SZ</t>
        </is>
      </c>
      <c r="H2257" t="n">
        <v>4</v>
      </c>
      <c r="I2257" t="n">
        <v>4</v>
      </c>
      <c r="J2257" t="n">
        <v>4</v>
      </c>
      <c r="K2257" t="n">
        <v>16</v>
      </c>
      <c r="L2257" t="n">
        <v>16</v>
      </c>
      <c r="M2257" t="n">
        <v>16</v>
      </c>
      <c r="N2257" t="n">
        <v>16</v>
      </c>
      <c r="O2257" t="n">
        <v>20</v>
      </c>
      <c r="P2257" t="n">
        <v>4</v>
      </c>
      <c r="R2257" s="9" t="n">
        <v>0.04</v>
      </c>
      <c r="S2257" s="10" t="inlineStr">
        <is>
          <t>SÍ — integrante</t>
        </is>
      </c>
      <c r="T2257" s="11" t="inlineStr">
        <is>
          <t>B · INTEGRANTE</t>
        </is>
      </c>
      <c r="U2257" s="11" t="inlineStr">
        <is>
          <t>DEL BANCO (se hereda)</t>
        </is>
      </c>
      <c r="V2257" s="11" t="n"/>
      <c r="W2257" s="12" t="n"/>
      <c r="X2257" s="12" t="n"/>
    </row>
    <row r="2258" ht="15" customHeight="1">
      <c r="C2258" t="inlineStr">
        <is>
          <t>NACIONALIDAD</t>
        </is>
      </c>
      <c r="D2258" t="inlineStr">
        <is>
          <t>F5</t>
        </is>
      </c>
      <c r="E2258" t="inlineStr">
        <is>
          <t>INHERENTE</t>
        </is>
      </c>
      <c r="F2258" t="inlineStr">
        <is>
          <t>ISLAS TURCAS Y CAICO</t>
        </is>
      </c>
      <c r="G2258" t="inlineStr">
        <is>
          <t>TC</t>
        </is>
      </c>
      <c r="H2258" t="n">
        <v>3</v>
      </c>
      <c r="I2258" t="n">
        <v>3</v>
      </c>
      <c r="J2258" t="n">
        <v>4</v>
      </c>
      <c r="K2258" t="n">
        <v>12</v>
      </c>
      <c r="L2258" t="n">
        <v>12</v>
      </c>
      <c r="M2258" t="n">
        <v>12</v>
      </c>
      <c r="N2258" t="n">
        <v>12</v>
      </c>
      <c r="O2258" t="n">
        <v>20</v>
      </c>
      <c r="P2258" t="n">
        <v>4</v>
      </c>
      <c r="R2258" s="9" t="n">
        <v>0.04</v>
      </c>
      <c r="S2258" s="10" t="inlineStr">
        <is>
          <t>SÍ — integrante</t>
        </is>
      </c>
      <c r="T2258" s="11" t="inlineStr">
        <is>
          <t>B · INTEGRANTE</t>
        </is>
      </c>
      <c r="U2258" s="11" t="inlineStr">
        <is>
          <t>DEL BANCO (se hereda)</t>
        </is>
      </c>
      <c r="V2258" s="11" t="n"/>
      <c r="W2258" s="12" t="n"/>
      <c r="X2258" s="12" t="n"/>
    </row>
    <row r="2259" ht="15" customHeight="1">
      <c r="C2259" t="inlineStr">
        <is>
          <t>NACIONALIDAD</t>
        </is>
      </c>
      <c r="D2259" t="inlineStr">
        <is>
          <t>F5</t>
        </is>
      </c>
      <c r="E2259" t="inlineStr">
        <is>
          <t>INHERENTE</t>
        </is>
      </c>
      <c r="F2259" t="inlineStr">
        <is>
          <t>CHAD</t>
        </is>
      </c>
      <c r="G2259" t="inlineStr">
        <is>
          <t>TD</t>
        </is>
      </c>
      <c r="H2259" t="n">
        <v>4</v>
      </c>
      <c r="I2259" t="n">
        <v>4</v>
      </c>
      <c r="J2259" t="n">
        <v>4</v>
      </c>
      <c r="K2259" t="n">
        <v>16</v>
      </c>
      <c r="L2259" t="n">
        <v>16</v>
      </c>
      <c r="M2259" t="n">
        <v>16</v>
      </c>
      <c r="N2259" t="n">
        <v>16</v>
      </c>
      <c r="O2259" t="n">
        <v>20</v>
      </c>
      <c r="P2259" t="n">
        <v>4</v>
      </c>
      <c r="R2259" s="9" t="n">
        <v>0.04</v>
      </c>
      <c r="S2259" s="10" t="inlineStr">
        <is>
          <t>SÍ — integrante</t>
        </is>
      </c>
      <c r="T2259" s="11" t="inlineStr">
        <is>
          <t>B · INTEGRANTE</t>
        </is>
      </c>
      <c r="U2259" s="11" t="inlineStr">
        <is>
          <t>DEL BANCO (se hereda)</t>
        </is>
      </c>
      <c r="V2259" s="11" t="n"/>
      <c r="W2259" s="12" t="n"/>
      <c r="X2259" s="12" t="n"/>
    </row>
    <row r="2260" ht="15" customHeight="1">
      <c r="C2260" t="inlineStr">
        <is>
          <t>NACIONALIDAD</t>
        </is>
      </c>
      <c r="D2260" t="inlineStr">
        <is>
          <t>F5</t>
        </is>
      </c>
      <c r="E2260" t="inlineStr">
        <is>
          <t>INHERENTE</t>
        </is>
      </c>
      <c r="F2260" t="inlineStr">
        <is>
          <t>TERRIT AUS FRAN</t>
        </is>
      </c>
      <c r="G2260" t="inlineStr">
        <is>
          <t>TF</t>
        </is>
      </c>
      <c r="H2260" t="n">
        <v>1</v>
      </c>
      <c r="I2260" t="n">
        <v>1</v>
      </c>
      <c r="J2260" t="n">
        <v>4</v>
      </c>
      <c r="K2260" t="n">
        <v>4</v>
      </c>
      <c r="L2260" t="n">
        <v>4</v>
      </c>
      <c r="M2260" t="n">
        <v>4</v>
      </c>
      <c r="N2260" t="n">
        <v>4</v>
      </c>
      <c r="O2260" t="n">
        <v>20</v>
      </c>
      <c r="P2260" t="n">
        <v>4</v>
      </c>
      <c r="R2260" s="9" t="n">
        <v>0.04</v>
      </c>
      <c r="S2260" s="10" t="inlineStr">
        <is>
          <t>SÍ — integrante</t>
        </is>
      </c>
      <c r="T2260" s="11" t="inlineStr">
        <is>
          <t>B · INTEGRANTE</t>
        </is>
      </c>
      <c r="U2260" s="11" t="inlineStr">
        <is>
          <t>DEL BANCO (se hereda)</t>
        </is>
      </c>
      <c r="V2260" s="11" t="n"/>
      <c r="W2260" s="12" t="n"/>
      <c r="X2260" s="12" t="n"/>
    </row>
    <row r="2261" ht="15" customHeight="1">
      <c r="C2261" t="inlineStr">
        <is>
          <t>NACIONALIDAD</t>
        </is>
      </c>
      <c r="D2261" t="inlineStr">
        <is>
          <t>F5</t>
        </is>
      </c>
      <c r="E2261" t="inlineStr">
        <is>
          <t>INHERENTE</t>
        </is>
      </c>
      <c r="F2261" t="inlineStr">
        <is>
          <t>TOGO</t>
        </is>
      </c>
      <c r="G2261" t="inlineStr">
        <is>
          <t>TG</t>
        </is>
      </c>
      <c r="H2261" t="n">
        <v>3</v>
      </c>
      <c r="I2261" t="n">
        <v>3</v>
      </c>
      <c r="J2261" t="n">
        <v>4</v>
      </c>
      <c r="K2261" t="n">
        <v>12</v>
      </c>
      <c r="L2261" t="n">
        <v>12</v>
      </c>
      <c r="M2261" t="n">
        <v>12</v>
      </c>
      <c r="N2261" t="n">
        <v>12</v>
      </c>
      <c r="O2261" t="n">
        <v>20</v>
      </c>
      <c r="P2261" t="n">
        <v>4</v>
      </c>
      <c r="R2261" s="9" t="n">
        <v>0.04</v>
      </c>
      <c r="S2261" s="10" t="inlineStr">
        <is>
          <t>SÍ — integrante</t>
        </is>
      </c>
      <c r="T2261" s="11" t="inlineStr">
        <is>
          <t>B · INTEGRANTE</t>
        </is>
      </c>
      <c r="U2261" s="11" t="inlineStr">
        <is>
          <t>DEL BANCO (se hereda)</t>
        </is>
      </c>
      <c r="V2261" s="11" t="n"/>
      <c r="W2261" s="12" t="n"/>
      <c r="X2261" s="12" t="n"/>
    </row>
    <row r="2262" ht="15" customHeight="1">
      <c r="C2262" t="inlineStr">
        <is>
          <t>NACIONALIDAD</t>
        </is>
      </c>
      <c r="D2262" t="inlineStr">
        <is>
          <t>F5</t>
        </is>
      </c>
      <c r="E2262" t="inlineStr">
        <is>
          <t>INHERENTE</t>
        </is>
      </c>
      <c r="F2262" t="inlineStr">
        <is>
          <t>TAILANDIA</t>
        </is>
      </c>
      <c r="G2262" t="inlineStr">
        <is>
          <t>TH</t>
        </is>
      </c>
      <c r="H2262" t="n">
        <v>3</v>
      </c>
      <c r="I2262" t="n">
        <v>3</v>
      </c>
      <c r="J2262" t="n">
        <v>4</v>
      </c>
      <c r="K2262" t="n">
        <v>12</v>
      </c>
      <c r="L2262" t="n">
        <v>12</v>
      </c>
      <c r="M2262" t="n">
        <v>12</v>
      </c>
      <c r="N2262" t="n">
        <v>12</v>
      </c>
      <c r="O2262" t="n">
        <v>20</v>
      </c>
      <c r="P2262" t="n">
        <v>4</v>
      </c>
      <c r="R2262" s="9" t="n">
        <v>0.04</v>
      </c>
      <c r="S2262" s="10" t="inlineStr">
        <is>
          <t>SÍ — integrante</t>
        </is>
      </c>
      <c r="T2262" s="11" t="inlineStr">
        <is>
          <t>B · INTEGRANTE</t>
        </is>
      </c>
      <c r="U2262" s="11" t="inlineStr">
        <is>
          <t>DEL BANCO (se hereda)</t>
        </is>
      </c>
      <c r="V2262" s="11" t="n"/>
      <c r="W2262" s="12" t="n"/>
      <c r="X2262" s="12" t="n"/>
    </row>
    <row r="2263" ht="15" customHeight="1">
      <c r="C2263" t="inlineStr">
        <is>
          <t>NACIONALIDAD</t>
        </is>
      </c>
      <c r="D2263" t="inlineStr">
        <is>
          <t>F5</t>
        </is>
      </c>
      <c r="E2263" t="inlineStr">
        <is>
          <t>INHERENTE</t>
        </is>
      </c>
      <c r="F2263" t="inlineStr">
        <is>
          <t>TAJIKISTAN</t>
        </is>
      </c>
      <c r="G2263" t="inlineStr">
        <is>
          <t>TJ</t>
        </is>
      </c>
      <c r="H2263" t="n">
        <v>3</v>
      </c>
      <c r="I2263" t="n">
        <v>3</v>
      </c>
      <c r="J2263" t="n">
        <v>4</v>
      </c>
      <c r="K2263" t="n">
        <v>12</v>
      </c>
      <c r="L2263" t="n">
        <v>12</v>
      </c>
      <c r="M2263" t="n">
        <v>12</v>
      </c>
      <c r="N2263" t="n">
        <v>12</v>
      </c>
      <c r="O2263" t="n">
        <v>20</v>
      </c>
      <c r="P2263" t="n">
        <v>4</v>
      </c>
      <c r="R2263" s="9" t="n">
        <v>0.04</v>
      </c>
      <c r="S2263" s="10" t="inlineStr">
        <is>
          <t>SÍ — integrante</t>
        </is>
      </c>
      <c r="T2263" s="11" t="inlineStr">
        <is>
          <t>B · INTEGRANTE</t>
        </is>
      </c>
      <c r="U2263" s="11" t="inlineStr">
        <is>
          <t>DEL BANCO (se hereda)</t>
        </is>
      </c>
      <c r="V2263" s="11" t="n"/>
      <c r="W2263" s="12" t="n"/>
      <c r="X2263" s="12" t="n"/>
    </row>
    <row r="2264" ht="15" customHeight="1">
      <c r="C2264" t="inlineStr">
        <is>
          <t>NACIONALIDAD</t>
        </is>
      </c>
      <c r="D2264" t="inlineStr">
        <is>
          <t>F5</t>
        </is>
      </c>
      <c r="E2264" t="inlineStr">
        <is>
          <t>INHERENTE</t>
        </is>
      </c>
      <c r="F2264" t="inlineStr">
        <is>
          <t>TOKELAU</t>
        </is>
      </c>
      <c r="G2264" t="inlineStr">
        <is>
          <t>TK</t>
        </is>
      </c>
      <c r="H2264" t="n">
        <v>1</v>
      </c>
      <c r="I2264" t="n">
        <v>1</v>
      </c>
      <c r="J2264" t="n">
        <v>4</v>
      </c>
      <c r="K2264" t="n">
        <v>4</v>
      </c>
      <c r="L2264" t="n">
        <v>4</v>
      </c>
      <c r="M2264" t="n">
        <v>4</v>
      </c>
      <c r="N2264" t="n">
        <v>4</v>
      </c>
      <c r="O2264" t="n">
        <v>20</v>
      </c>
      <c r="P2264" t="n">
        <v>4</v>
      </c>
      <c r="R2264" s="9" t="n">
        <v>0.04</v>
      </c>
      <c r="S2264" s="10" t="inlineStr">
        <is>
          <t>SÍ — integrante</t>
        </is>
      </c>
      <c r="T2264" s="11" t="inlineStr">
        <is>
          <t>B · INTEGRANTE</t>
        </is>
      </c>
      <c r="U2264" s="11" t="inlineStr">
        <is>
          <t>DEL BANCO (se hereda)</t>
        </is>
      </c>
      <c r="V2264" s="11" t="n"/>
      <c r="W2264" s="12" t="n"/>
      <c r="X2264" s="12" t="n"/>
    </row>
    <row r="2265" ht="15" customHeight="1">
      <c r="C2265" t="inlineStr">
        <is>
          <t>NACIONALIDAD</t>
        </is>
      </c>
      <c r="D2265" t="inlineStr">
        <is>
          <t>F5</t>
        </is>
      </c>
      <c r="E2265" t="inlineStr">
        <is>
          <t>INHERENTE</t>
        </is>
      </c>
      <c r="F2265" t="inlineStr">
        <is>
          <t>TIMOR ORIENTAL</t>
        </is>
      </c>
      <c r="G2265" t="inlineStr">
        <is>
          <t>TL</t>
        </is>
      </c>
      <c r="H2265" t="n">
        <v>3</v>
      </c>
      <c r="I2265" t="n">
        <v>3</v>
      </c>
      <c r="J2265" t="n">
        <v>4</v>
      </c>
      <c r="K2265" t="n">
        <v>12</v>
      </c>
      <c r="L2265" t="n">
        <v>12</v>
      </c>
      <c r="M2265" t="n">
        <v>12</v>
      </c>
      <c r="N2265" t="n">
        <v>12</v>
      </c>
      <c r="O2265" t="n">
        <v>20</v>
      </c>
      <c r="P2265" t="n">
        <v>4</v>
      </c>
      <c r="R2265" s="9" t="n">
        <v>0.04</v>
      </c>
      <c r="S2265" s="10" t="inlineStr">
        <is>
          <t>SÍ — integrante</t>
        </is>
      </c>
      <c r="T2265" s="11" t="inlineStr">
        <is>
          <t>B · INTEGRANTE</t>
        </is>
      </c>
      <c r="U2265" s="11" t="inlineStr">
        <is>
          <t>DEL BANCO (se hereda)</t>
        </is>
      </c>
      <c r="V2265" s="11" t="n"/>
      <c r="W2265" s="12" t="n"/>
      <c r="X2265" s="12" t="n"/>
    </row>
    <row r="2266" ht="15" customHeight="1">
      <c r="C2266" t="inlineStr">
        <is>
          <t>NACIONALIDAD</t>
        </is>
      </c>
      <c r="D2266" t="inlineStr">
        <is>
          <t>F5</t>
        </is>
      </c>
      <c r="E2266" t="inlineStr">
        <is>
          <t>INHERENTE</t>
        </is>
      </c>
      <c r="F2266" t="inlineStr">
        <is>
          <t>TURKMENISTAN</t>
        </is>
      </c>
      <c r="G2266" t="inlineStr">
        <is>
          <t>TM</t>
        </is>
      </c>
      <c r="H2266" t="n">
        <v>4</v>
      </c>
      <c r="I2266" t="n">
        <v>4</v>
      </c>
      <c r="J2266" t="n">
        <v>4</v>
      </c>
      <c r="K2266" t="n">
        <v>16</v>
      </c>
      <c r="L2266" t="n">
        <v>16</v>
      </c>
      <c r="M2266" t="n">
        <v>16</v>
      </c>
      <c r="N2266" t="n">
        <v>16</v>
      </c>
      <c r="O2266" t="n">
        <v>20</v>
      </c>
      <c r="P2266" t="n">
        <v>4</v>
      </c>
      <c r="R2266" s="9" t="n">
        <v>0.04</v>
      </c>
      <c r="S2266" s="10" t="inlineStr">
        <is>
          <t>SÍ — integrante</t>
        </is>
      </c>
      <c r="T2266" s="11" t="inlineStr">
        <is>
          <t>B · INTEGRANTE</t>
        </is>
      </c>
      <c r="U2266" s="11" t="inlineStr">
        <is>
          <t>DEL BANCO (se hereda)</t>
        </is>
      </c>
      <c r="V2266" s="11" t="n"/>
      <c r="W2266" s="12" t="n"/>
      <c r="X2266" s="12" t="n"/>
    </row>
    <row r="2267" ht="15" customHeight="1">
      <c r="C2267" t="inlineStr">
        <is>
          <t>NACIONALIDAD</t>
        </is>
      </c>
      <c r="D2267" t="inlineStr">
        <is>
          <t>F5</t>
        </is>
      </c>
      <c r="E2267" t="inlineStr">
        <is>
          <t>INHERENTE</t>
        </is>
      </c>
      <c r="F2267" t="inlineStr">
        <is>
          <t>TUNEZ</t>
        </is>
      </c>
      <c r="G2267" t="inlineStr">
        <is>
          <t>TN</t>
        </is>
      </c>
      <c r="H2267" t="n">
        <v>2</v>
      </c>
      <c r="I2267" t="n">
        <v>2</v>
      </c>
      <c r="J2267" t="n">
        <v>4</v>
      </c>
      <c r="K2267" t="n">
        <v>8</v>
      </c>
      <c r="L2267" t="n">
        <v>8</v>
      </c>
      <c r="M2267" t="n">
        <v>8</v>
      </c>
      <c r="N2267" t="n">
        <v>8</v>
      </c>
      <c r="O2267" t="n">
        <v>20</v>
      </c>
      <c r="P2267" t="n">
        <v>4</v>
      </c>
      <c r="R2267" s="9" t="n">
        <v>0.04</v>
      </c>
      <c r="S2267" s="10" t="inlineStr">
        <is>
          <t>SÍ — integrante</t>
        </is>
      </c>
      <c r="T2267" s="11" t="inlineStr">
        <is>
          <t>B · INTEGRANTE</t>
        </is>
      </c>
      <c r="U2267" s="11" t="inlineStr">
        <is>
          <t>DEL BANCO (se hereda)</t>
        </is>
      </c>
      <c r="V2267" s="11" t="n"/>
      <c r="W2267" s="12" t="n"/>
      <c r="X2267" s="12" t="n"/>
    </row>
    <row r="2268" ht="15" customHeight="1">
      <c r="C2268" t="inlineStr">
        <is>
          <t>NACIONALIDAD</t>
        </is>
      </c>
      <c r="D2268" t="inlineStr">
        <is>
          <t>F5</t>
        </is>
      </c>
      <c r="E2268" t="inlineStr">
        <is>
          <t>INHERENTE</t>
        </is>
      </c>
      <c r="F2268" t="inlineStr">
        <is>
          <t>TONGA</t>
        </is>
      </c>
      <c r="G2268" t="inlineStr">
        <is>
          <t>TO</t>
        </is>
      </c>
      <c r="H2268" t="n">
        <v>3</v>
      </c>
      <c r="I2268" t="n">
        <v>3</v>
      </c>
      <c r="J2268" t="n">
        <v>4</v>
      </c>
      <c r="K2268" t="n">
        <v>12</v>
      </c>
      <c r="L2268" t="n">
        <v>12</v>
      </c>
      <c r="M2268" t="n">
        <v>12</v>
      </c>
      <c r="N2268" t="n">
        <v>12</v>
      </c>
      <c r="O2268" t="n">
        <v>20</v>
      </c>
      <c r="P2268" t="n">
        <v>4</v>
      </c>
      <c r="R2268" s="9" t="n">
        <v>0.04</v>
      </c>
      <c r="S2268" s="10" t="inlineStr">
        <is>
          <t>SÍ — integrante</t>
        </is>
      </c>
      <c r="T2268" s="11" t="inlineStr">
        <is>
          <t>B · INTEGRANTE</t>
        </is>
      </c>
      <c r="U2268" s="11" t="inlineStr">
        <is>
          <t>DEL BANCO (se hereda)</t>
        </is>
      </c>
      <c r="V2268" s="11" t="n"/>
      <c r="W2268" s="12" t="n"/>
      <c r="X2268" s="12" t="n"/>
    </row>
    <row r="2269" ht="15" customHeight="1">
      <c r="C2269" t="inlineStr">
        <is>
          <t>NACIONALIDAD</t>
        </is>
      </c>
      <c r="D2269" t="inlineStr">
        <is>
          <t>F5</t>
        </is>
      </c>
      <c r="E2269" t="inlineStr">
        <is>
          <t>INHERENTE</t>
        </is>
      </c>
      <c r="F2269" t="inlineStr">
        <is>
          <t>TIMOR</t>
        </is>
      </c>
      <c r="G2269" t="inlineStr">
        <is>
          <t>TP</t>
        </is>
      </c>
      <c r="H2269" t="n">
        <v>3</v>
      </c>
      <c r="I2269" t="n">
        <v>3</v>
      </c>
      <c r="J2269" t="n">
        <v>4</v>
      </c>
      <c r="K2269" t="n">
        <v>12</v>
      </c>
      <c r="L2269" t="n">
        <v>12</v>
      </c>
      <c r="M2269" t="n">
        <v>12</v>
      </c>
      <c r="N2269" t="n">
        <v>12</v>
      </c>
      <c r="O2269" t="n">
        <v>20</v>
      </c>
      <c r="P2269" t="n">
        <v>4</v>
      </c>
      <c r="R2269" s="9" t="n">
        <v>0.04</v>
      </c>
      <c r="S2269" s="10" t="inlineStr">
        <is>
          <t>SÍ — integrante</t>
        </is>
      </c>
      <c r="T2269" s="11" t="inlineStr">
        <is>
          <t>B · INTEGRANTE</t>
        </is>
      </c>
      <c r="U2269" s="11" t="inlineStr">
        <is>
          <t>DEL BANCO (se hereda)</t>
        </is>
      </c>
      <c r="V2269" s="11" t="n"/>
      <c r="W2269" s="12" t="n"/>
      <c r="X2269" s="12" t="n"/>
    </row>
    <row r="2270" ht="15" customHeight="1">
      <c r="C2270" t="inlineStr">
        <is>
          <t>NACIONALIDAD</t>
        </is>
      </c>
      <c r="D2270" t="inlineStr">
        <is>
          <t>F5</t>
        </is>
      </c>
      <c r="E2270" t="inlineStr">
        <is>
          <t>INHERENTE</t>
        </is>
      </c>
      <c r="F2270" t="inlineStr">
        <is>
          <t>TURQUIA</t>
        </is>
      </c>
      <c r="G2270" t="inlineStr">
        <is>
          <t>TR</t>
        </is>
      </c>
      <c r="H2270" t="n">
        <v>3</v>
      </c>
      <c r="I2270" t="n">
        <v>3</v>
      </c>
      <c r="J2270" t="n">
        <v>4</v>
      </c>
      <c r="K2270" t="n">
        <v>12</v>
      </c>
      <c r="L2270" t="n">
        <v>12</v>
      </c>
      <c r="M2270" t="n">
        <v>12</v>
      </c>
      <c r="N2270" t="n">
        <v>12</v>
      </c>
      <c r="O2270" t="n">
        <v>20</v>
      </c>
      <c r="P2270" t="n">
        <v>4</v>
      </c>
      <c r="R2270" s="9" t="n">
        <v>0.04</v>
      </c>
      <c r="S2270" s="10" t="inlineStr">
        <is>
          <t>SÍ — integrante</t>
        </is>
      </c>
      <c r="T2270" s="11" t="inlineStr">
        <is>
          <t>B · INTEGRANTE</t>
        </is>
      </c>
      <c r="U2270" s="11" t="inlineStr">
        <is>
          <t>DEL BANCO (se hereda)</t>
        </is>
      </c>
      <c r="V2270" s="11" t="n"/>
      <c r="W2270" s="12" t="n"/>
      <c r="X2270" s="12" t="n"/>
    </row>
    <row r="2271" ht="15" customHeight="1">
      <c r="C2271" t="inlineStr">
        <is>
          <t>NACIONALIDAD</t>
        </is>
      </c>
      <c r="D2271" t="inlineStr">
        <is>
          <t>F5</t>
        </is>
      </c>
      <c r="E2271" t="inlineStr">
        <is>
          <t>INHERENTE</t>
        </is>
      </c>
      <c r="F2271" t="inlineStr">
        <is>
          <t>TRIESTE ITALIA</t>
        </is>
      </c>
      <c r="G2271" t="inlineStr">
        <is>
          <t>TS</t>
        </is>
      </c>
      <c r="H2271" t="n">
        <v>1</v>
      </c>
      <c r="I2271" t="n">
        <v>1</v>
      </c>
      <c r="J2271" t="n">
        <v>4</v>
      </c>
      <c r="K2271" t="n">
        <v>4</v>
      </c>
      <c r="L2271" t="n">
        <v>4</v>
      </c>
      <c r="M2271" t="n">
        <v>4</v>
      </c>
      <c r="N2271" t="n">
        <v>4</v>
      </c>
      <c r="O2271" t="n">
        <v>20</v>
      </c>
      <c r="P2271" t="n">
        <v>4</v>
      </c>
      <c r="R2271" s="9" t="n">
        <v>0.04</v>
      </c>
      <c r="S2271" s="10" t="inlineStr">
        <is>
          <t>SÍ — integrante</t>
        </is>
      </c>
      <c r="T2271" s="11" t="inlineStr">
        <is>
          <t>B · INTEGRANTE</t>
        </is>
      </c>
      <c r="U2271" s="11" t="inlineStr">
        <is>
          <t>DEL BANCO (se hereda)</t>
        </is>
      </c>
      <c r="V2271" s="11" t="n"/>
      <c r="W2271" s="12" t="n"/>
      <c r="X2271" s="12" t="n"/>
    </row>
    <row r="2272" ht="15" customHeight="1">
      <c r="C2272" t="inlineStr">
        <is>
          <t>NACIONALIDAD</t>
        </is>
      </c>
      <c r="D2272" t="inlineStr">
        <is>
          <t>F5</t>
        </is>
      </c>
      <c r="E2272" t="inlineStr">
        <is>
          <t>INHERENTE</t>
        </is>
      </c>
      <c r="F2272" t="inlineStr">
        <is>
          <t>TRINIDAD TOBAGO</t>
        </is>
      </c>
      <c r="G2272" t="inlineStr">
        <is>
          <t>TT</t>
        </is>
      </c>
      <c r="H2272" t="n">
        <v>3</v>
      </c>
      <c r="I2272" t="n">
        <v>3</v>
      </c>
      <c r="J2272" t="n">
        <v>4</v>
      </c>
      <c r="K2272" t="n">
        <v>12</v>
      </c>
      <c r="L2272" t="n">
        <v>12</v>
      </c>
      <c r="M2272" t="n">
        <v>12</v>
      </c>
      <c r="N2272" t="n">
        <v>12</v>
      </c>
      <c r="O2272" t="n">
        <v>20</v>
      </c>
      <c r="P2272" t="n">
        <v>4</v>
      </c>
      <c r="R2272" s="9" t="n">
        <v>0.04</v>
      </c>
      <c r="S2272" s="10" t="inlineStr">
        <is>
          <t>SÍ — integrante</t>
        </is>
      </c>
      <c r="T2272" s="11" t="inlineStr">
        <is>
          <t>B · INTEGRANTE</t>
        </is>
      </c>
      <c r="U2272" s="11" t="inlineStr">
        <is>
          <t>DEL BANCO (se hereda)</t>
        </is>
      </c>
      <c r="V2272" s="11" t="n"/>
      <c r="W2272" s="12" t="n"/>
      <c r="X2272" s="12" t="n"/>
    </row>
    <row r="2273" ht="15" customHeight="1">
      <c r="C2273" t="inlineStr">
        <is>
          <t>NACIONALIDAD</t>
        </is>
      </c>
      <c r="D2273" t="inlineStr">
        <is>
          <t>F5</t>
        </is>
      </c>
      <c r="E2273" t="inlineStr">
        <is>
          <t>INHERENTE</t>
        </is>
      </c>
      <c r="F2273" t="inlineStr">
        <is>
          <t>TUVALU</t>
        </is>
      </c>
      <c r="G2273" t="inlineStr">
        <is>
          <t>TV</t>
        </is>
      </c>
      <c r="H2273" t="n">
        <v>1</v>
      </c>
      <c r="I2273" t="n">
        <v>1</v>
      </c>
      <c r="J2273" t="n">
        <v>4</v>
      </c>
      <c r="K2273" t="n">
        <v>4</v>
      </c>
      <c r="L2273" t="n">
        <v>4</v>
      </c>
      <c r="M2273" t="n">
        <v>4</v>
      </c>
      <c r="N2273" t="n">
        <v>4</v>
      </c>
      <c r="O2273" t="n">
        <v>20</v>
      </c>
      <c r="P2273" t="n">
        <v>4</v>
      </c>
      <c r="R2273" s="9" t="n">
        <v>0.04</v>
      </c>
      <c r="S2273" s="10" t="inlineStr">
        <is>
          <t>SÍ — integrante</t>
        </is>
      </c>
      <c r="T2273" s="11" t="inlineStr">
        <is>
          <t>B · INTEGRANTE</t>
        </is>
      </c>
      <c r="U2273" s="11" t="inlineStr">
        <is>
          <t>DEL BANCO (se hereda)</t>
        </is>
      </c>
      <c r="V2273" s="11" t="n"/>
      <c r="W2273" s="12" t="n"/>
      <c r="X2273" s="12" t="n"/>
    </row>
    <row r="2274" ht="15" customHeight="1">
      <c r="C2274" t="inlineStr">
        <is>
          <t>NACIONALIDAD</t>
        </is>
      </c>
      <c r="D2274" t="inlineStr">
        <is>
          <t>F5</t>
        </is>
      </c>
      <c r="E2274" t="inlineStr">
        <is>
          <t>INHERENTE</t>
        </is>
      </c>
      <c r="F2274" t="inlineStr">
        <is>
          <t>TAIWAN</t>
        </is>
      </c>
      <c r="G2274" t="inlineStr">
        <is>
          <t>TW</t>
        </is>
      </c>
      <c r="H2274" t="n">
        <v>1</v>
      </c>
      <c r="I2274" t="n">
        <v>1</v>
      </c>
      <c r="J2274" t="n">
        <v>4</v>
      </c>
      <c r="K2274" t="n">
        <v>4</v>
      </c>
      <c r="L2274" t="n">
        <v>4</v>
      </c>
      <c r="M2274" t="n">
        <v>4</v>
      </c>
      <c r="N2274" t="n">
        <v>4</v>
      </c>
      <c r="O2274" t="n">
        <v>20</v>
      </c>
      <c r="P2274" t="n">
        <v>4</v>
      </c>
      <c r="R2274" s="9" t="n">
        <v>0.04</v>
      </c>
      <c r="S2274" s="10" t="inlineStr">
        <is>
          <t>SÍ — integrante</t>
        </is>
      </c>
      <c r="T2274" s="11" t="inlineStr">
        <is>
          <t>B · INTEGRANTE</t>
        </is>
      </c>
      <c r="U2274" s="11" t="inlineStr">
        <is>
          <t>DEL BANCO (se hereda)</t>
        </is>
      </c>
      <c r="V2274" s="11" t="n"/>
      <c r="W2274" s="12" t="n"/>
      <c r="X2274" s="12" t="n"/>
    </row>
    <row r="2275" ht="15" customHeight="1">
      <c r="C2275" t="inlineStr">
        <is>
          <t>NACIONALIDAD</t>
        </is>
      </c>
      <c r="D2275" t="inlineStr">
        <is>
          <t>F5</t>
        </is>
      </c>
      <c r="E2275" t="inlineStr">
        <is>
          <t>INHERENTE</t>
        </is>
      </c>
      <c r="F2275" t="inlineStr">
        <is>
          <t>TANZANIA</t>
        </is>
      </c>
      <c r="G2275" t="inlineStr">
        <is>
          <t>TZ</t>
        </is>
      </c>
      <c r="H2275" t="n">
        <v>3</v>
      </c>
      <c r="I2275" t="n">
        <v>3</v>
      </c>
      <c r="J2275" t="n">
        <v>4</v>
      </c>
      <c r="K2275" t="n">
        <v>12</v>
      </c>
      <c r="L2275" t="n">
        <v>12</v>
      </c>
      <c r="M2275" t="n">
        <v>12</v>
      </c>
      <c r="N2275" t="n">
        <v>12</v>
      </c>
      <c r="O2275" t="n">
        <v>20</v>
      </c>
      <c r="P2275" t="n">
        <v>4</v>
      </c>
      <c r="R2275" s="9" t="n">
        <v>0.04</v>
      </c>
      <c r="S2275" s="10" t="inlineStr">
        <is>
          <t>SÍ — integrante</t>
        </is>
      </c>
      <c r="T2275" s="11" t="inlineStr">
        <is>
          <t>B · INTEGRANTE</t>
        </is>
      </c>
      <c r="U2275" s="11" t="inlineStr">
        <is>
          <t>DEL BANCO (se hereda)</t>
        </is>
      </c>
      <c r="V2275" s="11" t="n"/>
      <c r="W2275" s="12" t="n"/>
      <c r="X2275" s="12" t="n"/>
    </row>
    <row r="2276" ht="15" customHeight="1">
      <c r="C2276" t="inlineStr">
        <is>
          <t>NACIONALIDAD</t>
        </is>
      </c>
      <c r="D2276" t="inlineStr">
        <is>
          <t>F5</t>
        </is>
      </c>
      <c r="E2276" t="inlineStr">
        <is>
          <t>INHERENTE</t>
        </is>
      </c>
      <c r="F2276" t="inlineStr">
        <is>
          <t>UCRANIA</t>
        </is>
      </c>
      <c r="G2276" t="inlineStr">
        <is>
          <t>UA</t>
        </is>
      </c>
      <c r="H2276" t="n">
        <v>2</v>
      </c>
      <c r="I2276" t="n">
        <v>2</v>
      </c>
      <c r="J2276" t="n">
        <v>4</v>
      </c>
      <c r="K2276" t="n">
        <v>8</v>
      </c>
      <c r="L2276" t="n">
        <v>8</v>
      </c>
      <c r="M2276" t="n">
        <v>8</v>
      </c>
      <c r="N2276" t="n">
        <v>8</v>
      </c>
      <c r="O2276" t="n">
        <v>20</v>
      </c>
      <c r="P2276" t="n">
        <v>4</v>
      </c>
      <c r="R2276" s="9" t="n">
        <v>0.04</v>
      </c>
      <c r="S2276" s="10" t="inlineStr">
        <is>
          <t>SÍ — integrante</t>
        </is>
      </c>
      <c r="T2276" s="11" t="inlineStr">
        <is>
          <t>B · INTEGRANTE</t>
        </is>
      </c>
      <c r="U2276" s="11" t="inlineStr">
        <is>
          <t>DEL BANCO (se hereda)</t>
        </is>
      </c>
      <c r="V2276" s="11" t="n"/>
      <c r="W2276" s="12" t="n"/>
      <c r="X2276" s="12" t="n"/>
    </row>
    <row r="2277" ht="15" customHeight="1">
      <c r="C2277" t="inlineStr">
        <is>
          <t>NACIONALIDAD</t>
        </is>
      </c>
      <c r="D2277" t="inlineStr">
        <is>
          <t>F5</t>
        </is>
      </c>
      <c r="E2277" t="inlineStr">
        <is>
          <t>INHERENTE</t>
        </is>
      </c>
      <c r="F2277" t="inlineStr">
        <is>
          <t>UGANDA</t>
        </is>
      </c>
      <c r="G2277" t="inlineStr">
        <is>
          <t>UG</t>
        </is>
      </c>
      <c r="H2277" t="n">
        <v>3</v>
      </c>
      <c r="I2277" t="n">
        <v>3</v>
      </c>
      <c r="J2277" t="n">
        <v>4</v>
      </c>
      <c r="K2277" t="n">
        <v>12</v>
      </c>
      <c r="L2277" t="n">
        <v>12</v>
      </c>
      <c r="M2277" t="n">
        <v>12</v>
      </c>
      <c r="N2277" t="n">
        <v>12</v>
      </c>
      <c r="O2277" t="n">
        <v>20</v>
      </c>
      <c r="P2277" t="n">
        <v>4</v>
      </c>
      <c r="R2277" s="9" t="n">
        <v>0.04</v>
      </c>
      <c r="S2277" s="10" t="inlineStr">
        <is>
          <t>SÍ — integrante</t>
        </is>
      </c>
      <c r="T2277" s="11" t="inlineStr">
        <is>
          <t>B · INTEGRANTE</t>
        </is>
      </c>
      <c r="U2277" s="11" t="inlineStr">
        <is>
          <t>DEL BANCO (se hereda)</t>
        </is>
      </c>
      <c r="V2277" s="11" t="n"/>
      <c r="W2277" s="12" t="n"/>
      <c r="X2277" s="12" t="n"/>
    </row>
    <row r="2278" ht="15" customHeight="1">
      <c r="C2278" t="inlineStr">
        <is>
          <t>NACIONALIDAD</t>
        </is>
      </c>
      <c r="D2278" t="inlineStr">
        <is>
          <t>F5</t>
        </is>
      </c>
      <c r="E2278" t="inlineStr">
        <is>
          <t>INHERENTE</t>
        </is>
      </c>
      <c r="F2278" t="inlineStr">
        <is>
          <t>REINO UNIDO</t>
        </is>
      </c>
      <c r="G2278" t="inlineStr">
        <is>
          <t>UK</t>
        </is>
      </c>
      <c r="H2278" t="n">
        <v>1</v>
      </c>
      <c r="I2278" t="n">
        <v>1</v>
      </c>
      <c r="J2278" t="n">
        <v>4</v>
      </c>
      <c r="K2278" t="n">
        <v>4</v>
      </c>
      <c r="L2278" t="n">
        <v>4</v>
      </c>
      <c r="M2278" t="n">
        <v>4</v>
      </c>
      <c r="N2278" t="n">
        <v>4</v>
      </c>
      <c r="O2278" t="n">
        <v>20</v>
      </c>
      <c r="P2278" t="n">
        <v>4</v>
      </c>
      <c r="R2278" s="9" t="n">
        <v>0.04</v>
      </c>
      <c r="S2278" s="10" t="inlineStr">
        <is>
          <t>SÍ — integrante</t>
        </is>
      </c>
      <c r="T2278" s="11" t="inlineStr">
        <is>
          <t>B · INTEGRANTE</t>
        </is>
      </c>
      <c r="U2278" s="11" t="inlineStr">
        <is>
          <t>DEL BANCO (se hereda)</t>
        </is>
      </c>
      <c r="V2278" s="11" t="n"/>
      <c r="W2278" s="12" t="n"/>
      <c r="X2278" s="12" t="n"/>
    </row>
    <row r="2279" ht="15" customHeight="1">
      <c r="C2279" t="inlineStr">
        <is>
          <t>NACIONALIDAD</t>
        </is>
      </c>
      <c r="D2279" t="inlineStr">
        <is>
          <t>F5</t>
        </is>
      </c>
      <c r="E2279" t="inlineStr">
        <is>
          <t>INHERENTE</t>
        </is>
      </c>
      <c r="F2279" t="inlineStr">
        <is>
          <t>ISLAS REMOT. US</t>
        </is>
      </c>
      <c r="G2279" t="inlineStr">
        <is>
          <t>UM</t>
        </is>
      </c>
      <c r="H2279" t="n">
        <v>1</v>
      </c>
      <c r="I2279" t="n">
        <v>1</v>
      </c>
      <c r="J2279" t="n">
        <v>4</v>
      </c>
      <c r="K2279" t="n">
        <v>4</v>
      </c>
      <c r="L2279" t="n">
        <v>4</v>
      </c>
      <c r="M2279" t="n">
        <v>4</v>
      </c>
      <c r="N2279" t="n">
        <v>4</v>
      </c>
      <c r="O2279" t="n">
        <v>20</v>
      </c>
      <c r="P2279" t="n">
        <v>4</v>
      </c>
      <c r="R2279" s="9" t="n">
        <v>0.04</v>
      </c>
      <c r="S2279" s="10" t="inlineStr">
        <is>
          <t>SÍ — integrante</t>
        </is>
      </c>
      <c r="T2279" s="11" t="inlineStr">
        <is>
          <t>B · INTEGRANTE</t>
        </is>
      </c>
      <c r="U2279" s="11" t="inlineStr">
        <is>
          <t>DEL BANCO (se hereda)</t>
        </is>
      </c>
      <c r="V2279" s="11" t="n"/>
      <c r="W2279" s="12" t="n"/>
      <c r="X2279" s="12" t="n"/>
    </row>
    <row r="2280" ht="15" customHeight="1">
      <c r="C2280" t="inlineStr">
        <is>
          <t>NACIONALIDAD</t>
        </is>
      </c>
      <c r="D2280" t="inlineStr">
        <is>
          <t>F5</t>
        </is>
      </c>
      <c r="E2280" t="inlineStr">
        <is>
          <t>INHERENTE</t>
        </is>
      </c>
      <c r="F2280" t="inlineStr">
        <is>
          <t>ESTADOS UNIDOS DE AM</t>
        </is>
      </c>
      <c r="G2280" t="inlineStr">
        <is>
          <t>US</t>
        </is>
      </c>
      <c r="H2280" t="n">
        <v>1</v>
      </c>
      <c r="I2280" t="n">
        <v>1</v>
      </c>
      <c r="J2280" t="n">
        <v>4</v>
      </c>
      <c r="K2280" t="n">
        <v>4</v>
      </c>
      <c r="L2280" t="n">
        <v>4</v>
      </c>
      <c r="M2280" t="n">
        <v>4</v>
      </c>
      <c r="N2280" t="n">
        <v>4</v>
      </c>
      <c r="O2280" t="n">
        <v>20</v>
      </c>
      <c r="P2280" t="n">
        <v>4</v>
      </c>
      <c r="R2280" s="9" t="n">
        <v>0.04</v>
      </c>
      <c r="S2280" s="10" t="inlineStr">
        <is>
          <t>SÍ — integrante</t>
        </is>
      </c>
      <c r="T2280" s="11" t="inlineStr">
        <is>
          <t>B · INTEGRANTE</t>
        </is>
      </c>
      <c r="U2280" s="11" t="inlineStr">
        <is>
          <t>DEL BANCO (se hereda)</t>
        </is>
      </c>
      <c r="V2280" s="11" t="n"/>
      <c r="W2280" s="12" t="n"/>
      <c r="X2280" s="12" t="n"/>
    </row>
    <row r="2281" ht="15" customHeight="1">
      <c r="C2281" t="inlineStr">
        <is>
          <t>NACIONALIDAD</t>
        </is>
      </c>
      <c r="D2281" t="inlineStr">
        <is>
          <t>F5</t>
        </is>
      </c>
      <c r="E2281" t="inlineStr">
        <is>
          <t>INHERENTE</t>
        </is>
      </c>
      <c r="F2281" t="inlineStr">
        <is>
          <t>URUGUAY</t>
        </is>
      </c>
      <c r="G2281" t="inlineStr">
        <is>
          <t>UY</t>
        </is>
      </c>
      <c r="H2281" t="n">
        <v>1</v>
      </c>
      <c r="I2281" t="n">
        <v>1</v>
      </c>
      <c r="J2281" t="n">
        <v>4</v>
      </c>
      <c r="K2281" t="n">
        <v>4</v>
      </c>
      <c r="L2281" t="n">
        <v>4</v>
      </c>
      <c r="M2281" t="n">
        <v>4</v>
      </c>
      <c r="N2281" t="n">
        <v>4</v>
      </c>
      <c r="O2281" t="n">
        <v>20</v>
      </c>
      <c r="P2281" t="n">
        <v>4</v>
      </c>
      <c r="R2281" s="9" t="n">
        <v>0.04</v>
      </c>
      <c r="S2281" s="10" t="inlineStr">
        <is>
          <t>SÍ — integrante</t>
        </is>
      </c>
      <c r="T2281" s="11" t="inlineStr">
        <is>
          <t>B · INTEGRANTE</t>
        </is>
      </c>
      <c r="U2281" s="11" t="inlineStr">
        <is>
          <t>DEL BANCO (se hereda)</t>
        </is>
      </c>
      <c r="V2281" s="11" t="n"/>
      <c r="W2281" s="12" t="n"/>
      <c r="X2281" s="12" t="n"/>
    </row>
    <row r="2282" ht="15" customHeight="1">
      <c r="C2282" t="inlineStr">
        <is>
          <t>NACIONALIDAD</t>
        </is>
      </c>
      <c r="D2282" t="inlineStr">
        <is>
          <t>F5</t>
        </is>
      </c>
      <c r="E2282" t="inlineStr">
        <is>
          <t>INHERENTE</t>
        </is>
      </c>
      <c r="F2282" t="inlineStr">
        <is>
          <t>UZBEKISTAN</t>
        </is>
      </c>
      <c r="G2282" t="inlineStr">
        <is>
          <t>UZ</t>
        </is>
      </c>
      <c r="H2282" t="n">
        <v>2</v>
      </c>
      <c r="I2282" t="n">
        <v>2</v>
      </c>
      <c r="J2282" t="n">
        <v>4</v>
      </c>
      <c r="K2282" t="n">
        <v>8</v>
      </c>
      <c r="L2282" t="n">
        <v>8</v>
      </c>
      <c r="M2282" t="n">
        <v>8</v>
      </c>
      <c r="N2282" t="n">
        <v>8</v>
      </c>
      <c r="O2282" t="n">
        <v>20</v>
      </c>
      <c r="P2282" t="n">
        <v>4</v>
      </c>
      <c r="R2282" s="9" t="n">
        <v>0.04</v>
      </c>
      <c r="S2282" s="10" t="inlineStr">
        <is>
          <t>SÍ — integrante</t>
        </is>
      </c>
      <c r="T2282" s="11" t="inlineStr">
        <is>
          <t>B · INTEGRANTE</t>
        </is>
      </c>
      <c r="U2282" s="11" t="inlineStr">
        <is>
          <t>DEL BANCO (se hereda)</t>
        </is>
      </c>
      <c r="V2282" s="11" t="n"/>
      <c r="W2282" s="12" t="n"/>
      <c r="X2282" s="12" t="n"/>
    </row>
    <row r="2283" ht="15" customHeight="1">
      <c r="C2283" t="inlineStr">
        <is>
          <t>NACIONALIDAD</t>
        </is>
      </c>
      <c r="D2283" t="inlineStr">
        <is>
          <t>F5</t>
        </is>
      </c>
      <c r="E2283" t="inlineStr">
        <is>
          <t>INHERENTE</t>
        </is>
      </c>
      <c r="F2283" t="inlineStr">
        <is>
          <t>ISLA DE MARGARITA</t>
        </is>
      </c>
      <c r="G2283" t="inlineStr">
        <is>
          <t>VA</t>
        </is>
      </c>
      <c r="H2283" t="n">
        <v>1</v>
      </c>
      <c r="I2283" t="n">
        <v>1</v>
      </c>
      <c r="J2283" t="n">
        <v>4</v>
      </c>
      <c r="K2283" t="n">
        <v>4</v>
      </c>
      <c r="L2283" t="n">
        <v>4</v>
      </c>
      <c r="M2283" t="n">
        <v>4</v>
      </c>
      <c r="N2283" t="n">
        <v>4</v>
      </c>
      <c r="O2283" t="n">
        <v>20</v>
      </c>
      <c r="P2283" t="n">
        <v>4</v>
      </c>
      <c r="R2283" s="9" t="n">
        <v>0.04</v>
      </c>
      <c r="S2283" s="10" t="inlineStr">
        <is>
          <t>SÍ — integrante</t>
        </is>
      </c>
      <c r="T2283" s="11" t="inlineStr">
        <is>
          <t>B · INTEGRANTE</t>
        </is>
      </c>
      <c r="U2283" s="11" t="inlineStr">
        <is>
          <t>DEL BANCO (se hereda)</t>
        </is>
      </c>
      <c r="V2283" s="11" t="n"/>
      <c r="W2283" s="12" t="n"/>
      <c r="X2283" s="12" t="n"/>
    </row>
    <row r="2284" ht="15" customHeight="1">
      <c r="C2284" t="inlineStr">
        <is>
          <t>NACIONALIDAD</t>
        </is>
      </c>
      <c r="D2284" t="inlineStr">
        <is>
          <t>F5</t>
        </is>
      </c>
      <c r="E2284" t="inlineStr">
        <is>
          <t>INHERENTE</t>
        </is>
      </c>
      <c r="F2284" t="inlineStr">
        <is>
          <t>SAN VINCENTE Y LAS G</t>
        </is>
      </c>
      <c r="G2284" t="inlineStr">
        <is>
          <t>VC</t>
        </is>
      </c>
      <c r="H2284" t="n">
        <v>3</v>
      </c>
      <c r="I2284" t="n">
        <v>3</v>
      </c>
      <c r="J2284" t="n">
        <v>4</v>
      </c>
      <c r="K2284" t="n">
        <v>12</v>
      </c>
      <c r="L2284" t="n">
        <v>12</v>
      </c>
      <c r="M2284" t="n">
        <v>12</v>
      </c>
      <c r="N2284" t="n">
        <v>12</v>
      </c>
      <c r="O2284" t="n">
        <v>20</v>
      </c>
      <c r="P2284" t="n">
        <v>4</v>
      </c>
      <c r="R2284" s="9" t="n">
        <v>0.04</v>
      </c>
      <c r="S2284" s="10" t="inlineStr">
        <is>
          <t>SÍ — integrante</t>
        </is>
      </c>
      <c r="T2284" s="11" t="inlineStr">
        <is>
          <t>B · INTEGRANTE</t>
        </is>
      </c>
      <c r="U2284" s="11" t="inlineStr">
        <is>
          <t>DEL BANCO (se hereda)</t>
        </is>
      </c>
      <c r="V2284" s="11" t="n"/>
      <c r="W2284" s="12" t="n"/>
      <c r="X2284" s="12" t="n"/>
    </row>
    <row r="2285" ht="15" customHeight="1">
      <c r="C2285" t="inlineStr">
        <is>
          <t>NACIONALIDAD</t>
        </is>
      </c>
      <c r="D2285" t="inlineStr">
        <is>
          <t>F5</t>
        </is>
      </c>
      <c r="E2285" t="inlineStr">
        <is>
          <t>INHERENTE</t>
        </is>
      </c>
      <c r="F2285" t="inlineStr">
        <is>
          <t>VENEZUELA</t>
        </is>
      </c>
      <c r="G2285" t="inlineStr">
        <is>
          <t>VE</t>
        </is>
      </c>
      <c r="H2285" t="n">
        <v>4</v>
      </c>
      <c r="I2285" t="n">
        <v>4</v>
      </c>
      <c r="J2285" t="n">
        <v>4</v>
      </c>
      <c r="K2285" t="n">
        <v>16</v>
      </c>
      <c r="L2285" t="n">
        <v>16</v>
      </c>
      <c r="M2285" t="n">
        <v>16</v>
      </c>
      <c r="N2285" t="n">
        <v>16</v>
      </c>
      <c r="O2285" t="n">
        <v>20</v>
      </c>
      <c r="P2285" t="n">
        <v>4</v>
      </c>
      <c r="Q2285" t="inlineStr">
        <is>
          <t>DETERMINANTE</t>
        </is>
      </c>
      <c r="R2285" s="9" t="n">
        <v>0.04</v>
      </c>
      <c r="S2285" s="10" t="inlineStr">
        <is>
          <t>SÍ — integrante</t>
        </is>
      </c>
      <c r="T2285" s="11" t="inlineStr">
        <is>
          <t>B · INTEGRANTE</t>
        </is>
      </c>
      <c r="U2285" s="11" t="inlineStr">
        <is>
          <t>DEL BANCO (se hereda)</t>
        </is>
      </c>
      <c r="V2285" s="11" t="n"/>
      <c r="W2285" s="12" t="n"/>
      <c r="X2285" s="12" t="n"/>
    </row>
    <row r="2286" ht="15" customHeight="1">
      <c r="C2286" t="inlineStr">
        <is>
          <t>NACIONALIDAD</t>
        </is>
      </c>
      <c r="D2286" t="inlineStr">
        <is>
          <t>F5</t>
        </is>
      </c>
      <c r="E2286" t="inlineStr">
        <is>
          <t>INHERENTE</t>
        </is>
      </c>
      <c r="F2286" t="inlineStr">
        <is>
          <t>ISLAS VIRGENES DE EU</t>
        </is>
      </c>
      <c r="G2286" t="inlineStr">
        <is>
          <t>VG</t>
        </is>
      </c>
      <c r="H2286" t="n">
        <v>3</v>
      </c>
      <c r="I2286" t="n">
        <v>3</v>
      </c>
      <c r="J2286" t="n">
        <v>4</v>
      </c>
      <c r="K2286" t="n">
        <v>12</v>
      </c>
      <c r="L2286" t="n">
        <v>12</v>
      </c>
      <c r="M2286" t="n">
        <v>12</v>
      </c>
      <c r="N2286" t="n">
        <v>12</v>
      </c>
      <c r="O2286" t="n">
        <v>20</v>
      </c>
      <c r="P2286" t="n">
        <v>4</v>
      </c>
      <c r="R2286" s="9" t="n">
        <v>0.04</v>
      </c>
      <c r="S2286" s="10" t="inlineStr">
        <is>
          <t>SÍ — integrante</t>
        </is>
      </c>
      <c r="T2286" s="11" t="inlineStr">
        <is>
          <t>B · INTEGRANTE</t>
        </is>
      </c>
      <c r="U2286" s="11" t="inlineStr">
        <is>
          <t>DEL BANCO (se hereda)</t>
        </is>
      </c>
      <c r="V2286" s="11" t="n"/>
      <c r="W2286" s="12" t="n"/>
      <c r="X2286" s="12" t="n"/>
    </row>
    <row r="2287" ht="15" customHeight="1">
      <c r="C2287" t="inlineStr">
        <is>
          <t>NACIONALIDAD</t>
        </is>
      </c>
      <c r="D2287" t="inlineStr">
        <is>
          <t>F5</t>
        </is>
      </c>
      <c r="E2287" t="inlineStr">
        <is>
          <t>INHERENTE</t>
        </is>
      </c>
      <c r="F2287" t="inlineStr">
        <is>
          <t>VIETNAM</t>
        </is>
      </c>
      <c r="G2287" t="inlineStr">
        <is>
          <t>VI</t>
        </is>
      </c>
      <c r="H2287" t="n">
        <v>4</v>
      </c>
      <c r="I2287" t="n">
        <v>4</v>
      </c>
      <c r="J2287" t="n">
        <v>4</v>
      </c>
      <c r="K2287" t="n">
        <v>16</v>
      </c>
      <c r="L2287" t="n">
        <v>16</v>
      </c>
      <c r="M2287" t="n">
        <v>16</v>
      </c>
      <c r="N2287" t="n">
        <v>16</v>
      </c>
      <c r="O2287" t="n">
        <v>20</v>
      </c>
      <c r="P2287" t="n">
        <v>4</v>
      </c>
      <c r="Q2287" t="inlineStr">
        <is>
          <t>DETERMINANTE</t>
        </is>
      </c>
      <c r="R2287" s="9" t="n">
        <v>0.04</v>
      </c>
      <c r="S2287" s="10" t="inlineStr">
        <is>
          <t>SÍ — integrante</t>
        </is>
      </c>
      <c r="T2287" s="11" t="inlineStr">
        <is>
          <t>B · INTEGRANTE</t>
        </is>
      </c>
      <c r="U2287" s="11" t="inlineStr">
        <is>
          <t>DEL BANCO (se hereda)</t>
        </is>
      </c>
      <c r="V2287" s="11" t="n"/>
      <c r="W2287" s="12" t="n"/>
      <c r="X2287" s="12" t="n"/>
    </row>
    <row r="2288" ht="15" customHeight="1">
      <c r="C2288" t="inlineStr">
        <is>
          <t>NACIONALIDAD</t>
        </is>
      </c>
      <c r="D2288" t="inlineStr">
        <is>
          <t>F5</t>
        </is>
      </c>
      <c r="E2288" t="inlineStr">
        <is>
          <t>INHERENTE</t>
        </is>
      </c>
      <c r="F2288" t="inlineStr">
        <is>
          <t>VANUATU</t>
        </is>
      </c>
      <c r="G2288" t="inlineStr">
        <is>
          <t>VN</t>
        </is>
      </c>
      <c r="H2288" t="n">
        <v>2</v>
      </c>
      <c r="I2288" t="n">
        <v>2</v>
      </c>
      <c r="J2288" t="n">
        <v>4</v>
      </c>
      <c r="K2288" t="n">
        <v>8</v>
      </c>
      <c r="L2288" t="n">
        <v>8</v>
      </c>
      <c r="M2288" t="n">
        <v>8</v>
      </c>
      <c r="N2288" t="n">
        <v>8</v>
      </c>
      <c r="O2288" t="n">
        <v>20</v>
      </c>
      <c r="P2288" t="n">
        <v>4</v>
      </c>
      <c r="R2288" s="9" t="n">
        <v>0.04</v>
      </c>
      <c r="S2288" s="10" t="inlineStr">
        <is>
          <t>SÍ — integrante</t>
        </is>
      </c>
      <c r="T2288" s="11" t="inlineStr">
        <is>
          <t>B · INTEGRANTE</t>
        </is>
      </c>
      <c r="U2288" s="11" t="inlineStr">
        <is>
          <t>DEL BANCO (se hereda)</t>
        </is>
      </c>
      <c r="V2288" s="11" t="n"/>
      <c r="W2288" s="12" t="n"/>
      <c r="X2288" s="12" t="n"/>
    </row>
    <row r="2289" ht="15" customHeight="1">
      <c r="C2289" t="inlineStr">
        <is>
          <t>NACIONALIDAD</t>
        </is>
      </c>
      <c r="D2289" t="inlineStr">
        <is>
          <t>F5</t>
        </is>
      </c>
      <c r="E2289" t="inlineStr">
        <is>
          <t>INHERENTE</t>
        </is>
      </c>
      <c r="F2289" t="inlineStr">
        <is>
          <t>MADEIRA</t>
        </is>
      </c>
      <c r="G2289" t="inlineStr">
        <is>
          <t>VU</t>
        </is>
      </c>
      <c r="H2289" t="n">
        <v>3</v>
      </c>
      <c r="I2289" t="n">
        <v>3</v>
      </c>
      <c r="J2289" t="n">
        <v>4</v>
      </c>
      <c r="K2289" t="n">
        <v>12</v>
      </c>
      <c r="L2289" t="n">
        <v>12</v>
      </c>
      <c r="M2289" t="n">
        <v>12</v>
      </c>
      <c r="N2289" t="n">
        <v>12</v>
      </c>
      <c r="O2289" t="n">
        <v>20</v>
      </c>
      <c r="P2289" t="n">
        <v>4</v>
      </c>
      <c r="R2289" s="9" t="n">
        <v>0.04</v>
      </c>
      <c r="S2289" s="10" t="inlineStr">
        <is>
          <t>SÍ — integrante</t>
        </is>
      </c>
      <c r="T2289" s="11" t="inlineStr">
        <is>
          <t>B · INTEGRANTE</t>
        </is>
      </c>
      <c r="U2289" s="11" t="inlineStr">
        <is>
          <t>DEL BANCO (se hereda)</t>
        </is>
      </c>
      <c r="V2289" s="11" t="n"/>
      <c r="W2289" s="12" t="n"/>
      <c r="X2289" s="12" t="n"/>
    </row>
    <row r="2290" ht="15" customHeight="1">
      <c r="C2290" t="inlineStr">
        <is>
          <t>NACIONALIDAD</t>
        </is>
      </c>
      <c r="D2290" t="inlineStr">
        <is>
          <t>F5</t>
        </is>
      </c>
      <c r="E2290" t="inlineStr">
        <is>
          <t>INHERENTE</t>
        </is>
      </c>
      <c r="F2290" t="inlineStr">
        <is>
          <t>ISLA DE SAN PEDRO Y</t>
        </is>
      </c>
      <c r="G2290" t="inlineStr">
        <is>
          <t>WF</t>
        </is>
      </c>
      <c r="H2290" t="n">
        <v>1</v>
      </c>
      <c r="I2290" t="n">
        <v>1</v>
      </c>
      <c r="J2290" t="n">
        <v>4</v>
      </c>
      <c r="K2290" t="n">
        <v>4</v>
      </c>
      <c r="L2290" t="n">
        <v>4</v>
      </c>
      <c r="M2290" t="n">
        <v>4</v>
      </c>
      <c r="N2290" t="n">
        <v>4</v>
      </c>
      <c r="O2290" t="n">
        <v>20</v>
      </c>
      <c r="P2290" t="n">
        <v>4</v>
      </c>
      <c r="R2290" s="9" t="n">
        <v>0.04</v>
      </c>
      <c r="S2290" s="10" t="inlineStr">
        <is>
          <t>SÍ — integrante</t>
        </is>
      </c>
      <c r="T2290" s="11" t="inlineStr">
        <is>
          <t>B · INTEGRANTE</t>
        </is>
      </c>
      <c r="U2290" s="11" t="inlineStr">
        <is>
          <t>DEL BANCO (se hereda)</t>
        </is>
      </c>
      <c r="V2290" s="11" t="n"/>
      <c r="W2290" s="12" t="n"/>
      <c r="X2290" s="12" t="n"/>
    </row>
    <row r="2291" ht="15" customHeight="1">
      <c r="C2291" t="inlineStr">
        <is>
          <t>NACIONALIDAD</t>
        </is>
      </c>
      <c r="D2291" t="inlineStr">
        <is>
          <t>F5</t>
        </is>
      </c>
      <c r="E2291" t="inlineStr">
        <is>
          <t>INHERENTE</t>
        </is>
      </c>
      <c r="F2291" t="inlineStr">
        <is>
          <t>SAMOA AMERICANA</t>
        </is>
      </c>
      <c r="G2291" t="inlineStr">
        <is>
          <t>WS</t>
        </is>
      </c>
      <c r="H2291" t="n">
        <v>1</v>
      </c>
      <c r="I2291" t="n">
        <v>1</v>
      </c>
      <c r="J2291" t="n">
        <v>4</v>
      </c>
      <c r="K2291" t="n">
        <v>4</v>
      </c>
      <c r="L2291" t="n">
        <v>4</v>
      </c>
      <c r="M2291" t="n">
        <v>4</v>
      </c>
      <c r="N2291" t="n">
        <v>4</v>
      </c>
      <c r="O2291" t="n">
        <v>20</v>
      </c>
      <c r="P2291" t="n">
        <v>4</v>
      </c>
      <c r="R2291" s="9" t="n">
        <v>0.04</v>
      </c>
      <c r="S2291" s="10" t="inlineStr">
        <is>
          <t>SÍ — integrante</t>
        </is>
      </c>
      <c r="T2291" s="11" t="inlineStr">
        <is>
          <t>B · INTEGRANTE</t>
        </is>
      </c>
      <c r="U2291" s="11" t="inlineStr">
        <is>
          <t>DEL BANCO (se hereda)</t>
        </is>
      </c>
      <c r="V2291" s="11" t="n"/>
      <c r="W2291" s="12" t="n"/>
      <c r="X2291" s="12" t="n"/>
    </row>
    <row r="2292" ht="15" customHeight="1">
      <c r="C2292" t="inlineStr">
        <is>
          <t>NACIONALIDAD</t>
        </is>
      </c>
      <c r="D2292" t="inlineStr">
        <is>
          <t>F5</t>
        </is>
      </c>
      <c r="E2292" t="inlineStr">
        <is>
          <t>INHERENTE</t>
        </is>
      </c>
      <c r="F2292" t="inlineStr">
        <is>
          <t>ISLAS CANARIAS</t>
        </is>
      </c>
      <c r="G2292" t="inlineStr">
        <is>
          <t>XE</t>
        </is>
      </c>
      <c r="H2292" t="n">
        <v>1</v>
      </c>
      <c r="I2292" t="n">
        <v>1</v>
      </c>
      <c r="J2292" t="n">
        <v>4</v>
      </c>
      <c r="K2292" t="n">
        <v>4</v>
      </c>
      <c r="L2292" t="n">
        <v>4</v>
      </c>
      <c r="M2292" t="n">
        <v>4</v>
      </c>
      <c r="N2292" t="n">
        <v>4</v>
      </c>
      <c r="O2292" t="n">
        <v>20</v>
      </c>
      <c r="P2292" t="n">
        <v>4</v>
      </c>
      <c r="R2292" s="9" t="n">
        <v>0.04</v>
      </c>
      <c r="S2292" s="10" t="inlineStr">
        <is>
          <t>SÍ — integrante</t>
        </is>
      </c>
      <c r="T2292" s="11" t="inlineStr">
        <is>
          <t>B · INTEGRANTE</t>
        </is>
      </c>
      <c r="U2292" s="11" t="inlineStr">
        <is>
          <t>DEL BANCO (se hereda)</t>
        </is>
      </c>
      <c r="V2292" s="11" t="n"/>
      <c r="W2292" s="12" t="n"/>
      <c r="X2292" s="12" t="n"/>
    </row>
    <row r="2293" ht="15" customHeight="1">
      <c r="C2293" t="inlineStr">
        <is>
          <t>NACIONALIDAD</t>
        </is>
      </c>
      <c r="D2293" t="inlineStr">
        <is>
          <t>F5</t>
        </is>
      </c>
      <c r="E2293" t="inlineStr">
        <is>
          <t>INHERENTE</t>
        </is>
      </c>
      <c r="F2293" t="inlineStr">
        <is>
          <t>ISLAS AZORES PORTUGA</t>
        </is>
      </c>
      <c r="G2293" t="inlineStr">
        <is>
          <t>XG</t>
        </is>
      </c>
      <c r="H2293" t="n">
        <v>1</v>
      </c>
      <c r="I2293" t="n">
        <v>1</v>
      </c>
      <c r="J2293" t="n">
        <v>4</v>
      </c>
      <c r="K2293" t="n">
        <v>4</v>
      </c>
      <c r="L2293" t="n">
        <v>4</v>
      </c>
      <c r="M2293" t="n">
        <v>4</v>
      </c>
      <c r="N2293" t="n">
        <v>4</v>
      </c>
      <c r="O2293" t="n">
        <v>20</v>
      </c>
      <c r="P2293" t="n">
        <v>4</v>
      </c>
      <c r="R2293" s="9" t="n">
        <v>0.04</v>
      </c>
      <c r="S2293" s="10" t="inlineStr">
        <is>
          <t>SÍ — integrante</t>
        </is>
      </c>
      <c r="T2293" s="11" t="inlineStr">
        <is>
          <t>B · INTEGRANTE</t>
        </is>
      </c>
      <c r="U2293" s="11" t="inlineStr">
        <is>
          <t>DEL BANCO (se hereda)</t>
        </is>
      </c>
      <c r="V2293" s="11" t="n"/>
      <c r="W2293" s="12" t="n"/>
      <c r="X2293" s="12" t="n"/>
    </row>
    <row r="2294" ht="15" customHeight="1">
      <c r="C2294" t="inlineStr">
        <is>
          <t>NACIONALIDAD</t>
        </is>
      </c>
      <c r="D2294" t="inlineStr">
        <is>
          <t>F5</t>
        </is>
      </c>
      <c r="E2294" t="inlineStr">
        <is>
          <t>INHERENTE</t>
        </is>
      </c>
      <c r="F2294" t="inlineStr">
        <is>
          <t>LABUAN MALAYSIA</t>
        </is>
      </c>
      <c r="G2294" t="inlineStr">
        <is>
          <t>XS</t>
        </is>
      </c>
      <c r="H2294" t="n">
        <v>3</v>
      </c>
      <c r="I2294" t="n">
        <v>3</v>
      </c>
      <c r="J2294" t="n">
        <v>4</v>
      </c>
      <c r="K2294" t="n">
        <v>12</v>
      </c>
      <c r="L2294" t="n">
        <v>12</v>
      </c>
      <c r="M2294" t="n">
        <v>12</v>
      </c>
      <c r="N2294" t="n">
        <v>12</v>
      </c>
      <c r="O2294" t="n">
        <v>20</v>
      </c>
      <c r="P2294" t="n">
        <v>4</v>
      </c>
      <c r="R2294" s="9" t="n">
        <v>0.04</v>
      </c>
      <c r="S2294" s="10" t="inlineStr">
        <is>
          <t>SÍ — integrante</t>
        </is>
      </c>
      <c r="T2294" s="11" t="inlineStr">
        <is>
          <t>B · INTEGRANTE</t>
        </is>
      </c>
      <c r="U2294" s="11" t="inlineStr">
        <is>
          <t>DEL BANCO (se hereda)</t>
        </is>
      </c>
      <c r="V2294" s="11" t="n"/>
      <c r="W2294" s="12" t="n"/>
      <c r="X2294" s="12" t="n"/>
    </row>
    <row r="2295" ht="15" customHeight="1">
      <c r="C2295" t="inlineStr">
        <is>
          <t>NACIONALIDAD</t>
        </is>
      </c>
      <c r="D2295" t="inlineStr">
        <is>
          <t>F5</t>
        </is>
      </c>
      <c r="E2295" t="inlineStr">
        <is>
          <t>INHERENTE</t>
        </is>
      </c>
      <c r="F2295" t="inlineStr">
        <is>
          <t>YEMEN</t>
        </is>
      </c>
      <c r="G2295" t="inlineStr">
        <is>
          <t>YE</t>
        </is>
      </c>
      <c r="H2295" t="n">
        <v>4</v>
      </c>
      <c r="I2295" t="n">
        <v>4</v>
      </c>
      <c r="J2295" t="n">
        <v>4</v>
      </c>
      <c r="K2295" t="n">
        <v>16</v>
      </c>
      <c r="L2295" t="n">
        <v>16</v>
      </c>
      <c r="M2295" t="n">
        <v>16</v>
      </c>
      <c r="N2295" t="n">
        <v>16</v>
      </c>
      <c r="O2295" t="n">
        <v>20</v>
      </c>
      <c r="P2295" t="n">
        <v>4</v>
      </c>
      <c r="Q2295" t="inlineStr">
        <is>
          <t>DETERMINANTE</t>
        </is>
      </c>
      <c r="R2295" s="9" t="n">
        <v>0.04</v>
      </c>
      <c r="S2295" s="10" t="inlineStr">
        <is>
          <t>SÍ — integrante</t>
        </is>
      </c>
      <c r="T2295" s="11" t="inlineStr">
        <is>
          <t>B · INTEGRANTE</t>
        </is>
      </c>
      <c r="U2295" s="11" t="inlineStr">
        <is>
          <t>DEL BANCO (se hereda)</t>
        </is>
      </c>
      <c r="V2295" s="11" t="n"/>
      <c r="W2295" s="12" t="n"/>
      <c r="X2295" s="12" t="n"/>
    </row>
    <row r="2296" ht="15" customHeight="1">
      <c r="C2296" t="inlineStr">
        <is>
          <t>NACIONALIDAD</t>
        </is>
      </c>
      <c r="D2296" t="inlineStr">
        <is>
          <t>F5</t>
        </is>
      </c>
      <c r="E2296" t="inlineStr">
        <is>
          <t>INHERENTE</t>
        </is>
      </c>
      <c r="F2296" t="inlineStr">
        <is>
          <t>MAYOTTE</t>
        </is>
      </c>
      <c r="G2296" t="inlineStr">
        <is>
          <t>YT</t>
        </is>
      </c>
      <c r="H2296" t="n">
        <v>1</v>
      </c>
      <c r="I2296" t="n">
        <v>1</v>
      </c>
      <c r="J2296" t="n">
        <v>4</v>
      </c>
      <c r="K2296" t="n">
        <v>4</v>
      </c>
      <c r="L2296" t="n">
        <v>4</v>
      </c>
      <c r="M2296" t="n">
        <v>4</v>
      </c>
      <c r="N2296" t="n">
        <v>4</v>
      </c>
      <c r="O2296" t="n">
        <v>20</v>
      </c>
      <c r="P2296" t="n">
        <v>4</v>
      </c>
      <c r="R2296" s="9" t="n">
        <v>0.04</v>
      </c>
      <c r="S2296" s="10" t="inlineStr">
        <is>
          <t>SÍ — integrante</t>
        </is>
      </c>
      <c r="T2296" s="11" t="inlineStr">
        <is>
          <t>B · INTEGRANTE</t>
        </is>
      </c>
      <c r="U2296" s="11" t="inlineStr">
        <is>
          <t>DEL BANCO (se hereda)</t>
        </is>
      </c>
      <c r="V2296" s="11" t="n"/>
      <c r="W2296" s="12" t="n"/>
      <c r="X2296" s="12" t="n"/>
    </row>
    <row r="2297" ht="15" customHeight="1">
      <c r="C2297" t="inlineStr">
        <is>
          <t>NACIONALIDAD</t>
        </is>
      </c>
      <c r="D2297" t="inlineStr">
        <is>
          <t>F5</t>
        </is>
      </c>
      <c r="E2297" t="inlineStr">
        <is>
          <t>INHERENTE</t>
        </is>
      </c>
      <c r="F2297" t="inlineStr">
        <is>
          <t>ISLA QESHM, IRAN</t>
        </is>
      </c>
      <c r="G2297" t="inlineStr">
        <is>
          <t>YU</t>
        </is>
      </c>
      <c r="H2297" t="n">
        <v>5</v>
      </c>
      <c r="I2297" t="n">
        <v>5</v>
      </c>
      <c r="J2297" t="n">
        <v>4</v>
      </c>
      <c r="K2297" t="n">
        <v>20</v>
      </c>
      <c r="L2297" t="n">
        <v>20</v>
      </c>
      <c r="M2297" t="n">
        <v>20</v>
      </c>
      <c r="N2297" t="n">
        <v>20</v>
      </c>
      <c r="O2297" t="n">
        <v>20</v>
      </c>
      <c r="P2297" t="n">
        <v>4</v>
      </c>
      <c r="Q2297" t="inlineStr">
        <is>
          <t>PROHIBITIVO</t>
        </is>
      </c>
      <c r="R2297" s="9" t="n">
        <v>0.04</v>
      </c>
      <c r="S2297" s="10" t="inlineStr">
        <is>
          <t>SÍ — integrante</t>
        </is>
      </c>
      <c r="T2297" s="11" t="inlineStr">
        <is>
          <t>B · INTEGRANTE</t>
        </is>
      </c>
      <c r="U2297" s="11" t="inlineStr">
        <is>
          <t>DEL BANCO (se hereda)</t>
        </is>
      </c>
      <c r="V2297" s="11" t="n"/>
      <c r="W2297" s="12" t="n"/>
      <c r="X2297" s="12" t="n"/>
    </row>
    <row r="2298" ht="15" customHeight="1">
      <c r="C2298" t="inlineStr">
        <is>
          <t>NACIONALIDAD</t>
        </is>
      </c>
      <c r="D2298" t="inlineStr">
        <is>
          <t>F5</t>
        </is>
      </c>
      <c r="E2298" t="inlineStr">
        <is>
          <t>INHERENTE</t>
        </is>
      </c>
      <c r="F2298" t="inlineStr">
        <is>
          <t>SUDAFRICA</t>
        </is>
      </c>
      <c r="G2298" t="inlineStr">
        <is>
          <t>ZA</t>
        </is>
      </c>
      <c r="H2298" t="n">
        <v>3</v>
      </c>
      <c r="I2298" t="n">
        <v>3</v>
      </c>
      <c r="J2298" t="n">
        <v>4</v>
      </c>
      <c r="K2298" t="n">
        <v>12</v>
      </c>
      <c r="L2298" t="n">
        <v>12</v>
      </c>
      <c r="M2298" t="n">
        <v>12</v>
      </c>
      <c r="N2298" t="n">
        <v>12</v>
      </c>
      <c r="O2298" t="n">
        <v>20</v>
      </c>
      <c r="P2298" t="n">
        <v>4</v>
      </c>
      <c r="R2298" s="9" t="n">
        <v>0.04</v>
      </c>
      <c r="S2298" s="10" t="inlineStr">
        <is>
          <t>SÍ — integrante</t>
        </is>
      </c>
      <c r="T2298" s="11" t="inlineStr">
        <is>
          <t>B · INTEGRANTE</t>
        </is>
      </c>
      <c r="U2298" s="11" t="inlineStr">
        <is>
          <t>DEL BANCO (se hereda)</t>
        </is>
      </c>
      <c r="V2298" s="11" t="n"/>
      <c r="W2298" s="12" t="n"/>
      <c r="X2298" s="12" t="n"/>
    </row>
    <row r="2299" ht="15" customHeight="1">
      <c r="C2299" t="inlineStr">
        <is>
          <t>NACIONALIDAD</t>
        </is>
      </c>
      <c r="D2299" t="inlineStr">
        <is>
          <t>F5</t>
        </is>
      </c>
      <c r="E2299" t="inlineStr">
        <is>
          <t>INHERENTE</t>
        </is>
      </c>
      <c r="F2299" t="inlineStr">
        <is>
          <t>ZAMBIA</t>
        </is>
      </c>
      <c r="G2299" t="inlineStr">
        <is>
          <t>ZM</t>
        </is>
      </c>
      <c r="H2299" t="n">
        <v>2</v>
      </c>
      <c r="I2299" t="n">
        <v>2</v>
      </c>
      <c r="J2299" t="n">
        <v>4</v>
      </c>
      <c r="K2299" t="n">
        <v>8</v>
      </c>
      <c r="L2299" t="n">
        <v>8</v>
      </c>
      <c r="M2299" t="n">
        <v>8</v>
      </c>
      <c r="N2299" t="n">
        <v>8</v>
      </c>
      <c r="O2299" t="n">
        <v>20</v>
      </c>
      <c r="P2299" t="n">
        <v>4</v>
      </c>
      <c r="R2299" s="9" t="n">
        <v>0.04</v>
      </c>
      <c r="S2299" s="10" t="inlineStr">
        <is>
          <t>SÍ — integrante</t>
        </is>
      </c>
      <c r="T2299" s="11" t="inlineStr">
        <is>
          <t>B · INTEGRANTE</t>
        </is>
      </c>
      <c r="U2299" s="11" t="inlineStr">
        <is>
          <t>DEL BANCO (se hereda)</t>
        </is>
      </c>
      <c r="V2299" s="11" t="n"/>
      <c r="W2299" s="12" t="n"/>
      <c r="X2299" s="12" t="n"/>
    </row>
    <row r="2300" ht="15" customHeight="1">
      <c r="C2300" t="inlineStr">
        <is>
          <t>NACIONALIDAD</t>
        </is>
      </c>
      <c r="D2300" t="inlineStr">
        <is>
          <t>F5</t>
        </is>
      </c>
      <c r="E2300" t="inlineStr">
        <is>
          <t>INHERENTE</t>
        </is>
      </c>
      <c r="F2300" t="inlineStr">
        <is>
          <t>ZIMBABUE</t>
        </is>
      </c>
      <c r="G2300" t="inlineStr">
        <is>
          <t>ZW</t>
        </is>
      </c>
      <c r="H2300" t="n">
        <v>4</v>
      </c>
      <c r="I2300" t="n">
        <v>4</v>
      </c>
      <c r="J2300" t="n">
        <v>4</v>
      </c>
      <c r="K2300" t="n">
        <v>16</v>
      </c>
      <c r="L2300" t="n">
        <v>16</v>
      </c>
      <c r="M2300" t="n">
        <v>16</v>
      </c>
      <c r="N2300" t="n">
        <v>16</v>
      </c>
      <c r="O2300" t="n">
        <v>20</v>
      </c>
      <c r="P2300" t="n">
        <v>4</v>
      </c>
      <c r="R2300" s="9" t="n">
        <v>0.04</v>
      </c>
      <c r="S2300" s="10" t="inlineStr">
        <is>
          <t>SÍ — integrante</t>
        </is>
      </c>
      <c r="T2300" s="11" t="inlineStr">
        <is>
          <t>B · INTEGRANTE</t>
        </is>
      </c>
      <c r="U2300" s="11" t="inlineStr">
        <is>
          <t>DEL BANCO (se hereda)</t>
        </is>
      </c>
      <c r="V2300" s="11" t="n"/>
      <c r="W2300" s="12" t="n"/>
      <c r="X2300" s="12" t="n"/>
    </row>
    <row r="2301" ht="15" customHeight="1">
      <c r="C2301" t="inlineStr">
        <is>
          <t>PAIS DEL DOMICILIO</t>
        </is>
      </c>
      <c r="D2301" t="inlineStr">
        <is>
          <t>F6</t>
        </is>
      </c>
      <c r="E2301" t="inlineStr">
        <is>
          <t>INHERENTE</t>
        </is>
      </c>
      <c r="F2301" t="inlineStr">
        <is>
          <t>ANDORRA</t>
        </is>
      </c>
      <c r="G2301" t="inlineStr">
        <is>
          <t>AD</t>
        </is>
      </c>
      <c r="H2301" t="n">
        <v>1</v>
      </c>
      <c r="I2301" t="n">
        <v>1</v>
      </c>
      <c r="J2301" t="n">
        <v>4</v>
      </c>
      <c r="K2301" t="n">
        <v>4</v>
      </c>
      <c r="L2301" t="n">
        <v>4</v>
      </c>
      <c r="M2301" t="n">
        <v>4</v>
      </c>
      <c r="N2301" t="n">
        <v>4</v>
      </c>
      <c r="O2301" t="n">
        <v>20</v>
      </c>
      <c r="P2301" t="n">
        <v>4</v>
      </c>
      <c r="R2301" s="9" t="n">
        <v>0.04</v>
      </c>
      <c r="S2301" s="10" t="inlineStr">
        <is>
          <t>SÍ — integrante</t>
        </is>
      </c>
      <c r="T2301" s="11" t="inlineStr">
        <is>
          <t>B · INTEGRANTE</t>
        </is>
      </c>
      <c r="U2301" s="11" t="inlineStr">
        <is>
          <t>DEL BANCO (se hereda)</t>
        </is>
      </c>
      <c r="V2301" s="11" t="n"/>
      <c r="W2301" s="12" t="n"/>
      <c r="X2301" s="12" t="n"/>
    </row>
    <row r="2302" ht="15" customHeight="1">
      <c r="C2302" t="inlineStr">
        <is>
          <t>PAIS DEL DOMICILIO</t>
        </is>
      </c>
      <c r="D2302" t="inlineStr">
        <is>
          <t>F6</t>
        </is>
      </c>
      <c r="E2302" t="inlineStr">
        <is>
          <t>INHERENTE</t>
        </is>
      </c>
      <c r="F2302" t="inlineStr">
        <is>
          <t>EMIRATOS ARABES UNID</t>
        </is>
      </c>
      <c r="G2302" t="inlineStr">
        <is>
          <t>AE</t>
        </is>
      </c>
      <c r="H2302" t="n">
        <v>3</v>
      </c>
      <c r="I2302" t="n">
        <v>3</v>
      </c>
      <c r="J2302" t="n">
        <v>4</v>
      </c>
      <c r="K2302" t="n">
        <v>12</v>
      </c>
      <c r="L2302" t="n">
        <v>12</v>
      </c>
      <c r="M2302" t="n">
        <v>12</v>
      </c>
      <c r="N2302" t="n">
        <v>12</v>
      </c>
      <c r="O2302" t="n">
        <v>20</v>
      </c>
      <c r="P2302" t="n">
        <v>4</v>
      </c>
      <c r="R2302" s="9" t="n">
        <v>0.04</v>
      </c>
      <c r="S2302" s="10" t="inlineStr">
        <is>
          <t>SÍ — integrante</t>
        </is>
      </c>
      <c r="T2302" s="11" t="inlineStr">
        <is>
          <t>B · INTEGRANTE</t>
        </is>
      </c>
      <c r="U2302" s="11" t="inlineStr">
        <is>
          <t>DEL BANCO (se hereda)</t>
        </is>
      </c>
      <c r="V2302" s="11" t="n"/>
      <c r="W2302" s="12" t="n"/>
      <c r="X2302" s="12" t="n"/>
    </row>
    <row r="2303" ht="15" customHeight="1">
      <c r="C2303" t="inlineStr">
        <is>
          <t>PAIS DEL DOMICILIO</t>
        </is>
      </c>
      <c r="D2303" t="inlineStr">
        <is>
          <t>F6</t>
        </is>
      </c>
      <c r="E2303" t="inlineStr">
        <is>
          <t>INHERENTE</t>
        </is>
      </c>
      <c r="F2303" t="inlineStr">
        <is>
          <t>AFGANISTAN (GFG)</t>
        </is>
      </c>
      <c r="G2303" t="inlineStr">
        <is>
          <t>AF</t>
        </is>
      </c>
      <c r="H2303" t="n">
        <v>4</v>
      </c>
      <c r="I2303" t="n">
        <v>4</v>
      </c>
      <c r="J2303" t="n">
        <v>4</v>
      </c>
      <c r="K2303" t="n">
        <v>16</v>
      </c>
      <c r="L2303" t="n">
        <v>16</v>
      </c>
      <c r="M2303" t="n">
        <v>16</v>
      </c>
      <c r="N2303" t="n">
        <v>16</v>
      </c>
      <c r="O2303" t="n">
        <v>20</v>
      </c>
      <c r="P2303" t="n">
        <v>4</v>
      </c>
      <c r="R2303" s="9" t="n">
        <v>0.04</v>
      </c>
      <c r="S2303" s="10" t="inlineStr">
        <is>
          <t>SÍ — integrante</t>
        </is>
      </c>
      <c r="T2303" s="11" t="inlineStr">
        <is>
          <t>B · INTEGRANTE</t>
        </is>
      </c>
      <c r="U2303" s="11" t="inlineStr">
        <is>
          <t>DEL BANCO (se hereda)</t>
        </is>
      </c>
      <c r="V2303" s="11" t="n"/>
      <c r="W2303" s="12" t="n"/>
      <c r="X2303" s="12" t="n"/>
    </row>
    <row r="2304" ht="15" customHeight="1">
      <c r="C2304" t="inlineStr">
        <is>
          <t>PAIS DEL DOMICILIO</t>
        </is>
      </c>
      <c r="D2304" t="inlineStr">
        <is>
          <t>F6</t>
        </is>
      </c>
      <c r="E2304" t="inlineStr">
        <is>
          <t>INHERENTE</t>
        </is>
      </c>
      <c r="F2304" t="inlineStr">
        <is>
          <t>ANTIGUA Y BARBUDA</t>
        </is>
      </c>
      <c r="G2304" t="inlineStr">
        <is>
          <t>AG</t>
        </is>
      </c>
      <c r="H2304" t="n">
        <v>3</v>
      </c>
      <c r="I2304" t="n">
        <v>3</v>
      </c>
      <c r="J2304" t="n">
        <v>4</v>
      </c>
      <c r="K2304" t="n">
        <v>12</v>
      </c>
      <c r="L2304" t="n">
        <v>12</v>
      </c>
      <c r="M2304" t="n">
        <v>12</v>
      </c>
      <c r="N2304" t="n">
        <v>12</v>
      </c>
      <c r="O2304" t="n">
        <v>20</v>
      </c>
      <c r="P2304" t="n">
        <v>4</v>
      </c>
      <c r="R2304" s="9" t="n">
        <v>0.04</v>
      </c>
      <c r="S2304" s="10" t="inlineStr">
        <is>
          <t>SÍ — integrante</t>
        </is>
      </c>
      <c r="T2304" s="11" t="inlineStr">
        <is>
          <t>B · INTEGRANTE</t>
        </is>
      </c>
      <c r="U2304" s="11" t="inlineStr">
        <is>
          <t>DEL BANCO (se hereda)</t>
        </is>
      </c>
      <c r="V2304" s="11" t="n"/>
      <c r="W2304" s="12" t="n"/>
      <c r="X2304" s="12" t="n"/>
    </row>
    <row r="2305" ht="15" customHeight="1">
      <c r="C2305" t="inlineStr">
        <is>
          <t>PAIS DEL DOMICILIO</t>
        </is>
      </c>
      <c r="D2305" t="inlineStr">
        <is>
          <t>F6</t>
        </is>
      </c>
      <c r="E2305" t="inlineStr">
        <is>
          <t>INHERENTE</t>
        </is>
      </c>
      <c r="F2305" t="inlineStr">
        <is>
          <t>ANGUILA</t>
        </is>
      </c>
      <c r="G2305" t="inlineStr">
        <is>
          <t>AI</t>
        </is>
      </c>
      <c r="H2305" t="n">
        <v>3</v>
      </c>
      <c r="I2305" t="n">
        <v>3</v>
      </c>
      <c r="J2305" t="n">
        <v>4</v>
      </c>
      <c r="K2305" t="n">
        <v>12</v>
      </c>
      <c r="L2305" t="n">
        <v>12</v>
      </c>
      <c r="M2305" t="n">
        <v>12</v>
      </c>
      <c r="N2305" t="n">
        <v>12</v>
      </c>
      <c r="O2305" t="n">
        <v>20</v>
      </c>
      <c r="P2305" t="n">
        <v>4</v>
      </c>
      <c r="R2305" s="9" t="n">
        <v>0.04</v>
      </c>
      <c r="S2305" s="10" t="inlineStr">
        <is>
          <t>SÍ — integrante</t>
        </is>
      </c>
      <c r="T2305" s="11" t="inlineStr">
        <is>
          <t>B · INTEGRANTE</t>
        </is>
      </c>
      <c r="U2305" s="11" t="inlineStr">
        <is>
          <t>DEL BANCO (se hereda)</t>
        </is>
      </c>
      <c r="V2305" s="11" t="n"/>
      <c r="W2305" s="12" t="n"/>
      <c r="X2305" s="12" t="n"/>
    </row>
    <row r="2306" ht="15" customHeight="1">
      <c r="C2306" t="inlineStr">
        <is>
          <t>PAIS DEL DOMICILIO</t>
        </is>
      </c>
      <c r="D2306" t="inlineStr">
        <is>
          <t>F6</t>
        </is>
      </c>
      <c r="E2306" t="inlineStr">
        <is>
          <t>INHERENTE</t>
        </is>
      </c>
      <c r="F2306" t="inlineStr">
        <is>
          <t>ALBANIA</t>
        </is>
      </c>
      <c r="G2306" t="inlineStr">
        <is>
          <t>AL</t>
        </is>
      </c>
      <c r="H2306" t="n">
        <v>2</v>
      </c>
      <c r="I2306" t="n">
        <v>2</v>
      </c>
      <c r="J2306" t="n">
        <v>4</v>
      </c>
      <c r="K2306" t="n">
        <v>8</v>
      </c>
      <c r="L2306" t="n">
        <v>8</v>
      </c>
      <c r="M2306" t="n">
        <v>8</v>
      </c>
      <c r="N2306" t="n">
        <v>8</v>
      </c>
      <c r="O2306" t="n">
        <v>20</v>
      </c>
      <c r="P2306" t="n">
        <v>4</v>
      </c>
      <c r="R2306" s="9" t="n">
        <v>0.04</v>
      </c>
      <c r="S2306" s="10" t="inlineStr">
        <is>
          <t>SÍ — integrante</t>
        </is>
      </c>
      <c r="T2306" s="11" t="inlineStr">
        <is>
          <t>B · INTEGRANTE</t>
        </is>
      </c>
      <c r="U2306" s="11" t="inlineStr">
        <is>
          <t>DEL BANCO (se hereda)</t>
        </is>
      </c>
      <c r="V2306" s="11" t="n"/>
      <c r="W2306" s="12" t="n"/>
      <c r="X2306" s="12" t="n"/>
    </row>
    <row r="2307" ht="15" customHeight="1">
      <c r="C2307" t="inlineStr">
        <is>
          <t>PAIS DEL DOMICILIO</t>
        </is>
      </c>
      <c r="D2307" t="inlineStr">
        <is>
          <t>F6</t>
        </is>
      </c>
      <c r="E2307" t="inlineStr">
        <is>
          <t>INHERENTE</t>
        </is>
      </c>
      <c r="F2307" t="inlineStr">
        <is>
          <t>ARMENIA</t>
        </is>
      </c>
      <c r="G2307" t="inlineStr">
        <is>
          <t>AM</t>
        </is>
      </c>
      <c r="H2307" t="n">
        <v>2</v>
      </c>
      <c r="I2307" t="n">
        <v>2</v>
      </c>
      <c r="J2307" t="n">
        <v>4</v>
      </c>
      <c r="K2307" t="n">
        <v>8</v>
      </c>
      <c r="L2307" t="n">
        <v>8</v>
      </c>
      <c r="M2307" t="n">
        <v>8</v>
      </c>
      <c r="N2307" t="n">
        <v>8</v>
      </c>
      <c r="O2307" t="n">
        <v>20</v>
      </c>
      <c r="P2307" t="n">
        <v>4</v>
      </c>
      <c r="R2307" s="9" t="n">
        <v>0.04</v>
      </c>
      <c r="S2307" s="10" t="inlineStr">
        <is>
          <t>SÍ — integrante</t>
        </is>
      </c>
      <c r="T2307" s="11" t="inlineStr">
        <is>
          <t>B · INTEGRANTE</t>
        </is>
      </c>
      <c r="U2307" s="11" t="inlineStr">
        <is>
          <t>DEL BANCO (se hereda)</t>
        </is>
      </c>
      <c r="V2307" s="11" t="n"/>
      <c r="W2307" s="12" t="n"/>
      <c r="X2307" s="12" t="n"/>
    </row>
    <row r="2308" ht="15" customHeight="1">
      <c r="C2308" t="inlineStr">
        <is>
          <t>PAIS DEL DOMICILIO</t>
        </is>
      </c>
      <c r="D2308" t="inlineStr">
        <is>
          <t>F6</t>
        </is>
      </c>
      <c r="E2308" t="inlineStr">
        <is>
          <t>INHERENTE</t>
        </is>
      </c>
      <c r="F2308" t="inlineStr">
        <is>
          <t>ANTILLAS NEERLANDESA</t>
        </is>
      </c>
      <c r="G2308" t="inlineStr">
        <is>
          <t>AN</t>
        </is>
      </c>
      <c r="H2308" t="n">
        <v>3</v>
      </c>
      <c r="I2308" t="n">
        <v>3</v>
      </c>
      <c r="J2308" t="n">
        <v>4</v>
      </c>
      <c r="K2308" t="n">
        <v>12</v>
      </c>
      <c r="L2308" t="n">
        <v>12</v>
      </c>
      <c r="M2308" t="n">
        <v>12</v>
      </c>
      <c r="N2308" t="n">
        <v>12</v>
      </c>
      <c r="O2308" t="n">
        <v>20</v>
      </c>
      <c r="P2308" t="n">
        <v>4</v>
      </c>
      <c r="R2308" s="9" t="n">
        <v>0.04</v>
      </c>
      <c r="S2308" s="10" t="inlineStr">
        <is>
          <t>SÍ — integrante</t>
        </is>
      </c>
      <c r="T2308" s="11" t="inlineStr">
        <is>
          <t>B · INTEGRANTE</t>
        </is>
      </c>
      <c r="U2308" s="11" t="inlineStr">
        <is>
          <t>DEL BANCO (se hereda)</t>
        </is>
      </c>
      <c r="V2308" s="11" t="n"/>
      <c r="W2308" s="12" t="n"/>
      <c r="X2308" s="12" t="n"/>
    </row>
    <row r="2309" ht="15" customHeight="1">
      <c r="C2309" t="inlineStr">
        <is>
          <t>PAIS DEL DOMICILIO</t>
        </is>
      </c>
      <c r="D2309" t="inlineStr">
        <is>
          <t>F6</t>
        </is>
      </c>
      <c r="E2309" t="inlineStr">
        <is>
          <t>INHERENTE</t>
        </is>
      </c>
      <c r="F2309" t="inlineStr">
        <is>
          <t>ANGOLA</t>
        </is>
      </c>
      <c r="G2309" t="inlineStr">
        <is>
          <t>AO</t>
        </is>
      </c>
      <c r="H2309" t="n">
        <v>4</v>
      </c>
      <c r="I2309" t="n">
        <v>4</v>
      </c>
      <c r="J2309" t="n">
        <v>4</v>
      </c>
      <c r="K2309" t="n">
        <v>16</v>
      </c>
      <c r="L2309" t="n">
        <v>16</v>
      </c>
      <c r="M2309" t="n">
        <v>16</v>
      </c>
      <c r="N2309" t="n">
        <v>16</v>
      </c>
      <c r="O2309" t="n">
        <v>20</v>
      </c>
      <c r="P2309" t="n">
        <v>4</v>
      </c>
      <c r="Q2309" t="inlineStr">
        <is>
          <t>DETERMINANTE</t>
        </is>
      </c>
      <c r="R2309" s="9" t="n">
        <v>0.04</v>
      </c>
      <c r="S2309" s="10" t="inlineStr">
        <is>
          <t>SÍ — integrante</t>
        </is>
      </c>
      <c r="T2309" s="11" t="inlineStr">
        <is>
          <t>B · INTEGRANTE</t>
        </is>
      </c>
      <c r="U2309" s="11" t="inlineStr">
        <is>
          <t>DEL BANCO (se hereda)</t>
        </is>
      </c>
      <c r="V2309" s="11" t="n"/>
      <c r="W2309" s="12" t="n"/>
      <c r="X2309" s="12" t="n"/>
    </row>
    <row r="2310" ht="15" customHeight="1">
      <c r="C2310" t="inlineStr">
        <is>
          <t>PAIS DEL DOMICILIO</t>
        </is>
      </c>
      <c r="D2310" t="inlineStr">
        <is>
          <t>F6</t>
        </is>
      </c>
      <c r="E2310" t="inlineStr">
        <is>
          <t>INHERENTE</t>
        </is>
      </c>
      <c r="F2310" t="inlineStr">
        <is>
          <t>ANTARTICA</t>
        </is>
      </c>
      <c r="G2310" t="inlineStr">
        <is>
          <t>AQ</t>
        </is>
      </c>
      <c r="H2310" t="n">
        <v>1</v>
      </c>
      <c r="I2310" t="n">
        <v>1</v>
      </c>
      <c r="J2310" t="n">
        <v>4</v>
      </c>
      <c r="K2310" t="n">
        <v>4</v>
      </c>
      <c r="L2310" t="n">
        <v>4</v>
      </c>
      <c r="M2310" t="n">
        <v>4</v>
      </c>
      <c r="N2310" t="n">
        <v>4</v>
      </c>
      <c r="O2310" t="n">
        <v>20</v>
      </c>
      <c r="P2310" t="n">
        <v>4</v>
      </c>
      <c r="R2310" s="9" t="n">
        <v>0.04</v>
      </c>
      <c r="S2310" s="10" t="inlineStr">
        <is>
          <t>SÍ — integrante</t>
        </is>
      </c>
      <c r="T2310" s="11" t="inlineStr">
        <is>
          <t>B · INTEGRANTE</t>
        </is>
      </c>
      <c r="U2310" s="11" t="inlineStr">
        <is>
          <t>DEL BANCO (se hereda)</t>
        </is>
      </c>
      <c r="V2310" s="11" t="n"/>
      <c r="W2310" s="12" t="n"/>
      <c r="X2310" s="12" t="n"/>
    </row>
    <row r="2311" ht="15" customHeight="1">
      <c r="C2311" t="inlineStr">
        <is>
          <t>PAIS DEL DOMICILIO</t>
        </is>
      </c>
      <c r="D2311" t="inlineStr">
        <is>
          <t>F6</t>
        </is>
      </c>
      <c r="E2311" t="inlineStr">
        <is>
          <t>INHERENTE</t>
        </is>
      </c>
      <c r="F2311" t="inlineStr">
        <is>
          <t>ARGENTINA</t>
        </is>
      </c>
      <c r="G2311" t="inlineStr">
        <is>
          <t>AR</t>
        </is>
      </c>
      <c r="H2311" t="n">
        <v>2</v>
      </c>
      <c r="I2311" t="n">
        <v>2</v>
      </c>
      <c r="J2311" t="n">
        <v>4</v>
      </c>
      <c r="K2311" t="n">
        <v>8</v>
      </c>
      <c r="L2311" t="n">
        <v>8</v>
      </c>
      <c r="M2311" t="n">
        <v>8</v>
      </c>
      <c r="N2311" t="n">
        <v>8</v>
      </c>
      <c r="O2311" t="n">
        <v>20</v>
      </c>
      <c r="P2311" t="n">
        <v>4</v>
      </c>
      <c r="R2311" s="9" t="n">
        <v>0.04</v>
      </c>
      <c r="S2311" s="10" t="inlineStr">
        <is>
          <t>SÍ — integrante</t>
        </is>
      </c>
      <c r="T2311" s="11" t="inlineStr">
        <is>
          <t>B · INTEGRANTE</t>
        </is>
      </c>
      <c r="U2311" s="11" t="inlineStr">
        <is>
          <t>DEL BANCO (se hereda)</t>
        </is>
      </c>
      <c r="V2311" s="11" t="n"/>
      <c r="W2311" s="12" t="n"/>
      <c r="X2311" s="12" t="n"/>
    </row>
    <row r="2312" ht="15" customHeight="1">
      <c r="C2312" t="inlineStr">
        <is>
          <t>PAIS DEL DOMICILIO</t>
        </is>
      </c>
      <c r="D2312" t="inlineStr">
        <is>
          <t>F6</t>
        </is>
      </c>
      <c r="E2312" t="inlineStr">
        <is>
          <t>INHERENTE</t>
        </is>
      </c>
      <c r="F2312" t="inlineStr">
        <is>
          <t>SAMOA</t>
        </is>
      </c>
      <c r="G2312" t="inlineStr">
        <is>
          <t>AS</t>
        </is>
      </c>
      <c r="H2312" t="n">
        <v>1</v>
      </c>
      <c r="I2312" t="n">
        <v>1</v>
      </c>
      <c r="J2312" t="n">
        <v>4</v>
      </c>
      <c r="K2312" t="n">
        <v>4</v>
      </c>
      <c r="L2312" t="n">
        <v>4</v>
      </c>
      <c r="M2312" t="n">
        <v>4</v>
      </c>
      <c r="N2312" t="n">
        <v>4</v>
      </c>
      <c r="O2312" t="n">
        <v>20</v>
      </c>
      <c r="P2312" t="n">
        <v>4</v>
      </c>
      <c r="R2312" s="9" t="n">
        <v>0.04</v>
      </c>
      <c r="S2312" s="10" t="inlineStr">
        <is>
          <t>SÍ — integrante</t>
        </is>
      </c>
      <c r="T2312" s="11" t="inlineStr">
        <is>
          <t>B · INTEGRANTE</t>
        </is>
      </c>
      <c r="U2312" s="11" t="inlineStr">
        <is>
          <t>DEL BANCO (se hereda)</t>
        </is>
      </c>
      <c r="V2312" s="11" t="n"/>
      <c r="W2312" s="12" t="n"/>
      <c r="X2312" s="12" t="n"/>
    </row>
    <row r="2313" ht="15" customHeight="1">
      <c r="C2313" t="inlineStr">
        <is>
          <t>PAIS DEL DOMICILIO</t>
        </is>
      </c>
      <c r="D2313" t="inlineStr">
        <is>
          <t>F6</t>
        </is>
      </c>
      <c r="E2313" t="inlineStr">
        <is>
          <t>INHERENTE</t>
        </is>
      </c>
      <c r="F2313" t="inlineStr">
        <is>
          <t>AUSTRIA</t>
        </is>
      </c>
      <c r="G2313" t="inlineStr">
        <is>
          <t>AT</t>
        </is>
      </c>
      <c r="H2313" t="n">
        <v>1</v>
      </c>
      <c r="I2313" t="n">
        <v>1</v>
      </c>
      <c r="J2313" t="n">
        <v>4</v>
      </c>
      <c r="K2313" t="n">
        <v>4</v>
      </c>
      <c r="L2313" t="n">
        <v>4</v>
      </c>
      <c r="M2313" t="n">
        <v>4</v>
      </c>
      <c r="N2313" t="n">
        <v>4</v>
      </c>
      <c r="O2313" t="n">
        <v>20</v>
      </c>
      <c r="P2313" t="n">
        <v>4</v>
      </c>
      <c r="R2313" s="9" t="n">
        <v>0.04</v>
      </c>
      <c r="S2313" s="10" t="inlineStr">
        <is>
          <t>SÍ — integrante</t>
        </is>
      </c>
      <c r="T2313" s="11" t="inlineStr">
        <is>
          <t>B · INTEGRANTE</t>
        </is>
      </c>
      <c r="U2313" s="11" t="inlineStr">
        <is>
          <t>DEL BANCO (se hereda)</t>
        </is>
      </c>
      <c r="V2313" s="11" t="n"/>
      <c r="W2313" s="12" t="n"/>
      <c r="X2313" s="12" t="n"/>
    </row>
    <row r="2314" ht="15" customHeight="1">
      <c r="C2314" t="inlineStr">
        <is>
          <t>PAIS DEL DOMICILIO</t>
        </is>
      </c>
      <c r="D2314" t="inlineStr">
        <is>
          <t>F6</t>
        </is>
      </c>
      <c r="E2314" t="inlineStr">
        <is>
          <t>INHERENTE</t>
        </is>
      </c>
      <c r="F2314" t="inlineStr">
        <is>
          <t>AUSTRALIA</t>
        </is>
      </c>
      <c r="G2314" t="inlineStr">
        <is>
          <t>AU</t>
        </is>
      </c>
      <c r="H2314" t="n">
        <v>1</v>
      </c>
      <c r="I2314" t="n">
        <v>1</v>
      </c>
      <c r="J2314" t="n">
        <v>4</v>
      </c>
      <c r="K2314" t="n">
        <v>4</v>
      </c>
      <c r="L2314" t="n">
        <v>4</v>
      </c>
      <c r="M2314" t="n">
        <v>4</v>
      </c>
      <c r="N2314" t="n">
        <v>4</v>
      </c>
      <c r="O2314" t="n">
        <v>20</v>
      </c>
      <c r="P2314" t="n">
        <v>4</v>
      </c>
      <c r="R2314" s="9" t="n">
        <v>0.04</v>
      </c>
      <c r="S2314" s="10" t="inlineStr">
        <is>
          <t>SÍ — integrante</t>
        </is>
      </c>
      <c r="T2314" s="11" t="inlineStr">
        <is>
          <t>B · INTEGRANTE</t>
        </is>
      </c>
      <c r="U2314" s="11" t="inlineStr">
        <is>
          <t>DEL BANCO (se hereda)</t>
        </is>
      </c>
      <c r="V2314" s="11" t="n"/>
      <c r="W2314" s="12" t="n"/>
      <c r="X2314" s="12" t="n"/>
    </row>
    <row r="2315" ht="15" customHeight="1">
      <c r="C2315" t="inlineStr">
        <is>
          <t>PAIS DEL DOMICILIO</t>
        </is>
      </c>
      <c r="D2315" t="inlineStr">
        <is>
          <t>F6</t>
        </is>
      </c>
      <c r="E2315" t="inlineStr">
        <is>
          <t>INHERENTE</t>
        </is>
      </c>
      <c r="F2315" t="inlineStr">
        <is>
          <t>ARUBA</t>
        </is>
      </c>
      <c r="G2315" t="inlineStr">
        <is>
          <t>AW</t>
        </is>
      </c>
      <c r="H2315" t="n">
        <v>3</v>
      </c>
      <c r="I2315" t="n">
        <v>3</v>
      </c>
      <c r="J2315" t="n">
        <v>4</v>
      </c>
      <c r="K2315" t="n">
        <v>12</v>
      </c>
      <c r="L2315" t="n">
        <v>12</v>
      </c>
      <c r="M2315" t="n">
        <v>12</v>
      </c>
      <c r="N2315" t="n">
        <v>12</v>
      </c>
      <c r="O2315" t="n">
        <v>20</v>
      </c>
      <c r="P2315" t="n">
        <v>4</v>
      </c>
      <c r="R2315" s="9" t="n">
        <v>0.04</v>
      </c>
      <c r="S2315" s="10" t="inlineStr">
        <is>
          <t>SÍ — integrante</t>
        </is>
      </c>
      <c r="T2315" s="11" t="inlineStr">
        <is>
          <t>B · INTEGRANTE</t>
        </is>
      </c>
      <c r="U2315" s="11" t="inlineStr">
        <is>
          <t>DEL BANCO (se hereda)</t>
        </is>
      </c>
      <c r="V2315" s="11" t="n"/>
      <c r="W2315" s="12" t="n"/>
      <c r="X2315" s="12" t="n"/>
    </row>
    <row r="2316" ht="15" customHeight="1">
      <c r="C2316" t="inlineStr">
        <is>
          <t>PAIS DEL DOMICILIO</t>
        </is>
      </c>
      <c r="D2316" t="inlineStr">
        <is>
          <t>F6</t>
        </is>
      </c>
      <c r="E2316" t="inlineStr">
        <is>
          <t>INHERENTE</t>
        </is>
      </c>
      <c r="F2316" t="inlineStr">
        <is>
          <t>ALAND</t>
        </is>
      </c>
      <c r="G2316" t="inlineStr">
        <is>
          <t>AX</t>
        </is>
      </c>
      <c r="H2316" t="n">
        <v>1</v>
      </c>
      <c r="I2316" t="n">
        <v>1</v>
      </c>
      <c r="J2316" t="n">
        <v>4</v>
      </c>
      <c r="K2316" t="n">
        <v>4</v>
      </c>
      <c r="L2316" t="n">
        <v>4</v>
      </c>
      <c r="M2316" t="n">
        <v>4</v>
      </c>
      <c r="N2316" t="n">
        <v>4</v>
      </c>
      <c r="O2316" t="n">
        <v>20</v>
      </c>
      <c r="P2316" t="n">
        <v>4</v>
      </c>
      <c r="R2316" s="9" t="n">
        <v>0.04</v>
      </c>
      <c r="S2316" s="10" t="inlineStr">
        <is>
          <t>SÍ — integrante</t>
        </is>
      </c>
      <c r="T2316" s="11" t="inlineStr">
        <is>
          <t>B · INTEGRANTE</t>
        </is>
      </c>
      <c r="U2316" s="11" t="inlineStr">
        <is>
          <t>DEL BANCO (se hereda)</t>
        </is>
      </c>
      <c r="V2316" s="11" t="n"/>
      <c r="W2316" s="12" t="n"/>
      <c r="X2316" s="12" t="n"/>
    </row>
    <row r="2317" ht="15" customHeight="1">
      <c r="C2317" t="inlineStr">
        <is>
          <t>PAIS DEL DOMICILIO</t>
        </is>
      </c>
      <c r="D2317" t="inlineStr">
        <is>
          <t>F6</t>
        </is>
      </c>
      <c r="E2317" t="inlineStr">
        <is>
          <t>INHERENTE</t>
        </is>
      </c>
      <c r="F2317" t="inlineStr">
        <is>
          <t>AZERBAIJAN</t>
        </is>
      </c>
      <c r="G2317" t="inlineStr">
        <is>
          <t>AZ</t>
        </is>
      </c>
      <c r="H2317" t="n">
        <v>3</v>
      </c>
      <c r="I2317" t="n">
        <v>3</v>
      </c>
      <c r="J2317" t="n">
        <v>4</v>
      </c>
      <c r="K2317" t="n">
        <v>12</v>
      </c>
      <c r="L2317" t="n">
        <v>12</v>
      </c>
      <c r="M2317" t="n">
        <v>12</v>
      </c>
      <c r="N2317" t="n">
        <v>12</v>
      </c>
      <c r="O2317" t="n">
        <v>20</v>
      </c>
      <c r="P2317" t="n">
        <v>4</v>
      </c>
      <c r="R2317" s="9" t="n">
        <v>0.04</v>
      </c>
      <c r="S2317" s="10" t="inlineStr">
        <is>
          <t>SÍ — integrante</t>
        </is>
      </c>
      <c r="T2317" s="11" t="inlineStr">
        <is>
          <t>B · INTEGRANTE</t>
        </is>
      </c>
      <c r="U2317" s="11" t="inlineStr">
        <is>
          <t>DEL BANCO (se hereda)</t>
        </is>
      </c>
      <c r="V2317" s="11" t="n"/>
      <c r="W2317" s="12" t="n"/>
      <c r="X2317" s="12" t="n"/>
    </row>
    <row r="2318" ht="15" customHeight="1">
      <c r="C2318" t="inlineStr">
        <is>
          <t>PAIS DEL DOMICILIO</t>
        </is>
      </c>
      <c r="D2318" t="inlineStr">
        <is>
          <t>F6</t>
        </is>
      </c>
      <c r="E2318" t="inlineStr">
        <is>
          <t>INHERENTE</t>
        </is>
      </c>
      <c r="F2318" t="inlineStr">
        <is>
          <t>BOSNIE-HERZ</t>
        </is>
      </c>
      <c r="G2318" t="inlineStr">
        <is>
          <t>BA</t>
        </is>
      </c>
      <c r="H2318" t="n">
        <v>2</v>
      </c>
      <c r="I2318" t="n">
        <v>2</v>
      </c>
      <c r="J2318" t="n">
        <v>4</v>
      </c>
      <c r="K2318" t="n">
        <v>8</v>
      </c>
      <c r="L2318" t="n">
        <v>8</v>
      </c>
      <c r="M2318" t="n">
        <v>8</v>
      </c>
      <c r="N2318" t="n">
        <v>8</v>
      </c>
      <c r="O2318" t="n">
        <v>20</v>
      </c>
      <c r="P2318" t="n">
        <v>4</v>
      </c>
      <c r="R2318" s="9" t="n">
        <v>0.04</v>
      </c>
      <c r="S2318" s="10" t="inlineStr">
        <is>
          <t>SÍ — integrante</t>
        </is>
      </c>
      <c r="T2318" s="11" t="inlineStr">
        <is>
          <t>B · INTEGRANTE</t>
        </is>
      </c>
      <c r="U2318" s="11" t="inlineStr">
        <is>
          <t>DEL BANCO (se hereda)</t>
        </is>
      </c>
      <c r="V2318" s="11" t="n"/>
      <c r="W2318" s="12" t="n"/>
      <c r="X2318" s="12" t="n"/>
    </row>
    <row r="2319" ht="15" customHeight="1">
      <c r="C2319" t="inlineStr">
        <is>
          <t>PAIS DEL DOMICILIO</t>
        </is>
      </c>
      <c r="D2319" t="inlineStr">
        <is>
          <t>F6</t>
        </is>
      </c>
      <c r="E2319" t="inlineStr">
        <is>
          <t>INHERENTE</t>
        </is>
      </c>
      <c r="F2319" t="inlineStr">
        <is>
          <t>BARBADOS</t>
        </is>
      </c>
      <c r="G2319" t="inlineStr">
        <is>
          <t>BB</t>
        </is>
      </c>
      <c r="H2319" t="n">
        <v>3</v>
      </c>
      <c r="I2319" t="n">
        <v>3</v>
      </c>
      <c r="J2319" t="n">
        <v>4</v>
      </c>
      <c r="K2319" t="n">
        <v>12</v>
      </c>
      <c r="L2319" t="n">
        <v>12</v>
      </c>
      <c r="M2319" t="n">
        <v>12</v>
      </c>
      <c r="N2319" t="n">
        <v>12</v>
      </c>
      <c r="O2319" t="n">
        <v>20</v>
      </c>
      <c r="P2319" t="n">
        <v>4</v>
      </c>
      <c r="R2319" s="9" t="n">
        <v>0.04</v>
      </c>
      <c r="S2319" s="10" t="inlineStr">
        <is>
          <t>SÍ — integrante</t>
        </is>
      </c>
      <c r="T2319" s="11" t="inlineStr">
        <is>
          <t>B · INTEGRANTE</t>
        </is>
      </c>
      <c r="U2319" s="11" t="inlineStr">
        <is>
          <t>DEL BANCO (se hereda)</t>
        </is>
      </c>
      <c r="V2319" s="11" t="n"/>
      <c r="W2319" s="12" t="n"/>
      <c r="X2319" s="12" t="n"/>
    </row>
    <row r="2320" ht="15" customHeight="1">
      <c r="C2320" t="inlineStr">
        <is>
          <t>PAIS DEL DOMICILIO</t>
        </is>
      </c>
      <c r="D2320" t="inlineStr">
        <is>
          <t>F6</t>
        </is>
      </c>
      <c r="E2320" t="inlineStr">
        <is>
          <t>INHERENTE</t>
        </is>
      </c>
      <c r="F2320" t="inlineStr">
        <is>
          <t>BANGLADESH</t>
        </is>
      </c>
      <c r="G2320" t="inlineStr">
        <is>
          <t>BD</t>
        </is>
      </c>
      <c r="H2320" t="n">
        <v>3</v>
      </c>
      <c r="I2320" t="n">
        <v>3</v>
      </c>
      <c r="J2320" t="n">
        <v>4</v>
      </c>
      <c r="K2320" t="n">
        <v>12</v>
      </c>
      <c r="L2320" t="n">
        <v>12</v>
      </c>
      <c r="M2320" t="n">
        <v>12</v>
      </c>
      <c r="N2320" t="n">
        <v>12</v>
      </c>
      <c r="O2320" t="n">
        <v>20</v>
      </c>
      <c r="P2320" t="n">
        <v>4</v>
      </c>
      <c r="R2320" s="9" t="n">
        <v>0.04</v>
      </c>
      <c r="S2320" s="10" t="inlineStr">
        <is>
          <t>SÍ — integrante</t>
        </is>
      </c>
      <c r="T2320" s="11" t="inlineStr">
        <is>
          <t>B · INTEGRANTE</t>
        </is>
      </c>
      <c r="U2320" s="11" t="inlineStr">
        <is>
          <t>DEL BANCO (se hereda)</t>
        </is>
      </c>
      <c r="V2320" s="11" t="n"/>
      <c r="W2320" s="12" t="n"/>
      <c r="X2320" s="12" t="n"/>
    </row>
    <row r="2321" ht="15" customHeight="1">
      <c r="C2321" t="inlineStr">
        <is>
          <t>PAIS DEL DOMICILIO</t>
        </is>
      </c>
      <c r="D2321" t="inlineStr">
        <is>
          <t>F6</t>
        </is>
      </c>
      <c r="E2321" t="inlineStr">
        <is>
          <t>INHERENTE</t>
        </is>
      </c>
      <c r="F2321" t="inlineStr">
        <is>
          <t>BELGICA</t>
        </is>
      </c>
      <c r="G2321" t="inlineStr">
        <is>
          <t>BE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4</v>
      </c>
      <c r="M2321" t="n">
        <v>4</v>
      </c>
      <c r="N2321" t="n">
        <v>4</v>
      </c>
      <c r="O2321" t="n">
        <v>20</v>
      </c>
      <c r="P2321" t="n">
        <v>4</v>
      </c>
      <c r="R2321" s="9" t="n">
        <v>0.04</v>
      </c>
      <c r="S2321" s="10" t="inlineStr">
        <is>
          <t>SÍ — integrante</t>
        </is>
      </c>
      <c r="T2321" s="11" t="inlineStr">
        <is>
          <t>B · INTEGRANTE</t>
        </is>
      </c>
      <c r="U2321" s="11" t="inlineStr">
        <is>
          <t>DEL BANCO (se hereda)</t>
        </is>
      </c>
      <c r="V2321" s="11" t="n"/>
      <c r="W2321" s="12" t="n"/>
      <c r="X2321" s="12" t="n"/>
    </row>
    <row r="2322" ht="15" customHeight="1">
      <c r="C2322" t="inlineStr">
        <is>
          <t>PAIS DEL DOMICILIO</t>
        </is>
      </c>
      <c r="D2322" t="inlineStr">
        <is>
          <t>F6</t>
        </is>
      </c>
      <c r="E2322" t="inlineStr">
        <is>
          <t>INHERENTE</t>
        </is>
      </c>
      <c r="F2322" t="inlineStr">
        <is>
          <t>BURKINA FASO</t>
        </is>
      </c>
      <c r="G2322" t="inlineStr">
        <is>
          <t>BF</t>
        </is>
      </c>
      <c r="H2322" t="n">
        <v>3</v>
      </c>
      <c r="I2322" t="n">
        <v>3</v>
      </c>
      <c r="J2322" t="n">
        <v>4</v>
      </c>
      <c r="K2322" t="n">
        <v>12</v>
      </c>
      <c r="L2322" t="n">
        <v>12</v>
      </c>
      <c r="M2322" t="n">
        <v>12</v>
      </c>
      <c r="N2322" t="n">
        <v>12</v>
      </c>
      <c r="O2322" t="n">
        <v>20</v>
      </c>
      <c r="P2322" t="n">
        <v>4</v>
      </c>
      <c r="R2322" s="9" t="n">
        <v>0.04</v>
      </c>
      <c r="S2322" s="10" t="inlineStr">
        <is>
          <t>SÍ — integrante</t>
        </is>
      </c>
      <c r="T2322" s="11" t="inlineStr">
        <is>
          <t>B · INTEGRANTE</t>
        </is>
      </c>
      <c r="U2322" s="11" t="inlineStr">
        <is>
          <t>DEL BANCO (se hereda)</t>
        </is>
      </c>
      <c r="V2322" s="11" t="n"/>
      <c r="W2322" s="12" t="n"/>
      <c r="X2322" s="12" t="n"/>
    </row>
    <row r="2323" ht="15" customHeight="1">
      <c r="C2323" t="inlineStr">
        <is>
          <t>PAIS DEL DOMICILIO</t>
        </is>
      </c>
      <c r="D2323" t="inlineStr">
        <is>
          <t>F6</t>
        </is>
      </c>
      <c r="E2323" t="inlineStr">
        <is>
          <t>INHERENTE</t>
        </is>
      </c>
      <c r="F2323" t="inlineStr">
        <is>
          <t>BULGARIA</t>
        </is>
      </c>
      <c r="G2323" t="inlineStr">
        <is>
          <t>BG</t>
        </is>
      </c>
      <c r="H2323" t="n">
        <v>4</v>
      </c>
      <c r="I2323" t="n">
        <v>4</v>
      </c>
      <c r="J2323" t="n">
        <v>4</v>
      </c>
      <c r="K2323" t="n">
        <v>16</v>
      </c>
      <c r="L2323" t="n">
        <v>16</v>
      </c>
      <c r="M2323" t="n">
        <v>16</v>
      </c>
      <c r="N2323" t="n">
        <v>16</v>
      </c>
      <c r="O2323" t="n">
        <v>20</v>
      </c>
      <c r="P2323" t="n">
        <v>4</v>
      </c>
      <c r="Q2323" t="inlineStr">
        <is>
          <t>DETERMINANTE</t>
        </is>
      </c>
      <c r="R2323" s="9" t="n">
        <v>0.04</v>
      </c>
      <c r="S2323" s="10" t="inlineStr">
        <is>
          <t>SÍ — integrante</t>
        </is>
      </c>
      <c r="T2323" s="11" t="inlineStr">
        <is>
          <t>B · INTEGRANTE</t>
        </is>
      </c>
      <c r="U2323" s="11" t="inlineStr">
        <is>
          <t>DEL BANCO (se hereda)</t>
        </is>
      </c>
      <c r="V2323" s="11" t="n"/>
      <c r="W2323" s="12" t="n"/>
      <c r="X2323" s="12" t="n"/>
    </row>
    <row r="2324" ht="15" customHeight="1">
      <c r="C2324" t="inlineStr">
        <is>
          <t>PAIS DEL DOMICILIO</t>
        </is>
      </c>
      <c r="D2324" t="inlineStr">
        <is>
          <t>F6</t>
        </is>
      </c>
      <c r="E2324" t="inlineStr">
        <is>
          <t>INHERENTE</t>
        </is>
      </c>
      <c r="F2324" t="inlineStr">
        <is>
          <t>BAHREIN</t>
        </is>
      </c>
      <c r="G2324" t="inlineStr">
        <is>
          <t>BH</t>
        </is>
      </c>
      <c r="H2324" t="n">
        <v>3</v>
      </c>
      <c r="I2324" t="n">
        <v>3</v>
      </c>
      <c r="J2324" t="n">
        <v>4</v>
      </c>
      <c r="K2324" t="n">
        <v>12</v>
      </c>
      <c r="L2324" t="n">
        <v>12</v>
      </c>
      <c r="M2324" t="n">
        <v>12</v>
      </c>
      <c r="N2324" t="n">
        <v>12</v>
      </c>
      <c r="O2324" t="n">
        <v>20</v>
      </c>
      <c r="P2324" t="n">
        <v>4</v>
      </c>
      <c r="R2324" s="9" t="n">
        <v>0.04</v>
      </c>
      <c r="S2324" s="10" t="inlineStr">
        <is>
          <t>SÍ — integrante</t>
        </is>
      </c>
      <c r="T2324" s="11" t="inlineStr">
        <is>
          <t>B · INTEGRANTE</t>
        </is>
      </c>
      <c r="U2324" s="11" t="inlineStr">
        <is>
          <t>DEL BANCO (se hereda)</t>
        </is>
      </c>
      <c r="V2324" s="11" t="n"/>
      <c r="W2324" s="12" t="n"/>
      <c r="X2324" s="12" t="n"/>
    </row>
    <row r="2325" ht="15" customHeight="1">
      <c r="C2325" t="inlineStr">
        <is>
          <t>PAIS DEL DOMICILIO</t>
        </is>
      </c>
      <c r="D2325" t="inlineStr">
        <is>
          <t>F6</t>
        </is>
      </c>
      <c r="E2325" t="inlineStr">
        <is>
          <t>INHERENTE</t>
        </is>
      </c>
      <c r="F2325" t="inlineStr">
        <is>
          <t>BURUNDI</t>
        </is>
      </c>
      <c r="G2325" t="inlineStr">
        <is>
          <t>BI</t>
        </is>
      </c>
      <c r="H2325" t="n">
        <v>4</v>
      </c>
      <c r="I2325" t="n">
        <v>4</v>
      </c>
      <c r="J2325" t="n">
        <v>4</v>
      </c>
      <c r="K2325" t="n">
        <v>16</v>
      </c>
      <c r="L2325" t="n">
        <v>16</v>
      </c>
      <c r="M2325" t="n">
        <v>16</v>
      </c>
      <c r="N2325" t="n">
        <v>16</v>
      </c>
      <c r="O2325" t="n">
        <v>20</v>
      </c>
      <c r="P2325" t="n">
        <v>4</v>
      </c>
      <c r="R2325" s="9" t="n">
        <v>0.04</v>
      </c>
      <c r="S2325" s="10" t="inlineStr">
        <is>
          <t>SÍ — integrante</t>
        </is>
      </c>
      <c r="T2325" s="11" t="inlineStr">
        <is>
          <t>B · INTEGRANTE</t>
        </is>
      </c>
      <c r="U2325" s="11" t="inlineStr">
        <is>
          <t>DEL BANCO (se hereda)</t>
        </is>
      </c>
      <c r="V2325" s="11" t="n"/>
      <c r="W2325" s="12" t="n"/>
      <c r="X2325" s="12" t="n"/>
    </row>
    <row r="2326" ht="15" customHeight="1">
      <c r="C2326" t="inlineStr">
        <is>
          <t>PAIS DEL DOMICILIO</t>
        </is>
      </c>
      <c r="D2326" t="inlineStr">
        <is>
          <t>F6</t>
        </is>
      </c>
      <c r="E2326" t="inlineStr">
        <is>
          <t>INHERENTE</t>
        </is>
      </c>
      <c r="F2326" t="inlineStr">
        <is>
          <t>BENIN</t>
        </is>
      </c>
      <c r="G2326" t="inlineStr">
        <is>
          <t>BJ</t>
        </is>
      </c>
      <c r="H2326" t="n">
        <v>3</v>
      </c>
      <c r="I2326" t="n">
        <v>3</v>
      </c>
      <c r="J2326" t="n">
        <v>4</v>
      </c>
      <c r="K2326" t="n">
        <v>12</v>
      </c>
      <c r="L2326" t="n">
        <v>12</v>
      </c>
      <c r="M2326" t="n">
        <v>12</v>
      </c>
      <c r="N2326" t="n">
        <v>12</v>
      </c>
      <c r="O2326" t="n">
        <v>20</v>
      </c>
      <c r="P2326" t="n">
        <v>4</v>
      </c>
      <c r="R2326" s="9" t="n">
        <v>0.04</v>
      </c>
      <c r="S2326" s="10" t="inlineStr">
        <is>
          <t>SÍ — integrante</t>
        </is>
      </c>
      <c r="T2326" s="11" t="inlineStr">
        <is>
          <t>B · INTEGRANTE</t>
        </is>
      </c>
      <c r="U2326" s="11" t="inlineStr">
        <is>
          <t>DEL BANCO (se hereda)</t>
        </is>
      </c>
      <c r="V2326" s="11" t="n"/>
      <c r="W2326" s="12" t="n"/>
      <c r="X2326" s="12" t="n"/>
    </row>
    <row r="2327" ht="15" customHeight="1">
      <c r="C2327" t="inlineStr">
        <is>
          <t>PAIS DEL DOMICILIO</t>
        </is>
      </c>
      <c r="D2327" t="inlineStr">
        <is>
          <t>F6</t>
        </is>
      </c>
      <c r="E2327" t="inlineStr">
        <is>
          <t>INHERENTE</t>
        </is>
      </c>
      <c r="F2327" t="inlineStr">
        <is>
          <t>SAN BARTOLOME</t>
        </is>
      </c>
      <c r="G2327" t="inlineStr">
        <is>
          <t>BL</t>
        </is>
      </c>
      <c r="H2327" t="n">
        <v>1</v>
      </c>
      <c r="I2327" t="n">
        <v>1</v>
      </c>
      <c r="J2327" t="n">
        <v>4</v>
      </c>
      <c r="K2327" t="n">
        <v>4</v>
      </c>
      <c r="L2327" t="n">
        <v>4</v>
      </c>
      <c r="M2327" t="n">
        <v>4</v>
      </c>
      <c r="N2327" t="n">
        <v>4</v>
      </c>
      <c r="O2327" t="n">
        <v>20</v>
      </c>
      <c r="P2327" t="n">
        <v>4</v>
      </c>
      <c r="R2327" s="9" t="n">
        <v>0.04</v>
      </c>
      <c r="S2327" s="10" t="inlineStr">
        <is>
          <t>SÍ — integrante</t>
        </is>
      </c>
      <c r="T2327" s="11" t="inlineStr">
        <is>
          <t>B · INTEGRANTE</t>
        </is>
      </c>
      <c r="U2327" s="11" t="inlineStr">
        <is>
          <t>DEL BANCO (se hereda)</t>
        </is>
      </c>
      <c r="V2327" s="11" t="n"/>
      <c r="W2327" s="12" t="n"/>
      <c r="X2327" s="12" t="n"/>
    </row>
    <row r="2328" ht="15" customHeight="1">
      <c r="C2328" t="inlineStr">
        <is>
          <t>PAIS DEL DOMICILIO</t>
        </is>
      </c>
      <c r="D2328" t="inlineStr">
        <is>
          <t>F6</t>
        </is>
      </c>
      <c r="E2328" t="inlineStr">
        <is>
          <t>INHERENTE</t>
        </is>
      </c>
      <c r="F2328" t="inlineStr">
        <is>
          <t>BERMUDAS</t>
        </is>
      </c>
      <c r="G2328" t="inlineStr">
        <is>
          <t>BM</t>
        </is>
      </c>
      <c r="H2328" t="n">
        <v>3</v>
      </c>
      <c r="I2328" t="n">
        <v>3</v>
      </c>
      <c r="J2328" t="n">
        <v>4</v>
      </c>
      <c r="K2328" t="n">
        <v>12</v>
      </c>
      <c r="L2328" t="n">
        <v>12</v>
      </c>
      <c r="M2328" t="n">
        <v>12</v>
      </c>
      <c r="N2328" t="n">
        <v>12</v>
      </c>
      <c r="O2328" t="n">
        <v>20</v>
      </c>
      <c r="P2328" t="n">
        <v>4</v>
      </c>
      <c r="R2328" s="9" t="n">
        <v>0.04</v>
      </c>
      <c r="S2328" s="10" t="inlineStr">
        <is>
          <t>SÍ — integrante</t>
        </is>
      </c>
      <c r="T2328" s="11" t="inlineStr">
        <is>
          <t>B · INTEGRANTE</t>
        </is>
      </c>
      <c r="U2328" s="11" t="inlineStr">
        <is>
          <t>DEL BANCO (se hereda)</t>
        </is>
      </c>
      <c r="V2328" s="11" t="n"/>
      <c r="W2328" s="12" t="n"/>
      <c r="X2328" s="12" t="n"/>
    </row>
    <row r="2329" ht="15" customHeight="1">
      <c r="C2329" t="inlineStr">
        <is>
          <t>PAIS DEL DOMICILIO</t>
        </is>
      </c>
      <c r="D2329" t="inlineStr">
        <is>
          <t>F6</t>
        </is>
      </c>
      <c r="E2329" t="inlineStr">
        <is>
          <t>INHERENTE</t>
        </is>
      </c>
      <c r="F2329" t="inlineStr">
        <is>
          <t>BRUNEI</t>
        </is>
      </c>
      <c r="G2329" t="inlineStr">
        <is>
          <t>BN</t>
        </is>
      </c>
      <c r="H2329" t="n">
        <v>3</v>
      </c>
      <c r="I2329" t="n">
        <v>3</v>
      </c>
      <c r="J2329" t="n">
        <v>4</v>
      </c>
      <c r="K2329" t="n">
        <v>12</v>
      </c>
      <c r="L2329" t="n">
        <v>12</v>
      </c>
      <c r="M2329" t="n">
        <v>12</v>
      </c>
      <c r="N2329" t="n">
        <v>12</v>
      </c>
      <c r="O2329" t="n">
        <v>20</v>
      </c>
      <c r="P2329" t="n">
        <v>4</v>
      </c>
      <c r="R2329" s="9" t="n">
        <v>0.04</v>
      </c>
      <c r="S2329" s="10" t="inlineStr">
        <is>
          <t>SÍ — integrante</t>
        </is>
      </c>
      <c r="T2329" s="11" t="inlineStr">
        <is>
          <t>B · INTEGRANTE</t>
        </is>
      </c>
      <c r="U2329" s="11" t="inlineStr">
        <is>
          <t>DEL BANCO (se hereda)</t>
        </is>
      </c>
      <c r="V2329" s="11" t="n"/>
      <c r="W2329" s="12" t="n"/>
      <c r="X2329" s="12" t="n"/>
    </row>
    <row r="2330" ht="15" customHeight="1">
      <c r="C2330" t="inlineStr">
        <is>
          <t>PAIS DEL DOMICILIO</t>
        </is>
      </c>
      <c r="D2330" t="inlineStr">
        <is>
          <t>F6</t>
        </is>
      </c>
      <c r="E2330" t="inlineStr">
        <is>
          <t>INHERENTE</t>
        </is>
      </c>
      <c r="F2330" t="inlineStr">
        <is>
          <t>BOLIVIA</t>
        </is>
      </c>
      <c r="G2330" t="inlineStr">
        <is>
          <t>BO</t>
        </is>
      </c>
      <c r="H2330" t="n">
        <v>4</v>
      </c>
      <c r="I2330" t="n">
        <v>4</v>
      </c>
      <c r="J2330" t="n">
        <v>4</v>
      </c>
      <c r="K2330" t="n">
        <v>16</v>
      </c>
      <c r="L2330" t="n">
        <v>16</v>
      </c>
      <c r="M2330" t="n">
        <v>16</v>
      </c>
      <c r="N2330" t="n">
        <v>16</v>
      </c>
      <c r="O2330" t="n">
        <v>20</v>
      </c>
      <c r="P2330" t="n">
        <v>4</v>
      </c>
      <c r="Q2330" t="inlineStr">
        <is>
          <t>DETERMINANTE</t>
        </is>
      </c>
      <c r="R2330" s="9" t="n">
        <v>0.04</v>
      </c>
      <c r="S2330" s="10" t="inlineStr">
        <is>
          <t>SÍ — integrante</t>
        </is>
      </c>
      <c r="T2330" s="11" t="inlineStr">
        <is>
          <t>B · INTEGRANTE</t>
        </is>
      </c>
      <c r="U2330" s="11" t="inlineStr">
        <is>
          <t>DEL BANCO (se hereda)</t>
        </is>
      </c>
      <c r="V2330" s="11" t="n"/>
      <c r="W2330" s="12" t="n"/>
      <c r="X2330" s="12" t="n"/>
    </row>
    <row r="2331" ht="15" customHeight="1">
      <c r="C2331" t="inlineStr">
        <is>
          <t>PAIS DEL DOMICILIO</t>
        </is>
      </c>
      <c r="D2331" t="inlineStr">
        <is>
          <t>F6</t>
        </is>
      </c>
      <c r="E2331" t="inlineStr">
        <is>
          <t>INHERENTE</t>
        </is>
      </c>
      <c r="F2331" t="inlineStr">
        <is>
          <t>BRASIL</t>
        </is>
      </c>
      <c r="G2331" t="inlineStr">
        <is>
          <t>BR</t>
        </is>
      </c>
      <c r="H2331" t="n">
        <v>2</v>
      </c>
      <c r="I2331" t="n">
        <v>2</v>
      </c>
      <c r="J2331" t="n">
        <v>4</v>
      </c>
      <c r="K2331" t="n">
        <v>8</v>
      </c>
      <c r="L2331" t="n">
        <v>8</v>
      </c>
      <c r="M2331" t="n">
        <v>8</v>
      </c>
      <c r="N2331" t="n">
        <v>8</v>
      </c>
      <c r="O2331" t="n">
        <v>20</v>
      </c>
      <c r="P2331" t="n">
        <v>4</v>
      </c>
      <c r="R2331" s="9" t="n">
        <v>0.04</v>
      </c>
      <c r="S2331" s="10" t="inlineStr">
        <is>
          <t>SÍ — integrante</t>
        </is>
      </c>
      <c r="T2331" s="11" t="inlineStr">
        <is>
          <t>B · INTEGRANTE</t>
        </is>
      </c>
      <c r="U2331" s="11" t="inlineStr">
        <is>
          <t>DEL BANCO (se hereda)</t>
        </is>
      </c>
      <c r="V2331" s="11" t="n"/>
      <c r="W2331" s="12" t="n"/>
      <c r="X2331" s="12" t="n"/>
    </row>
    <row r="2332" ht="15" customHeight="1">
      <c r="C2332" t="inlineStr">
        <is>
          <t>PAIS DEL DOMICILIO</t>
        </is>
      </c>
      <c r="D2332" t="inlineStr">
        <is>
          <t>F6</t>
        </is>
      </c>
      <c r="E2332" t="inlineStr">
        <is>
          <t>INHERENTE</t>
        </is>
      </c>
      <c r="F2332" t="inlineStr">
        <is>
          <t>BAHAMAS</t>
        </is>
      </c>
      <c r="G2332" t="inlineStr">
        <is>
          <t>BS</t>
        </is>
      </c>
      <c r="H2332" t="n">
        <v>3</v>
      </c>
      <c r="I2332" t="n">
        <v>3</v>
      </c>
      <c r="J2332" t="n">
        <v>4</v>
      </c>
      <c r="K2332" t="n">
        <v>12</v>
      </c>
      <c r="L2332" t="n">
        <v>12</v>
      </c>
      <c r="M2332" t="n">
        <v>12</v>
      </c>
      <c r="N2332" t="n">
        <v>12</v>
      </c>
      <c r="O2332" t="n">
        <v>20</v>
      </c>
      <c r="P2332" t="n">
        <v>4</v>
      </c>
      <c r="R2332" s="9" t="n">
        <v>0.04</v>
      </c>
      <c r="S2332" s="10" t="inlineStr">
        <is>
          <t>SÍ — integrante</t>
        </is>
      </c>
      <c r="T2332" s="11" t="inlineStr">
        <is>
          <t>B · INTEGRANTE</t>
        </is>
      </c>
      <c r="U2332" s="11" t="inlineStr">
        <is>
          <t>DEL BANCO (se hereda)</t>
        </is>
      </c>
      <c r="V2332" s="11" t="n"/>
      <c r="W2332" s="12" t="n"/>
      <c r="X2332" s="12" t="n"/>
    </row>
    <row r="2333" ht="15" customHeight="1">
      <c r="C2333" t="inlineStr">
        <is>
          <t>PAIS DEL DOMICILIO</t>
        </is>
      </c>
      <c r="D2333" t="inlineStr">
        <is>
          <t>F6</t>
        </is>
      </c>
      <c r="E2333" t="inlineStr">
        <is>
          <t>INHERENTE</t>
        </is>
      </c>
      <c r="F2333" t="inlineStr">
        <is>
          <t>BHUTAN</t>
        </is>
      </c>
      <c r="G2333" t="inlineStr">
        <is>
          <t>BT</t>
        </is>
      </c>
      <c r="H2333" t="n">
        <v>1</v>
      </c>
      <c r="I2333" t="n">
        <v>1</v>
      </c>
      <c r="J2333" t="n">
        <v>4</v>
      </c>
      <c r="K2333" t="n">
        <v>4</v>
      </c>
      <c r="L2333" t="n">
        <v>4</v>
      </c>
      <c r="M2333" t="n">
        <v>4</v>
      </c>
      <c r="N2333" t="n">
        <v>4</v>
      </c>
      <c r="O2333" t="n">
        <v>20</v>
      </c>
      <c r="P2333" t="n">
        <v>4</v>
      </c>
      <c r="R2333" s="9" t="n">
        <v>0.04</v>
      </c>
      <c r="S2333" s="10" t="inlineStr">
        <is>
          <t>SÍ — integrante</t>
        </is>
      </c>
      <c r="T2333" s="11" t="inlineStr">
        <is>
          <t>B · INTEGRANTE</t>
        </is>
      </c>
      <c r="U2333" s="11" t="inlineStr">
        <is>
          <t>DEL BANCO (se hereda)</t>
        </is>
      </c>
      <c r="V2333" s="11" t="n"/>
      <c r="W2333" s="12" t="n"/>
      <c r="X2333" s="12" t="n"/>
    </row>
    <row r="2334" ht="15" customHeight="1">
      <c r="C2334" t="inlineStr">
        <is>
          <t>PAIS DEL DOMICILIO</t>
        </is>
      </c>
      <c r="D2334" t="inlineStr">
        <is>
          <t>F6</t>
        </is>
      </c>
      <c r="E2334" t="inlineStr">
        <is>
          <t>INHERENTE</t>
        </is>
      </c>
      <c r="F2334" t="inlineStr">
        <is>
          <t>ISLA BOUVET</t>
        </is>
      </c>
      <c r="G2334" t="inlineStr">
        <is>
          <t>BV</t>
        </is>
      </c>
      <c r="H2334" t="n">
        <v>1</v>
      </c>
      <c r="I2334" t="n">
        <v>1</v>
      </c>
      <c r="J2334" t="n">
        <v>4</v>
      </c>
      <c r="K2334" t="n">
        <v>4</v>
      </c>
      <c r="L2334" t="n">
        <v>4</v>
      </c>
      <c r="M2334" t="n">
        <v>4</v>
      </c>
      <c r="N2334" t="n">
        <v>4</v>
      </c>
      <c r="O2334" t="n">
        <v>20</v>
      </c>
      <c r="P2334" t="n">
        <v>4</v>
      </c>
      <c r="R2334" s="9" t="n">
        <v>0.04</v>
      </c>
      <c r="S2334" s="10" t="inlineStr">
        <is>
          <t>SÍ — integrante</t>
        </is>
      </c>
      <c r="T2334" s="11" t="inlineStr">
        <is>
          <t>B · INTEGRANTE</t>
        </is>
      </c>
      <c r="U2334" s="11" t="inlineStr">
        <is>
          <t>DEL BANCO (se hereda)</t>
        </is>
      </c>
      <c r="V2334" s="11" t="n"/>
      <c r="W2334" s="12" t="n"/>
      <c r="X2334" s="12" t="n"/>
    </row>
    <row r="2335" ht="15" customHeight="1">
      <c r="C2335" t="inlineStr">
        <is>
          <t>PAIS DEL DOMICILIO</t>
        </is>
      </c>
      <c r="D2335" t="inlineStr">
        <is>
          <t>F6</t>
        </is>
      </c>
      <c r="E2335" t="inlineStr">
        <is>
          <t>INHERENTE</t>
        </is>
      </c>
      <c r="F2335" t="inlineStr">
        <is>
          <t>BOTSWANA</t>
        </is>
      </c>
      <c r="G2335" t="inlineStr">
        <is>
          <t>BW</t>
        </is>
      </c>
      <c r="H2335" t="n">
        <v>1</v>
      </c>
      <c r="I2335" t="n">
        <v>1</v>
      </c>
      <c r="J2335" t="n">
        <v>4</v>
      </c>
      <c r="K2335" t="n">
        <v>4</v>
      </c>
      <c r="L2335" t="n">
        <v>4</v>
      </c>
      <c r="M2335" t="n">
        <v>4</v>
      </c>
      <c r="N2335" t="n">
        <v>4</v>
      </c>
      <c r="O2335" t="n">
        <v>20</v>
      </c>
      <c r="P2335" t="n">
        <v>4</v>
      </c>
      <c r="R2335" s="9" t="n">
        <v>0.04</v>
      </c>
      <c r="S2335" s="10" t="inlineStr">
        <is>
          <t>SÍ — integrante</t>
        </is>
      </c>
      <c r="T2335" s="11" t="inlineStr">
        <is>
          <t>B · INTEGRANTE</t>
        </is>
      </c>
      <c r="U2335" s="11" t="inlineStr">
        <is>
          <t>DEL BANCO (se hereda)</t>
        </is>
      </c>
      <c r="V2335" s="11" t="n"/>
      <c r="W2335" s="12" t="n"/>
      <c r="X2335" s="12" t="n"/>
    </row>
    <row r="2336" ht="15" customHeight="1">
      <c r="C2336" t="inlineStr">
        <is>
          <t>PAIS DEL DOMICILIO</t>
        </is>
      </c>
      <c r="D2336" t="inlineStr">
        <is>
          <t>F6</t>
        </is>
      </c>
      <c r="E2336" t="inlineStr">
        <is>
          <t>INHERENTE</t>
        </is>
      </c>
      <c r="F2336" t="inlineStr">
        <is>
          <t>BELARUS</t>
        </is>
      </c>
      <c r="G2336" t="inlineStr">
        <is>
          <t>BY</t>
        </is>
      </c>
      <c r="H2336" t="n">
        <v>4</v>
      </c>
      <c r="I2336" t="n">
        <v>4</v>
      </c>
      <c r="J2336" t="n">
        <v>4</v>
      </c>
      <c r="K2336" t="n">
        <v>16</v>
      </c>
      <c r="L2336" t="n">
        <v>16</v>
      </c>
      <c r="M2336" t="n">
        <v>16</v>
      </c>
      <c r="N2336" t="n">
        <v>16</v>
      </c>
      <c r="O2336" t="n">
        <v>20</v>
      </c>
      <c r="P2336" t="n">
        <v>4</v>
      </c>
      <c r="R2336" s="9" t="n">
        <v>0.04</v>
      </c>
      <c r="S2336" s="10" t="inlineStr">
        <is>
          <t>SÍ — integrante</t>
        </is>
      </c>
      <c r="T2336" s="11" t="inlineStr">
        <is>
          <t>B · INTEGRANTE</t>
        </is>
      </c>
      <c r="U2336" s="11" t="inlineStr">
        <is>
          <t>DEL BANCO (se hereda)</t>
        </is>
      </c>
      <c r="V2336" s="11" t="n"/>
      <c r="W2336" s="12" t="n"/>
      <c r="X2336" s="12" t="n"/>
    </row>
    <row r="2337" ht="15" customHeight="1">
      <c r="C2337" t="inlineStr">
        <is>
          <t>PAIS DEL DOMICILIO</t>
        </is>
      </c>
      <c r="D2337" t="inlineStr">
        <is>
          <t>F6</t>
        </is>
      </c>
      <c r="E2337" t="inlineStr">
        <is>
          <t>INHERENTE</t>
        </is>
      </c>
      <c r="F2337" t="inlineStr">
        <is>
          <t>BELICE</t>
        </is>
      </c>
      <c r="G2337" t="inlineStr">
        <is>
          <t>BZ</t>
        </is>
      </c>
      <c r="H2337" t="n">
        <v>3</v>
      </c>
      <c r="I2337" t="n">
        <v>3</v>
      </c>
      <c r="J2337" t="n">
        <v>4</v>
      </c>
      <c r="K2337" t="n">
        <v>12</v>
      </c>
      <c r="L2337" t="n">
        <v>12</v>
      </c>
      <c r="M2337" t="n">
        <v>12</v>
      </c>
      <c r="N2337" t="n">
        <v>12</v>
      </c>
      <c r="O2337" t="n">
        <v>20</v>
      </c>
      <c r="P2337" t="n">
        <v>4</v>
      </c>
      <c r="R2337" s="9" t="n">
        <v>0.04</v>
      </c>
      <c r="S2337" s="10" t="inlineStr">
        <is>
          <t>SÍ — integrante</t>
        </is>
      </c>
      <c r="T2337" s="11" t="inlineStr">
        <is>
          <t>B · INTEGRANTE</t>
        </is>
      </c>
      <c r="U2337" s="11" t="inlineStr">
        <is>
          <t>DEL BANCO (se hereda)</t>
        </is>
      </c>
      <c r="V2337" s="11" t="n"/>
      <c r="W2337" s="12" t="n"/>
      <c r="X2337" s="12" t="n"/>
    </row>
    <row r="2338" ht="15" customHeight="1">
      <c r="C2338" t="inlineStr">
        <is>
          <t>PAIS DEL DOMICILIO</t>
        </is>
      </c>
      <c r="D2338" t="inlineStr">
        <is>
          <t>F6</t>
        </is>
      </c>
      <c r="E2338" t="inlineStr">
        <is>
          <t>INHERENTE</t>
        </is>
      </c>
      <c r="F2338" t="inlineStr">
        <is>
          <t>CANADA</t>
        </is>
      </c>
      <c r="G2338" t="inlineStr">
        <is>
          <t>CA</t>
        </is>
      </c>
      <c r="H2338" t="n">
        <v>1</v>
      </c>
      <c r="I2338" t="n">
        <v>1</v>
      </c>
      <c r="J2338" t="n">
        <v>4</v>
      </c>
      <c r="K2338" t="n">
        <v>4</v>
      </c>
      <c r="L2338" t="n">
        <v>4</v>
      </c>
      <c r="M2338" t="n">
        <v>4</v>
      </c>
      <c r="N2338" t="n">
        <v>4</v>
      </c>
      <c r="O2338" t="n">
        <v>20</v>
      </c>
      <c r="P2338" t="n">
        <v>4</v>
      </c>
      <c r="R2338" s="9" t="n">
        <v>0.04</v>
      </c>
      <c r="S2338" s="10" t="inlineStr">
        <is>
          <t>SÍ — integrante</t>
        </is>
      </c>
      <c r="T2338" s="11" t="inlineStr">
        <is>
          <t>B · INTEGRANTE</t>
        </is>
      </c>
      <c r="U2338" s="11" t="inlineStr">
        <is>
          <t>DEL BANCO (se hereda)</t>
        </is>
      </c>
      <c r="V2338" s="11" t="n"/>
      <c r="W2338" s="12" t="n"/>
      <c r="X2338" s="12" t="n"/>
    </row>
    <row r="2339" ht="15" customHeight="1">
      <c r="C2339" t="inlineStr">
        <is>
          <t>PAIS DEL DOMICILIO</t>
        </is>
      </c>
      <c r="D2339" t="inlineStr">
        <is>
          <t>F6</t>
        </is>
      </c>
      <c r="E2339" t="inlineStr">
        <is>
          <t>INHERENTE</t>
        </is>
      </c>
      <c r="F2339" t="inlineStr">
        <is>
          <t>ISLAS COCOS O KELLIN</t>
        </is>
      </c>
      <c r="G2339" t="inlineStr">
        <is>
          <t>CC</t>
        </is>
      </c>
      <c r="H2339" t="n">
        <v>1</v>
      </c>
      <c r="I2339" t="n">
        <v>1</v>
      </c>
      <c r="J2339" t="n">
        <v>4</v>
      </c>
      <c r="K2339" t="n">
        <v>4</v>
      </c>
      <c r="L2339" t="n">
        <v>4</v>
      </c>
      <c r="M2339" t="n">
        <v>4</v>
      </c>
      <c r="N2339" t="n">
        <v>4</v>
      </c>
      <c r="O2339" t="n">
        <v>20</v>
      </c>
      <c r="P2339" t="n">
        <v>4</v>
      </c>
      <c r="R2339" s="9" t="n">
        <v>0.04</v>
      </c>
      <c r="S2339" s="10" t="inlineStr">
        <is>
          <t>SÍ — integrante</t>
        </is>
      </c>
      <c r="T2339" s="11" t="inlineStr">
        <is>
          <t>B · INTEGRANTE</t>
        </is>
      </c>
      <c r="U2339" s="11" t="inlineStr">
        <is>
          <t>DEL BANCO (se hereda)</t>
        </is>
      </c>
      <c r="V2339" s="11" t="n"/>
      <c r="W2339" s="12" t="n"/>
      <c r="X2339" s="12" t="n"/>
    </row>
    <row r="2340" ht="15" customHeight="1">
      <c r="C2340" t="inlineStr">
        <is>
          <t>PAIS DEL DOMICILIO</t>
        </is>
      </c>
      <c r="D2340" t="inlineStr">
        <is>
          <t>F6</t>
        </is>
      </c>
      <c r="E2340" t="inlineStr">
        <is>
          <t>INHERENTE</t>
        </is>
      </c>
      <c r="F2340" t="inlineStr">
        <is>
          <t>REP. DE CONGO</t>
        </is>
      </c>
      <c r="G2340" t="inlineStr">
        <is>
          <t>CD</t>
        </is>
      </c>
      <c r="H2340" t="n">
        <v>4</v>
      </c>
      <c r="I2340" t="n">
        <v>4</v>
      </c>
      <c r="J2340" t="n">
        <v>4</v>
      </c>
      <c r="K2340" t="n">
        <v>16</v>
      </c>
      <c r="L2340" t="n">
        <v>16</v>
      </c>
      <c r="M2340" t="n">
        <v>16</v>
      </c>
      <c r="N2340" t="n">
        <v>16</v>
      </c>
      <c r="O2340" t="n">
        <v>20</v>
      </c>
      <c r="P2340" t="n">
        <v>4</v>
      </c>
      <c r="Q2340" t="inlineStr">
        <is>
          <t>DETERMINANTE</t>
        </is>
      </c>
      <c r="R2340" s="9" t="n">
        <v>0.04</v>
      </c>
      <c r="S2340" s="10" t="inlineStr">
        <is>
          <t>SÍ — integrante</t>
        </is>
      </c>
      <c r="T2340" s="11" t="inlineStr">
        <is>
          <t>B · INTEGRANTE</t>
        </is>
      </c>
      <c r="U2340" s="11" t="inlineStr">
        <is>
          <t>DEL BANCO (se hereda)</t>
        </is>
      </c>
      <c r="V2340" s="11" t="n"/>
      <c r="W2340" s="12" t="n"/>
      <c r="X2340" s="12" t="n"/>
    </row>
    <row r="2341" ht="15" customHeight="1">
      <c r="C2341" t="inlineStr">
        <is>
          <t>PAIS DEL DOMICILIO</t>
        </is>
      </c>
      <c r="D2341" t="inlineStr">
        <is>
          <t>F6</t>
        </is>
      </c>
      <c r="E2341" t="inlineStr">
        <is>
          <t>INHERENTE</t>
        </is>
      </c>
      <c r="F2341" t="inlineStr">
        <is>
          <t>CENT AFR</t>
        </is>
      </c>
      <c r="G2341" t="inlineStr">
        <is>
          <t>CF</t>
        </is>
      </c>
      <c r="H2341" t="n">
        <v>4</v>
      </c>
      <c r="I2341" t="n">
        <v>4</v>
      </c>
      <c r="J2341" t="n">
        <v>4</v>
      </c>
      <c r="K2341" t="n">
        <v>16</v>
      </c>
      <c r="L2341" t="n">
        <v>16</v>
      </c>
      <c r="M2341" t="n">
        <v>16</v>
      </c>
      <c r="N2341" t="n">
        <v>16</v>
      </c>
      <c r="O2341" t="n">
        <v>20</v>
      </c>
      <c r="P2341" t="n">
        <v>4</v>
      </c>
      <c r="R2341" s="9" t="n">
        <v>0.04</v>
      </c>
      <c r="S2341" s="10" t="inlineStr">
        <is>
          <t>SÍ — integrante</t>
        </is>
      </c>
      <c r="T2341" s="11" t="inlineStr">
        <is>
          <t>B · INTEGRANTE</t>
        </is>
      </c>
      <c r="U2341" s="11" t="inlineStr">
        <is>
          <t>DEL BANCO (se hereda)</t>
        </is>
      </c>
      <c r="V2341" s="11" t="n"/>
      <c r="W2341" s="12" t="n"/>
      <c r="X2341" s="12" t="n"/>
    </row>
    <row r="2342" ht="15" customHeight="1">
      <c r="C2342" t="inlineStr">
        <is>
          <t>PAIS DEL DOMICILIO</t>
        </is>
      </c>
      <c r="D2342" t="inlineStr">
        <is>
          <t>F6</t>
        </is>
      </c>
      <c r="E2342" t="inlineStr">
        <is>
          <t>INHERENTE</t>
        </is>
      </c>
      <c r="F2342" t="inlineStr">
        <is>
          <t>CONGO</t>
        </is>
      </c>
      <c r="G2342" t="inlineStr">
        <is>
          <t>CG</t>
        </is>
      </c>
      <c r="H2342" t="n">
        <v>4</v>
      </c>
      <c r="I2342" t="n">
        <v>4</v>
      </c>
      <c r="J2342" t="n">
        <v>4</v>
      </c>
      <c r="K2342" t="n">
        <v>16</v>
      </c>
      <c r="L2342" t="n">
        <v>16</v>
      </c>
      <c r="M2342" t="n">
        <v>16</v>
      </c>
      <c r="N2342" t="n">
        <v>16</v>
      </c>
      <c r="O2342" t="n">
        <v>20</v>
      </c>
      <c r="P2342" t="n">
        <v>4</v>
      </c>
      <c r="R2342" s="9" t="n">
        <v>0.04</v>
      </c>
      <c r="S2342" s="10" t="inlineStr">
        <is>
          <t>SÍ — integrante</t>
        </is>
      </c>
      <c r="T2342" s="11" t="inlineStr">
        <is>
          <t>B · INTEGRANTE</t>
        </is>
      </c>
      <c r="U2342" s="11" t="inlineStr">
        <is>
          <t>DEL BANCO (se hereda)</t>
        </is>
      </c>
      <c r="V2342" s="11" t="n"/>
      <c r="W2342" s="12" t="n"/>
      <c r="X2342" s="12" t="n"/>
    </row>
    <row r="2343" ht="15" customHeight="1">
      <c r="C2343" t="inlineStr">
        <is>
          <t>PAIS DEL DOMICILIO</t>
        </is>
      </c>
      <c r="D2343" t="inlineStr">
        <is>
          <t>F6</t>
        </is>
      </c>
      <c r="E2343" t="inlineStr">
        <is>
          <t>INHERENTE</t>
        </is>
      </c>
      <c r="F2343" t="inlineStr">
        <is>
          <t>SUIZA</t>
        </is>
      </c>
      <c r="G2343" t="inlineStr">
        <is>
          <t>CH</t>
        </is>
      </c>
      <c r="H2343" t="n">
        <v>1</v>
      </c>
      <c r="I2343" t="n">
        <v>1</v>
      </c>
      <c r="J2343" t="n">
        <v>4</v>
      </c>
      <c r="K2343" t="n">
        <v>4</v>
      </c>
      <c r="L2343" t="n">
        <v>4</v>
      </c>
      <c r="M2343" t="n">
        <v>4</v>
      </c>
      <c r="N2343" t="n">
        <v>4</v>
      </c>
      <c r="O2343" t="n">
        <v>20</v>
      </c>
      <c r="P2343" t="n">
        <v>4</v>
      </c>
      <c r="R2343" s="9" t="n">
        <v>0.04</v>
      </c>
      <c r="S2343" s="10" t="inlineStr">
        <is>
          <t>SÍ — integrante</t>
        </is>
      </c>
      <c r="T2343" s="11" t="inlineStr">
        <is>
          <t>B · INTEGRANTE</t>
        </is>
      </c>
      <c r="U2343" s="11" t="inlineStr">
        <is>
          <t>DEL BANCO (se hereda)</t>
        </is>
      </c>
      <c r="V2343" s="11" t="n"/>
      <c r="W2343" s="12" t="n"/>
      <c r="X2343" s="12" t="n"/>
    </row>
    <row r="2344" ht="15" customHeight="1">
      <c r="C2344" t="inlineStr">
        <is>
          <t>PAIS DEL DOMICILIO</t>
        </is>
      </c>
      <c r="D2344" t="inlineStr">
        <is>
          <t>F6</t>
        </is>
      </c>
      <c r="E2344" t="inlineStr">
        <is>
          <t>INHERENTE</t>
        </is>
      </c>
      <c r="F2344" t="inlineStr">
        <is>
          <t>COSTA DE MARFIL</t>
        </is>
      </c>
      <c r="G2344" t="inlineStr">
        <is>
          <t>CI</t>
        </is>
      </c>
      <c r="H2344" t="n">
        <v>4</v>
      </c>
      <c r="I2344" t="n">
        <v>4</v>
      </c>
      <c r="J2344" t="n">
        <v>4</v>
      </c>
      <c r="K2344" t="n">
        <v>16</v>
      </c>
      <c r="L2344" t="n">
        <v>16</v>
      </c>
      <c r="M2344" t="n">
        <v>16</v>
      </c>
      <c r="N2344" t="n">
        <v>16</v>
      </c>
      <c r="O2344" t="n">
        <v>20</v>
      </c>
      <c r="P2344" t="n">
        <v>4</v>
      </c>
      <c r="Q2344" t="inlineStr">
        <is>
          <t>DETERMINANTE</t>
        </is>
      </c>
      <c r="R2344" s="9" t="n">
        <v>0.04</v>
      </c>
      <c r="S2344" s="10" t="inlineStr">
        <is>
          <t>SÍ — integrante</t>
        </is>
      </c>
      <c r="T2344" s="11" t="inlineStr">
        <is>
          <t>B · INTEGRANTE</t>
        </is>
      </c>
      <c r="U2344" s="11" t="inlineStr">
        <is>
          <t>DEL BANCO (se hereda)</t>
        </is>
      </c>
      <c r="V2344" s="11" t="n"/>
      <c r="W2344" s="12" t="n"/>
      <c r="X2344" s="12" t="n"/>
    </row>
    <row r="2345" ht="15" customHeight="1">
      <c r="C2345" t="inlineStr">
        <is>
          <t>PAIS DEL DOMICILIO</t>
        </is>
      </c>
      <c r="D2345" t="inlineStr">
        <is>
          <t>F6</t>
        </is>
      </c>
      <c r="E2345" t="inlineStr">
        <is>
          <t>INHERENTE</t>
        </is>
      </c>
      <c r="F2345" t="inlineStr">
        <is>
          <t>ISLAS COOK</t>
        </is>
      </c>
      <c r="G2345" t="inlineStr">
        <is>
          <t>CK</t>
        </is>
      </c>
      <c r="H2345" t="n">
        <v>3</v>
      </c>
      <c r="I2345" t="n">
        <v>3</v>
      </c>
      <c r="J2345" t="n">
        <v>4</v>
      </c>
      <c r="K2345" t="n">
        <v>12</v>
      </c>
      <c r="L2345" t="n">
        <v>12</v>
      </c>
      <c r="M2345" t="n">
        <v>12</v>
      </c>
      <c r="N2345" t="n">
        <v>12</v>
      </c>
      <c r="O2345" t="n">
        <v>20</v>
      </c>
      <c r="P2345" t="n">
        <v>4</v>
      </c>
      <c r="R2345" s="9" t="n">
        <v>0.04</v>
      </c>
      <c r="S2345" s="10" t="inlineStr">
        <is>
          <t>SÍ — integrante</t>
        </is>
      </c>
      <c r="T2345" s="11" t="inlineStr">
        <is>
          <t>B · INTEGRANTE</t>
        </is>
      </c>
      <c r="U2345" s="11" t="inlineStr">
        <is>
          <t>DEL BANCO (se hereda)</t>
        </is>
      </c>
      <c r="V2345" s="11" t="n"/>
      <c r="W2345" s="12" t="n"/>
      <c r="X2345" s="12" t="n"/>
    </row>
    <row r="2346" ht="15" customHeight="1">
      <c r="C2346" t="inlineStr">
        <is>
          <t>PAIS DEL DOMICILIO</t>
        </is>
      </c>
      <c r="D2346" t="inlineStr">
        <is>
          <t>F6</t>
        </is>
      </c>
      <c r="E2346" t="inlineStr">
        <is>
          <t>INHERENTE</t>
        </is>
      </c>
      <c r="F2346" t="inlineStr">
        <is>
          <t>CHILE</t>
        </is>
      </c>
      <c r="G2346" t="inlineStr">
        <is>
          <t>CL</t>
        </is>
      </c>
      <c r="H2346" t="n">
        <v>1</v>
      </c>
      <c r="I2346" t="n">
        <v>1</v>
      </c>
      <c r="J2346" t="n">
        <v>4</v>
      </c>
      <c r="K2346" t="n">
        <v>4</v>
      </c>
      <c r="L2346" t="n">
        <v>4</v>
      </c>
      <c r="M2346" t="n">
        <v>4</v>
      </c>
      <c r="N2346" t="n">
        <v>4</v>
      </c>
      <c r="O2346" t="n">
        <v>20</v>
      </c>
      <c r="P2346" t="n">
        <v>4</v>
      </c>
      <c r="R2346" s="9" t="n">
        <v>0.04</v>
      </c>
      <c r="S2346" s="10" t="inlineStr">
        <is>
          <t>SÍ — integrante</t>
        </is>
      </c>
      <c r="T2346" s="11" t="inlineStr">
        <is>
          <t>B · INTEGRANTE</t>
        </is>
      </c>
      <c r="U2346" s="11" t="inlineStr">
        <is>
          <t>DEL BANCO (se hereda)</t>
        </is>
      </c>
      <c r="V2346" s="11" t="n"/>
      <c r="W2346" s="12" t="n"/>
      <c r="X2346" s="12" t="n"/>
    </row>
    <row r="2347" ht="15" customHeight="1">
      <c r="C2347" t="inlineStr">
        <is>
          <t>PAIS DEL DOMICILIO</t>
        </is>
      </c>
      <c r="D2347" t="inlineStr">
        <is>
          <t>F6</t>
        </is>
      </c>
      <c r="E2347" t="inlineStr">
        <is>
          <t>INHERENTE</t>
        </is>
      </c>
      <c r="F2347" t="inlineStr">
        <is>
          <t>CAMERUN</t>
        </is>
      </c>
      <c r="G2347" t="inlineStr">
        <is>
          <t>CM</t>
        </is>
      </c>
      <c r="H2347" t="n">
        <v>4</v>
      </c>
      <c r="I2347" t="n">
        <v>4</v>
      </c>
      <c r="J2347" t="n">
        <v>4</v>
      </c>
      <c r="K2347" t="n">
        <v>16</v>
      </c>
      <c r="L2347" t="n">
        <v>16</v>
      </c>
      <c r="M2347" t="n">
        <v>16</v>
      </c>
      <c r="N2347" t="n">
        <v>16</v>
      </c>
      <c r="O2347" t="n">
        <v>20</v>
      </c>
      <c r="P2347" t="n">
        <v>4</v>
      </c>
      <c r="Q2347" t="inlineStr">
        <is>
          <t>DETERMINANTE</t>
        </is>
      </c>
      <c r="R2347" s="9" t="n">
        <v>0.04</v>
      </c>
      <c r="S2347" s="10" t="inlineStr">
        <is>
          <t>SÍ — integrante</t>
        </is>
      </c>
      <c r="T2347" s="11" t="inlineStr">
        <is>
          <t>B · INTEGRANTE</t>
        </is>
      </c>
      <c r="U2347" s="11" t="inlineStr">
        <is>
          <t>DEL BANCO (se hereda)</t>
        </is>
      </c>
      <c r="V2347" s="11" t="n"/>
      <c r="W2347" s="12" t="n"/>
      <c r="X2347" s="12" t="n"/>
    </row>
    <row r="2348" ht="15" customHeight="1">
      <c r="C2348" t="inlineStr">
        <is>
          <t>PAIS DEL DOMICILIO</t>
        </is>
      </c>
      <c r="D2348" t="inlineStr">
        <is>
          <t>F6</t>
        </is>
      </c>
      <c r="E2348" t="inlineStr">
        <is>
          <t>INHERENTE</t>
        </is>
      </c>
      <c r="F2348" t="inlineStr">
        <is>
          <t>CHINA</t>
        </is>
      </c>
      <c r="G2348" t="inlineStr">
        <is>
          <t>CN</t>
        </is>
      </c>
      <c r="H2348" t="n">
        <v>4</v>
      </c>
      <c r="I2348" t="n">
        <v>4</v>
      </c>
      <c r="J2348" t="n">
        <v>4</v>
      </c>
      <c r="K2348" t="n">
        <v>16</v>
      </c>
      <c r="L2348" t="n">
        <v>16</v>
      </c>
      <c r="M2348" t="n">
        <v>16</v>
      </c>
      <c r="N2348" t="n">
        <v>16</v>
      </c>
      <c r="O2348" t="n">
        <v>20</v>
      </c>
      <c r="P2348" t="n">
        <v>4</v>
      </c>
      <c r="R2348" s="9" t="n">
        <v>0.04</v>
      </c>
      <c r="S2348" s="10" t="inlineStr">
        <is>
          <t>SÍ — integrante</t>
        </is>
      </c>
      <c r="T2348" s="11" t="inlineStr">
        <is>
          <t>B · INTEGRANTE</t>
        </is>
      </c>
      <c r="U2348" s="11" t="inlineStr">
        <is>
          <t>DEL BANCO (se hereda)</t>
        </is>
      </c>
      <c r="V2348" s="11" t="n"/>
      <c r="W2348" s="12" t="n"/>
      <c r="X2348" s="12" t="n"/>
    </row>
    <row r="2349" ht="15" customHeight="1">
      <c r="C2349" t="inlineStr">
        <is>
          <t>PAIS DEL DOMICILIO</t>
        </is>
      </c>
      <c r="D2349" t="inlineStr">
        <is>
          <t>F6</t>
        </is>
      </c>
      <c r="E2349" t="inlineStr">
        <is>
          <t>INHERENTE</t>
        </is>
      </c>
      <c r="F2349" t="inlineStr">
        <is>
          <t>COLOMBIA</t>
        </is>
      </c>
      <c r="G2349" t="inlineStr">
        <is>
          <t>CO</t>
        </is>
      </c>
      <c r="H2349" t="n">
        <v>2</v>
      </c>
      <c r="I2349" t="n">
        <v>2</v>
      </c>
      <c r="J2349" t="n">
        <v>4</v>
      </c>
      <c r="K2349" t="n">
        <v>8</v>
      </c>
      <c r="L2349" t="n">
        <v>8</v>
      </c>
      <c r="M2349" t="n">
        <v>8</v>
      </c>
      <c r="N2349" t="n">
        <v>8</v>
      </c>
      <c r="O2349" t="n">
        <v>20</v>
      </c>
      <c r="P2349" t="n">
        <v>4</v>
      </c>
      <c r="R2349" s="9" t="n">
        <v>0.04</v>
      </c>
      <c r="S2349" s="10" t="inlineStr">
        <is>
          <t>SÍ — integrante</t>
        </is>
      </c>
      <c r="T2349" s="11" t="inlineStr">
        <is>
          <t>B · INTEGRANTE</t>
        </is>
      </c>
      <c r="U2349" s="11" t="inlineStr">
        <is>
          <t>DEL BANCO (se hereda)</t>
        </is>
      </c>
      <c r="V2349" s="11" t="n"/>
      <c r="W2349" s="12" t="n"/>
      <c r="X2349" s="12" t="n"/>
    </row>
    <row r="2350" ht="15" customHeight="1">
      <c r="C2350" t="inlineStr">
        <is>
          <t>PAIS DEL DOMICILIO</t>
        </is>
      </c>
      <c r="D2350" t="inlineStr">
        <is>
          <t>F6</t>
        </is>
      </c>
      <c r="E2350" t="inlineStr">
        <is>
          <t>INHERENTE</t>
        </is>
      </c>
      <c r="F2350" t="inlineStr">
        <is>
          <t>COSTA RICA</t>
        </is>
      </c>
      <c r="G2350" t="inlineStr">
        <is>
          <t>CR</t>
        </is>
      </c>
      <c r="H2350" t="n">
        <v>1</v>
      </c>
      <c r="I2350" t="n">
        <v>1</v>
      </c>
      <c r="J2350" t="n">
        <v>4</v>
      </c>
      <c r="K2350" t="n">
        <v>4</v>
      </c>
      <c r="L2350" t="n">
        <v>4</v>
      </c>
      <c r="M2350" t="n">
        <v>4</v>
      </c>
      <c r="N2350" t="n">
        <v>4</v>
      </c>
      <c r="O2350" t="n">
        <v>20</v>
      </c>
      <c r="P2350" t="n">
        <v>4</v>
      </c>
      <c r="R2350" s="9" t="n">
        <v>0.04</v>
      </c>
      <c r="S2350" s="10" t="inlineStr">
        <is>
          <t>SÍ — integrante</t>
        </is>
      </c>
      <c r="T2350" s="11" t="inlineStr">
        <is>
          <t>B · INTEGRANTE</t>
        </is>
      </c>
      <c r="U2350" s="11" t="inlineStr">
        <is>
          <t>DEL BANCO (se hereda)</t>
        </is>
      </c>
      <c r="V2350" s="11" t="n"/>
      <c r="W2350" s="12" t="n"/>
      <c r="X2350" s="12" t="n"/>
    </row>
    <row r="2351" ht="15" customHeight="1">
      <c r="C2351" t="inlineStr">
        <is>
          <t>PAIS DEL DOMICILIO</t>
        </is>
      </c>
      <c r="D2351" t="inlineStr">
        <is>
          <t>F6</t>
        </is>
      </c>
      <c r="E2351" t="inlineStr">
        <is>
          <t>INHERENTE</t>
        </is>
      </c>
      <c r="F2351" t="inlineStr">
        <is>
          <t>CUBA</t>
        </is>
      </c>
      <c r="G2351" t="inlineStr">
        <is>
          <t>CU</t>
        </is>
      </c>
      <c r="H2351" t="n">
        <v>4</v>
      </c>
      <c r="I2351" t="n">
        <v>4</v>
      </c>
      <c r="J2351" t="n">
        <v>4</v>
      </c>
      <c r="K2351" t="n">
        <v>16</v>
      </c>
      <c r="L2351" t="n">
        <v>16</v>
      </c>
      <c r="M2351" t="n">
        <v>16</v>
      </c>
      <c r="N2351" t="n">
        <v>16</v>
      </c>
      <c r="O2351" t="n">
        <v>20</v>
      </c>
      <c r="P2351" t="n">
        <v>4</v>
      </c>
      <c r="R2351" s="9" t="n">
        <v>0.04</v>
      </c>
      <c r="S2351" s="10" t="inlineStr">
        <is>
          <t>SÍ — integrante</t>
        </is>
      </c>
      <c r="T2351" s="11" t="inlineStr">
        <is>
          <t>B · INTEGRANTE</t>
        </is>
      </c>
      <c r="U2351" s="11" t="inlineStr">
        <is>
          <t>DEL BANCO (se hereda)</t>
        </is>
      </c>
      <c r="V2351" s="11" t="n"/>
      <c r="W2351" s="12" t="n"/>
      <c r="X2351" s="12" t="n"/>
    </row>
    <row r="2352" ht="15" customHeight="1">
      <c r="C2352" t="inlineStr">
        <is>
          <t>PAIS DEL DOMICILIO</t>
        </is>
      </c>
      <c r="D2352" t="inlineStr">
        <is>
          <t>F6</t>
        </is>
      </c>
      <c r="E2352" t="inlineStr">
        <is>
          <t>INHERENTE</t>
        </is>
      </c>
      <c r="F2352" t="inlineStr">
        <is>
          <t>CABO VERDE</t>
        </is>
      </c>
      <c r="G2352" t="inlineStr">
        <is>
          <t>CV</t>
        </is>
      </c>
      <c r="H2352" t="n">
        <v>2</v>
      </c>
      <c r="I2352" t="n">
        <v>2</v>
      </c>
      <c r="J2352" t="n">
        <v>4</v>
      </c>
      <c r="K2352" t="n">
        <v>8</v>
      </c>
      <c r="L2352" t="n">
        <v>8</v>
      </c>
      <c r="M2352" t="n">
        <v>8</v>
      </c>
      <c r="N2352" t="n">
        <v>8</v>
      </c>
      <c r="O2352" t="n">
        <v>20</v>
      </c>
      <c r="P2352" t="n">
        <v>4</v>
      </c>
      <c r="R2352" s="9" t="n">
        <v>0.04</v>
      </c>
      <c r="S2352" s="10" t="inlineStr">
        <is>
          <t>SÍ — integrante</t>
        </is>
      </c>
      <c r="T2352" s="11" t="inlineStr">
        <is>
          <t>B · INTEGRANTE</t>
        </is>
      </c>
      <c r="U2352" s="11" t="inlineStr">
        <is>
          <t>DEL BANCO (se hereda)</t>
        </is>
      </c>
      <c r="V2352" s="11" t="n"/>
      <c r="W2352" s="12" t="n"/>
      <c r="X2352" s="12" t="n"/>
    </row>
    <row r="2353" ht="15" customHeight="1">
      <c r="C2353" t="inlineStr">
        <is>
          <t>PAIS DEL DOMICILIO</t>
        </is>
      </c>
      <c r="D2353" t="inlineStr">
        <is>
          <t>F6</t>
        </is>
      </c>
      <c r="E2353" t="inlineStr">
        <is>
          <t>INHERENTE</t>
        </is>
      </c>
      <c r="F2353" t="inlineStr">
        <is>
          <t>CURACAO</t>
        </is>
      </c>
      <c r="G2353" t="inlineStr">
        <is>
          <t>CW</t>
        </is>
      </c>
      <c r="H2353" t="n">
        <v>3</v>
      </c>
      <c r="I2353" t="n">
        <v>3</v>
      </c>
      <c r="J2353" t="n">
        <v>4</v>
      </c>
      <c r="K2353" t="n">
        <v>12</v>
      </c>
      <c r="L2353" t="n">
        <v>12</v>
      </c>
      <c r="M2353" t="n">
        <v>12</v>
      </c>
      <c r="N2353" t="n">
        <v>12</v>
      </c>
      <c r="O2353" t="n">
        <v>20</v>
      </c>
      <c r="P2353" t="n">
        <v>4</v>
      </c>
      <c r="R2353" s="9" t="n">
        <v>0.04</v>
      </c>
      <c r="S2353" s="10" t="inlineStr">
        <is>
          <t>SÍ — integrante</t>
        </is>
      </c>
      <c r="T2353" s="11" t="inlineStr">
        <is>
          <t>B · INTEGRANTE</t>
        </is>
      </c>
      <c r="U2353" s="11" t="inlineStr">
        <is>
          <t>DEL BANCO (se hereda)</t>
        </is>
      </c>
      <c r="V2353" s="11" t="n"/>
      <c r="W2353" s="12" t="n"/>
      <c r="X2353" s="12" t="n"/>
    </row>
    <row r="2354" ht="15" customHeight="1">
      <c r="C2354" t="inlineStr">
        <is>
          <t>PAIS DEL DOMICILIO</t>
        </is>
      </c>
      <c r="D2354" t="inlineStr">
        <is>
          <t>F6</t>
        </is>
      </c>
      <c r="E2354" t="inlineStr">
        <is>
          <t>INHERENTE</t>
        </is>
      </c>
      <c r="F2354" t="inlineStr">
        <is>
          <t>ISLA CHRISTMAS</t>
        </is>
      </c>
      <c r="G2354" t="inlineStr">
        <is>
          <t>CX</t>
        </is>
      </c>
      <c r="H2354" t="n">
        <v>1</v>
      </c>
      <c r="I2354" t="n">
        <v>1</v>
      </c>
      <c r="J2354" t="n">
        <v>4</v>
      </c>
      <c r="K2354" t="n">
        <v>4</v>
      </c>
      <c r="L2354" t="n">
        <v>4</v>
      </c>
      <c r="M2354" t="n">
        <v>4</v>
      </c>
      <c r="N2354" t="n">
        <v>4</v>
      </c>
      <c r="O2354" t="n">
        <v>20</v>
      </c>
      <c r="P2354" t="n">
        <v>4</v>
      </c>
      <c r="R2354" s="9" t="n">
        <v>0.04</v>
      </c>
      <c r="S2354" s="10" t="inlineStr">
        <is>
          <t>SÍ — integrante</t>
        </is>
      </c>
      <c r="T2354" s="11" t="inlineStr">
        <is>
          <t>B · INTEGRANTE</t>
        </is>
      </c>
      <c r="U2354" s="11" t="inlineStr">
        <is>
          <t>DEL BANCO (se hereda)</t>
        </is>
      </c>
      <c r="V2354" s="11" t="n"/>
      <c r="W2354" s="12" t="n"/>
      <c r="X2354" s="12" t="n"/>
    </row>
    <row r="2355" ht="15" customHeight="1">
      <c r="C2355" t="inlineStr">
        <is>
          <t>PAIS DEL DOMICILIO</t>
        </is>
      </c>
      <c r="D2355" t="inlineStr">
        <is>
          <t>F6</t>
        </is>
      </c>
      <c r="E2355" t="inlineStr">
        <is>
          <t>INHERENTE</t>
        </is>
      </c>
      <c r="F2355" t="inlineStr">
        <is>
          <t>CHIPRE</t>
        </is>
      </c>
      <c r="G2355" t="inlineStr">
        <is>
          <t>CY</t>
        </is>
      </c>
      <c r="H2355" t="n">
        <v>1</v>
      </c>
      <c r="I2355" t="n">
        <v>1</v>
      </c>
      <c r="J2355" t="n">
        <v>4</v>
      </c>
      <c r="K2355" t="n">
        <v>4</v>
      </c>
      <c r="L2355" t="n">
        <v>4</v>
      </c>
      <c r="M2355" t="n">
        <v>4</v>
      </c>
      <c r="N2355" t="n">
        <v>4</v>
      </c>
      <c r="O2355" t="n">
        <v>20</v>
      </c>
      <c r="P2355" t="n">
        <v>4</v>
      </c>
      <c r="R2355" s="9" t="n">
        <v>0.04</v>
      </c>
      <c r="S2355" s="10" t="inlineStr">
        <is>
          <t>SÍ — integrante</t>
        </is>
      </c>
      <c r="T2355" s="11" t="inlineStr">
        <is>
          <t>B · INTEGRANTE</t>
        </is>
      </c>
      <c r="U2355" s="11" t="inlineStr">
        <is>
          <t>DEL BANCO (se hereda)</t>
        </is>
      </c>
      <c r="V2355" s="11" t="n"/>
      <c r="W2355" s="12" t="n"/>
      <c r="X2355" s="12" t="n"/>
    </row>
    <row r="2356" ht="15" customHeight="1">
      <c r="C2356" t="inlineStr">
        <is>
          <t>PAIS DEL DOMICILIO</t>
        </is>
      </c>
      <c r="D2356" t="inlineStr">
        <is>
          <t>F6</t>
        </is>
      </c>
      <c r="E2356" t="inlineStr">
        <is>
          <t>INHERENTE</t>
        </is>
      </c>
      <c r="F2356" t="inlineStr">
        <is>
          <t>REP CHECA, OSTRAVA</t>
        </is>
      </c>
      <c r="G2356" t="inlineStr">
        <is>
          <t>CZ</t>
        </is>
      </c>
      <c r="H2356" t="n">
        <v>1</v>
      </c>
      <c r="I2356" t="n">
        <v>1</v>
      </c>
      <c r="J2356" t="n">
        <v>4</v>
      </c>
      <c r="K2356" t="n">
        <v>4</v>
      </c>
      <c r="L2356" t="n">
        <v>4</v>
      </c>
      <c r="M2356" t="n">
        <v>4</v>
      </c>
      <c r="N2356" t="n">
        <v>4</v>
      </c>
      <c r="O2356" t="n">
        <v>20</v>
      </c>
      <c r="P2356" t="n">
        <v>4</v>
      </c>
      <c r="R2356" s="9" t="n">
        <v>0.04</v>
      </c>
      <c r="S2356" s="10" t="inlineStr">
        <is>
          <t>SÍ — integrante</t>
        </is>
      </c>
      <c r="T2356" s="11" t="inlineStr">
        <is>
          <t>B · INTEGRANTE</t>
        </is>
      </c>
      <c r="U2356" s="11" t="inlineStr">
        <is>
          <t>DEL BANCO (se hereda)</t>
        </is>
      </c>
      <c r="V2356" s="11" t="n"/>
      <c r="W2356" s="12" t="n"/>
      <c r="X2356" s="12" t="n"/>
    </row>
    <row r="2357" ht="15" customHeight="1">
      <c r="C2357" t="inlineStr">
        <is>
          <t>PAIS DEL DOMICILIO</t>
        </is>
      </c>
      <c r="D2357" t="inlineStr">
        <is>
          <t>F6</t>
        </is>
      </c>
      <c r="E2357" t="inlineStr">
        <is>
          <t>INHERENTE</t>
        </is>
      </c>
      <c r="F2357" t="inlineStr">
        <is>
          <t>ALEMANIA</t>
        </is>
      </c>
      <c r="G2357" t="inlineStr">
        <is>
          <t>DE</t>
        </is>
      </c>
      <c r="H2357" t="n">
        <v>1</v>
      </c>
      <c r="I2357" t="n">
        <v>1</v>
      </c>
      <c r="J2357" t="n">
        <v>4</v>
      </c>
      <c r="K2357" t="n">
        <v>4</v>
      </c>
      <c r="L2357" t="n">
        <v>4</v>
      </c>
      <c r="M2357" t="n">
        <v>4</v>
      </c>
      <c r="N2357" t="n">
        <v>4</v>
      </c>
      <c r="O2357" t="n">
        <v>20</v>
      </c>
      <c r="P2357" t="n">
        <v>4</v>
      </c>
      <c r="R2357" s="9" t="n">
        <v>0.04</v>
      </c>
      <c r="S2357" s="10" t="inlineStr">
        <is>
          <t>SÍ — integrante</t>
        </is>
      </c>
      <c r="T2357" s="11" t="inlineStr">
        <is>
          <t>B · INTEGRANTE</t>
        </is>
      </c>
      <c r="U2357" s="11" t="inlineStr">
        <is>
          <t>DEL BANCO (se hereda)</t>
        </is>
      </c>
      <c r="V2357" s="11" t="n"/>
      <c r="W2357" s="12" t="n"/>
      <c r="X2357" s="12" t="n"/>
    </row>
    <row r="2358" ht="15" customHeight="1">
      <c r="C2358" t="inlineStr">
        <is>
          <t>PAIS DEL DOMICILIO</t>
        </is>
      </c>
      <c r="D2358" t="inlineStr">
        <is>
          <t>F6</t>
        </is>
      </c>
      <c r="E2358" t="inlineStr">
        <is>
          <t>INHERENTE</t>
        </is>
      </c>
      <c r="F2358" t="inlineStr">
        <is>
          <t>DJIBOUTI</t>
        </is>
      </c>
      <c r="G2358" t="inlineStr">
        <is>
          <t>DJ</t>
        </is>
      </c>
      <c r="H2358" t="n">
        <v>4</v>
      </c>
      <c r="I2358" t="n">
        <v>4</v>
      </c>
      <c r="J2358" t="n">
        <v>4</v>
      </c>
      <c r="K2358" t="n">
        <v>16</v>
      </c>
      <c r="L2358" t="n">
        <v>16</v>
      </c>
      <c r="M2358" t="n">
        <v>16</v>
      </c>
      <c r="N2358" t="n">
        <v>16</v>
      </c>
      <c r="O2358" t="n">
        <v>20</v>
      </c>
      <c r="P2358" t="n">
        <v>4</v>
      </c>
      <c r="R2358" s="9" t="n">
        <v>0.04</v>
      </c>
      <c r="S2358" s="10" t="inlineStr">
        <is>
          <t>SÍ — integrante</t>
        </is>
      </c>
      <c r="T2358" s="11" t="inlineStr">
        <is>
          <t>B · INTEGRANTE</t>
        </is>
      </c>
      <c r="U2358" s="11" t="inlineStr">
        <is>
          <t>DEL BANCO (se hereda)</t>
        </is>
      </c>
      <c r="V2358" s="11" t="n"/>
      <c r="W2358" s="12" t="n"/>
      <c r="X2358" s="12" t="n"/>
    </row>
    <row r="2359" ht="15" customHeight="1">
      <c r="C2359" t="inlineStr">
        <is>
          <t>PAIS DEL DOMICILIO</t>
        </is>
      </c>
      <c r="D2359" t="inlineStr">
        <is>
          <t>F6</t>
        </is>
      </c>
      <c r="E2359" t="inlineStr">
        <is>
          <t>INHERENTE</t>
        </is>
      </c>
      <c r="F2359" t="inlineStr">
        <is>
          <t>DINAMARCA</t>
        </is>
      </c>
      <c r="G2359" t="inlineStr">
        <is>
          <t>DK</t>
        </is>
      </c>
      <c r="H2359" t="n">
        <v>1</v>
      </c>
      <c r="I2359" t="n">
        <v>1</v>
      </c>
      <c r="J2359" t="n">
        <v>4</v>
      </c>
      <c r="K2359" t="n">
        <v>4</v>
      </c>
      <c r="L2359" t="n">
        <v>4</v>
      </c>
      <c r="M2359" t="n">
        <v>4</v>
      </c>
      <c r="N2359" t="n">
        <v>4</v>
      </c>
      <c r="O2359" t="n">
        <v>20</v>
      </c>
      <c r="P2359" t="n">
        <v>4</v>
      </c>
      <c r="R2359" s="9" t="n">
        <v>0.04</v>
      </c>
      <c r="S2359" s="10" t="inlineStr">
        <is>
          <t>SÍ — integrante</t>
        </is>
      </c>
      <c r="T2359" s="11" t="inlineStr">
        <is>
          <t>B · INTEGRANTE</t>
        </is>
      </c>
      <c r="U2359" s="11" t="inlineStr">
        <is>
          <t>DEL BANCO (se hereda)</t>
        </is>
      </c>
      <c r="V2359" s="11" t="n"/>
      <c r="W2359" s="12" t="n"/>
      <c r="X2359" s="12" t="n"/>
    </row>
    <row r="2360" ht="15" customHeight="1">
      <c r="C2360" t="inlineStr">
        <is>
          <t>PAIS DEL DOMICILIO</t>
        </is>
      </c>
      <c r="D2360" t="inlineStr">
        <is>
          <t>F6</t>
        </is>
      </c>
      <c r="E2360" t="inlineStr">
        <is>
          <t>INHERENTE</t>
        </is>
      </c>
      <c r="F2360" t="inlineStr">
        <is>
          <t>DOMINICA</t>
        </is>
      </c>
      <c r="G2360" t="inlineStr">
        <is>
          <t>DM</t>
        </is>
      </c>
      <c r="H2360" t="n">
        <v>3</v>
      </c>
      <c r="I2360" t="n">
        <v>3</v>
      </c>
      <c r="J2360" t="n">
        <v>4</v>
      </c>
      <c r="K2360" t="n">
        <v>12</v>
      </c>
      <c r="L2360" t="n">
        <v>12</v>
      </c>
      <c r="M2360" t="n">
        <v>12</v>
      </c>
      <c r="N2360" t="n">
        <v>12</v>
      </c>
      <c r="O2360" t="n">
        <v>20</v>
      </c>
      <c r="P2360" t="n">
        <v>4</v>
      </c>
      <c r="R2360" s="9" t="n">
        <v>0.04</v>
      </c>
      <c r="S2360" s="10" t="inlineStr">
        <is>
          <t>SÍ — integrante</t>
        </is>
      </c>
      <c r="T2360" s="11" t="inlineStr">
        <is>
          <t>B · INTEGRANTE</t>
        </is>
      </c>
      <c r="U2360" s="11" t="inlineStr">
        <is>
          <t>DEL BANCO (se hereda)</t>
        </is>
      </c>
      <c r="V2360" s="11" t="n"/>
      <c r="W2360" s="12" t="n"/>
      <c r="X2360" s="12" t="n"/>
    </row>
    <row r="2361" ht="15" customHeight="1">
      <c r="C2361" t="inlineStr">
        <is>
          <t>PAIS DEL DOMICILIO</t>
        </is>
      </c>
      <c r="D2361" t="inlineStr">
        <is>
          <t>F6</t>
        </is>
      </c>
      <c r="E2361" t="inlineStr">
        <is>
          <t>INHERENTE</t>
        </is>
      </c>
      <c r="F2361" t="inlineStr">
        <is>
          <t>DOMINICANA</t>
        </is>
      </c>
      <c r="G2361" t="inlineStr">
        <is>
          <t>DO</t>
        </is>
      </c>
      <c r="H2361" t="n">
        <v>2</v>
      </c>
      <c r="I2361" t="n">
        <v>2</v>
      </c>
      <c r="J2361" t="n">
        <v>4</v>
      </c>
      <c r="K2361" t="n">
        <v>8</v>
      </c>
      <c r="L2361" t="n">
        <v>8</v>
      </c>
      <c r="M2361" t="n">
        <v>8</v>
      </c>
      <c r="N2361" t="n">
        <v>8</v>
      </c>
      <c r="O2361" t="n">
        <v>20</v>
      </c>
      <c r="P2361" t="n">
        <v>4</v>
      </c>
      <c r="R2361" s="9" t="n">
        <v>0.04</v>
      </c>
      <c r="S2361" s="10" t="inlineStr">
        <is>
          <t>SÍ — integrante</t>
        </is>
      </c>
      <c r="T2361" s="11" t="inlineStr">
        <is>
          <t>B · INTEGRANTE</t>
        </is>
      </c>
      <c r="U2361" s="11" t="inlineStr">
        <is>
          <t>DEL BANCO (se hereda)</t>
        </is>
      </c>
      <c r="V2361" s="11" t="n"/>
      <c r="W2361" s="12" t="n"/>
      <c r="X2361" s="12" t="n"/>
    </row>
    <row r="2362" ht="15" customHeight="1">
      <c r="C2362" t="inlineStr">
        <is>
          <t>PAIS DEL DOMICILIO</t>
        </is>
      </c>
      <c r="D2362" t="inlineStr">
        <is>
          <t>F6</t>
        </is>
      </c>
      <c r="E2362" t="inlineStr">
        <is>
          <t>INHERENTE</t>
        </is>
      </c>
      <c r="F2362" t="inlineStr">
        <is>
          <t>ARGELIA</t>
        </is>
      </c>
      <c r="G2362" t="inlineStr">
        <is>
          <t>DZ</t>
        </is>
      </c>
      <c r="H2362" t="n">
        <v>4</v>
      </c>
      <c r="I2362" t="n">
        <v>4</v>
      </c>
      <c r="J2362" t="n">
        <v>4</v>
      </c>
      <c r="K2362" t="n">
        <v>16</v>
      </c>
      <c r="L2362" t="n">
        <v>16</v>
      </c>
      <c r="M2362" t="n">
        <v>16</v>
      </c>
      <c r="N2362" t="n">
        <v>16</v>
      </c>
      <c r="O2362" t="n">
        <v>20</v>
      </c>
      <c r="P2362" t="n">
        <v>4</v>
      </c>
      <c r="Q2362" t="inlineStr">
        <is>
          <t>DETERMINANTE</t>
        </is>
      </c>
      <c r="R2362" s="9" t="n">
        <v>0.04</v>
      </c>
      <c r="S2362" s="10" t="inlineStr">
        <is>
          <t>SÍ — integrante</t>
        </is>
      </c>
      <c r="T2362" s="11" t="inlineStr">
        <is>
          <t>B · INTEGRANTE</t>
        </is>
      </c>
      <c r="U2362" s="11" t="inlineStr">
        <is>
          <t>DEL BANCO (se hereda)</t>
        </is>
      </c>
      <c r="V2362" s="11" t="n"/>
      <c r="W2362" s="12" t="n"/>
      <c r="X2362" s="12" t="n"/>
    </row>
    <row r="2363" ht="15" customHeight="1">
      <c r="C2363" t="inlineStr">
        <is>
          <t>PAIS DEL DOMICILIO</t>
        </is>
      </c>
      <c r="D2363" t="inlineStr">
        <is>
          <t>F6</t>
        </is>
      </c>
      <c r="E2363" t="inlineStr">
        <is>
          <t>INHERENTE</t>
        </is>
      </c>
      <c r="F2363" t="inlineStr">
        <is>
          <t>ECUADOR</t>
        </is>
      </c>
      <c r="G2363" t="inlineStr">
        <is>
          <t>EC</t>
        </is>
      </c>
      <c r="H2363" t="n">
        <v>2</v>
      </c>
      <c r="I2363" t="n">
        <v>2</v>
      </c>
      <c r="J2363" t="n">
        <v>4</v>
      </c>
      <c r="K2363" t="n">
        <v>8</v>
      </c>
      <c r="L2363" t="n">
        <v>8</v>
      </c>
      <c r="M2363" t="n">
        <v>8</v>
      </c>
      <c r="N2363" t="n">
        <v>8</v>
      </c>
      <c r="O2363" t="n">
        <v>20</v>
      </c>
      <c r="P2363" t="n">
        <v>4</v>
      </c>
      <c r="R2363" s="9" t="n">
        <v>0.04</v>
      </c>
      <c r="S2363" s="10" t="inlineStr">
        <is>
          <t>SÍ — integrante</t>
        </is>
      </c>
      <c r="T2363" s="11" t="inlineStr">
        <is>
          <t>B · INTEGRANTE</t>
        </is>
      </c>
      <c r="U2363" s="11" t="inlineStr">
        <is>
          <t>DEL BANCO (se hereda)</t>
        </is>
      </c>
      <c r="V2363" s="11" t="n"/>
      <c r="W2363" s="12" t="n"/>
      <c r="X2363" s="12" t="n"/>
    </row>
    <row r="2364" ht="15" customHeight="1">
      <c r="C2364" t="inlineStr">
        <is>
          <t>PAIS DEL DOMICILIO</t>
        </is>
      </c>
      <c r="D2364" t="inlineStr">
        <is>
          <t>F6</t>
        </is>
      </c>
      <c r="E2364" t="inlineStr">
        <is>
          <t>INHERENTE</t>
        </is>
      </c>
      <c r="F2364" t="inlineStr">
        <is>
          <t>ESTONIA</t>
        </is>
      </c>
      <c r="G2364" t="inlineStr">
        <is>
          <t>EE</t>
        </is>
      </c>
      <c r="H2364" t="n">
        <v>1</v>
      </c>
      <c r="I2364" t="n">
        <v>1</v>
      </c>
      <c r="J2364" t="n">
        <v>4</v>
      </c>
      <c r="K2364" t="n">
        <v>4</v>
      </c>
      <c r="L2364" t="n">
        <v>4</v>
      </c>
      <c r="M2364" t="n">
        <v>4</v>
      </c>
      <c r="N2364" t="n">
        <v>4</v>
      </c>
      <c r="O2364" t="n">
        <v>20</v>
      </c>
      <c r="P2364" t="n">
        <v>4</v>
      </c>
      <c r="R2364" s="9" t="n">
        <v>0.04</v>
      </c>
      <c r="S2364" s="10" t="inlineStr">
        <is>
          <t>SÍ — integrante</t>
        </is>
      </c>
      <c r="T2364" s="11" t="inlineStr">
        <is>
          <t>B · INTEGRANTE</t>
        </is>
      </c>
      <c r="U2364" s="11" t="inlineStr">
        <is>
          <t>DEL BANCO (se hereda)</t>
        </is>
      </c>
      <c r="V2364" s="11" t="n"/>
      <c r="W2364" s="12" t="n"/>
      <c r="X2364" s="12" t="n"/>
    </row>
    <row r="2365" ht="15" customHeight="1">
      <c r="C2365" t="inlineStr">
        <is>
          <t>PAIS DEL DOMICILIO</t>
        </is>
      </c>
      <c r="D2365" t="inlineStr">
        <is>
          <t>F6</t>
        </is>
      </c>
      <c r="E2365" t="inlineStr">
        <is>
          <t>INHERENTE</t>
        </is>
      </c>
      <c r="F2365" t="inlineStr">
        <is>
          <t>EGIPTO</t>
        </is>
      </c>
      <c r="G2365" t="inlineStr">
        <is>
          <t>EG</t>
        </is>
      </c>
      <c r="H2365" t="n">
        <v>2</v>
      </c>
      <c r="I2365" t="n">
        <v>2</v>
      </c>
      <c r="J2365" t="n">
        <v>4</v>
      </c>
      <c r="K2365" t="n">
        <v>8</v>
      </c>
      <c r="L2365" t="n">
        <v>8</v>
      </c>
      <c r="M2365" t="n">
        <v>8</v>
      </c>
      <c r="N2365" t="n">
        <v>8</v>
      </c>
      <c r="O2365" t="n">
        <v>20</v>
      </c>
      <c r="P2365" t="n">
        <v>4</v>
      </c>
      <c r="R2365" s="9" t="n">
        <v>0.04</v>
      </c>
      <c r="S2365" s="10" t="inlineStr">
        <is>
          <t>SÍ — integrante</t>
        </is>
      </c>
      <c r="T2365" s="11" t="inlineStr">
        <is>
          <t>B · INTEGRANTE</t>
        </is>
      </c>
      <c r="U2365" s="11" t="inlineStr">
        <is>
          <t>DEL BANCO (se hereda)</t>
        </is>
      </c>
      <c r="V2365" s="11" t="n"/>
      <c r="W2365" s="12" t="n"/>
      <c r="X2365" s="12" t="n"/>
    </row>
    <row r="2366" ht="15" customHeight="1">
      <c r="C2366" t="inlineStr">
        <is>
          <t>PAIS DEL DOMICILIO</t>
        </is>
      </c>
      <c r="D2366" t="inlineStr">
        <is>
          <t>F6</t>
        </is>
      </c>
      <c r="E2366" t="inlineStr">
        <is>
          <t>INHERENTE</t>
        </is>
      </c>
      <c r="F2366" t="inlineStr">
        <is>
          <t>SAHARA OCCIDENT</t>
        </is>
      </c>
      <c r="G2366" t="inlineStr">
        <is>
          <t>EH</t>
        </is>
      </c>
      <c r="H2366" t="n">
        <v>1</v>
      </c>
      <c r="I2366" t="n">
        <v>1</v>
      </c>
      <c r="J2366" t="n">
        <v>4</v>
      </c>
      <c r="K2366" t="n">
        <v>4</v>
      </c>
      <c r="L2366" t="n">
        <v>4</v>
      </c>
      <c r="M2366" t="n">
        <v>4</v>
      </c>
      <c r="N2366" t="n">
        <v>4</v>
      </c>
      <c r="O2366" t="n">
        <v>20</v>
      </c>
      <c r="P2366" t="n">
        <v>4</v>
      </c>
      <c r="R2366" s="9" t="n">
        <v>0.04</v>
      </c>
      <c r="S2366" s="10" t="inlineStr">
        <is>
          <t>SÍ — integrante</t>
        </is>
      </c>
      <c r="T2366" s="11" t="inlineStr">
        <is>
          <t>B · INTEGRANTE</t>
        </is>
      </c>
      <c r="U2366" s="11" t="inlineStr">
        <is>
          <t>DEL BANCO (se hereda)</t>
        </is>
      </c>
      <c r="V2366" s="11" t="n"/>
      <c r="W2366" s="12" t="n"/>
      <c r="X2366" s="12" t="n"/>
    </row>
    <row r="2367" ht="15" customHeight="1">
      <c r="C2367" t="inlineStr">
        <is>
          <t>PAIS DEL DOMICILIO</t>
        </is>
      </c>
      <c r="D2367" t="inlineStr">
        <is>
          <t>F6</t>
        </is>
      </c>
      <c r="E2367" t="inlineStr">
        <is>
          <t>INHERENTE</t>
        </is>
      </c>
      <c r="F2367" t="inlineStr">
        <is>
          <t>ERITREA</t>
        </is>
      </c>
      <c r="G2367" t="inlineStr">
        <is>
          <t>ER</t>
        </is>
      </c>
      <c r="H2367" t="n">
        <v>4</v>
      </c>
      <c r="I2367" t="n">
        <v>4</v>
      </c>
      <c r="J2367" t="n">
        <v>4</v>
      </c>
      <c r="K2367" t="n">
        <v>16</v>
      </c>
      <c r="L2367" t="n">
        <v>16</v>
      </c>
      <c r="M2367" t="n">
        <v>16</v>
      </c>
      <c r="N2367" t="n">
        <v>16</v>
      </c>
      <c r="O2367" t="n">
        <v>20</v>
      </c>
      <c r="P2367" t="n">
        <v>4</v>
      </c>
      <c r="R2367" s="9" t="n">
        <v>0.04</v>
      </c>
      <c r="S2367" s="10" t="inlineStr">
        <is>
          <t>SÍ — integrante</t>
        </is>
      </c>
      <c r="T2367" s="11" t="inlineStr">
        <is>
          <t>B · INTEGRANTE</t>
        </is>
      </c>
      <c r="U2367" s="11" t="inlineStr">
        <is>
          <t>DEL BANCO (se hereda)</t>
        </is>
      </c>
      <c r="V2367" s="11" t="n"/>
      <c r="W2367" s="12" t="n"/>
      <c r="X2367" s="12" t="n"/>
    </row>
    <row r="2368" ht="15" customHeight="1">
      <c r="C2368" t="inlineStr">
        <is>
          <t>PAIS DEL DOMICILIO</t>
        </is>
      </c>
      <c r="D2368" t="inlineStr">
        <is>
          <t>F6</t>
        </is>
      </c>
      <c r="E2368" t="inlineStr">
        <is>
          <t>INHERENTE</t>
        </is>
      </c>
      <c r="F2368" t="inlineStr">
        <is>
          <t>ESPANA</t>
        </is>
      </c>
      <c r="G2368" t="inlineStr">
        <is>
          <t>ES</t>
        </is>
      </c>
      <c r="H2368" t="n">
        <v>1</v>
      </c>
      <c r="I2368" t="n">
        <v>1</v>
      </c>
      <c r="J2368" t="n">
        <v>4</v>
      </c>
      <c r="K2368" t="n">
        <v>4</v>
      </c>
      <c r="L2368" t="n">
        <v>4</v>
      </c>
      <c r="M2368" t="n">
        <v>4</v>
      </c>
      <c r="N2368" t="n">
        <v>4</v>
      </c>
      <c r="O2368" t="n">
        <v>20</v>
      </c>
      <c r="P2368" t="n">
        <v>4</v>
      </c>
      <c r="R2368" s="9" t="n">
        <v>0.04</v>
      </c>
      <c r="S2368" s="10" t="inlineStr">
        <is>
          <t>SÍ — integrante</t>
        </is>
      </c>
      <c r="T2368" s="11" t="inlineStr">
        <is>
          <t>B · INTEGRANTE</t>
        </is>
      </c>
      <c r="U2368" s="11" t="inlineStr">
        <is>
          <t>DEL BANCO (se hereda)</t>
        </is>
      </c>
      <c r="V2368" s="11" t="n"/>
      <c r="W2368" s="12" t="n"/>
      <c r="X2368" s="12" t="n"/>
    </row>
    <row r="2369" ht="15" customHeight="1">
      <c r="C2369" t="inlineStr">
        <is>
          <t>PAIS DEL DOMICILIO</t>
        </is>
      </c>
      <c r="D2369" t="inlineStr">
        <is>
          <t>F6</t>
        </is>
      </c>
      <c r="E2369" t="inlineStr">
        <is>
          <t>INHERENTE</t>
        </is>
      </c>
      <c r="F2369" t="inlineStr">
        <is>
          <t>ETIOPIA</t>
        </is>
      </c>
      <c r="G2369" t="inlineStr">
        <is>
          <t>ET</t>
        </is>
      </c>
      <c r="H2369" t="n">
        <v>3</v>
      </c>
      <c r="I2369" t="n">
        <v>3</v>
      </c>
      <c r="J2369" t="n">
        <v>4</v>
      </c>
      <c r="K2369" t="n">
        <v>12</v>
      </c>
      <c r="L2369" t="n">
        <v>12</v>
      </c>
      <c r="M2369" t="n">
        <v>12</v>
      </c>
      <c r="N2369" t="n">
        <v>12</v>
      </c>
      <c r="O2369" t="n">
        <v>20</v>
      </c>
      <c r="P2369" t="n">
        <v>4</v>
      </c>
      <c r="R2369" s="9" t="n">
        <v>0.04</v>
      </c>
      <c r="S2369" s="10" t="inlineStr">
        <is>
          <t>SÍ — integrante</t>
        </is>
      </c>
      <c r="T2369" s="11" t="inlineStr">
        <is>
          <t>B · INTEGRANTE</t>
        </is>
      </c>
      <c r="U2369" s="11" t="inlineStr">
        <is>
          <t>DEL BANCO (se hereda)</t>
        </is>
      </c>
      <c r="V2369" s="11" t="n"/>
      <c r="W2369" s="12" t="n"/>
      <c r="X2369" s="12" t="n"/>
    </row>
    <row r="2370" ht="15" customHeight="1">
      <c r="C2370" t="inlineStr">
        <is>
          <t>PAIS DEL DOMICILIO</t>
        </is>
      </c>
      <c r="D2370" t="inlineStr">
        <is>
          <t>F6</t>
        </is>
      </c>
      <c r="E2370" t="inlineStr">
        <is>
          <t>INHERENTE</t>
        </is>
      </c>
      <c r="F2370" t="inlineStr">
        <is>
          <t>PAIES EUR</t>
        </is>
      </c>
      <c r="G2370" t="inlineStr">
        <is>
          <t>EU</t>
        </is>
      </c>
      <c r="H2370" t="n">
        <v>1</v>
      </c>
      <c r="I2370" t="n">
        <v>1</v>
      </c>
      <c r="J2370" t="n">
        <v>4</v>
      </c>
      <c r="K2370" t="n">
        <v>4</v>
      </c>
      <c r="L2370" t="n">
        <v>4</v>
      </c>
      <c r="M2370" t="n">
        <v>4</v>
      </c>
      <c r="N2370" t="n">
        <v>4</v>
      </c>
      <c r="O2370" t="n">
        <v>20</v>
      </c>
      <c r="P2370" t="n">
        <v>4</v>
      </c>
      <c r="R2370" s="9" t="n">
        <v>0.04</v>
      </c>
      <c r="S2370" s="10" t="inlineStr">
        <is>
          <t>SÍ — integrante</t>
        </is>
      </c>
      <c r="T2370" s="11" t="inlineStr">
        <is>
          <t>B · INTEGRANTE</t>
        </is>
      </c>
      <c r="U2370" s="11" t="inlineStr">
        <is>
          <t>DEL BANCO (se hereda)</t>
        </is>
      </c>
      <c r="V2370" s="11" t="n"/>
      <c r="W2370" s="12" t="n"/>
      <c r="X2370" s="12" t="n"/>
    </row>
    <row r="2371" ht="15" customHeight="1">
      <c r="C2371" t="inlineStr">
        <is>
          <t>PAIS DEL DOMICILIO</t>
        </is>
      </c>
      <c r="D2371" t="inlineStr">
        <is>
          <t>F6</t>
        </is>
      </c>
      <c r="E2371" t="inlineStr">
        <is>
          <t>INHERENTE</t>
        </is>
      </c>
      <c r="F2371" t="inlineStr">
        <is>
          <t>FINLANDIA</t>
        </is>
      </c>
      <c r="G2371" t="inlineStr">
        <is>
          <t>FI</t>
        </is>
      </c>
      <c r="H2371" t="n">
        <v>1</v>
      </c>
      <c r="I2371" t="n">
        <v>1</v>
      </c>
      <c r="J2371" t="n">
        <v>4</v>
      </c>
      <c r="K2371" t="n">
        <v>4</v>
      </c>
      <c r="L2371" t="n">
        <v>4</v>
      </c>
      <c r="M2371" t="n">
        <v>4</v>
      </c>
      <c r="N2371" t="n">
        <v>4</v>
      </c>
      <c r="O2371" t="n">
        <v>20</v>
      </c>
      <c r="P2371" t="n">
        <v>4</v>
      </c>
      <c r="R2371" s="9" t="n">
        <v>0.04</v>
      </c>
      <c r="S2371" s="10" t="inlineStr">
        <is>
          <t>SÍ — integrante</t>
        </is>
      </c>
      <c r="T2371" s="11" t="inlineStr">
        <is>
          <t>B · INTEGRANTE</t>
        </is>
      </c>
      <c r="U2371" s="11" t="inlineStr">
        <is>
          <t>DEL BANCO (se hereda)</t>
        </is>
      </c>
      <c r="V2371" s="11" t="n"/>
      <c r="W2371" s="12" t="n"/>
      <c r="X2371" s="12" t="n"/>
    </row>
    <row r="2372" ht="15" customHeight="1">
      <c r="C2372" t="inlineStr">
        <is>
          <t>PAIS DEL DOMICILIO</t>
        </is>
      </c>
      <c r="D2372" t="inlineStr">
        <is>
          <t>F6</t>
        </is>
      </c>
      <c r="E2372" t="inlineStr">
        <is>
          <t>INHERENTE</t>
        </is>
      </c>
      <c r="F2372" t="inlineStr">
        <is>
          <t>ISLAS FIDJI</t>
        </is>
      </c>
      <c r="G2372" t="inlineStr">
        <is>
          <t>FJ</t>
        </is>
      </c>
      <c r="H2372" t="n">
        <v>1</v>
      </c>
      <c r="I2372" t="n">
        <v>1</v>
      </c>
      <c r="J2372" t="n">
        <v>4</v>
      </c>
      <c r="K2372" t="n">
        <v>4</v>
      </c>
      <c r="L2372" t="n">
        <v>4</v>
      </c>
      <c r="M2372" t="n">
        <v>4</v>
      </c>
      <c r="N2372" t="n">
        <v>4</v>
      </c>
      <c r="O2372" t="n">
        <v>20</v>
      </c>
      <c r="P2372" t="n">
        <v>4</v>
      </c>
      <c r="R2372" s="9" t="n">
        <v>0.04</v>
      </c>
      <c r="S2372" s="10" t="inlineStr">
        <is>
          <t>SÍ — integrante</t>
        </is>
      </c>
      <c r="T2372" s="11" t="inlineStr">
        <is>
          <t>B · INTEGRANTE</t>
        </is>
      </c>
      <c r="U2372" s="11" t="inlineStr">
        <is>
          <t>DEL BANCO (se hereda)</t>
        </is>
      </c>
      <c r="V2372" s="11" t="n"/>
      <c r="W2372" s="12" t="n"/>
      <c r="X2372" s="12" t="n"/>
    </row>
    <row r="2373" ht="15" customHeight="1">
      <c r="C2373" t="inlineStr">
        <is>
          <t>PAIS DEL DOMICILIO</t>
        </is>
      </c>
      <c r="D2373" t="inlineStr">
        <is>
          <t>F6</t>
        </is>
      </c>
      <c r="E2373" t="inlineStr">
        <is>
          <t>INHERENTE</t>
        </is>
      </c>
      <c r="F2373" t="inlineStr">
        <is>
          <t>ISLAS MALVINAS</t>
        </is>
      </c>
      <c r="G2373" t="inlineStr">
        <is>
          <t>FK</t>
        </is>
      </c>
      <c r="H2373" t="n">
        <v>1</v>
      </c>
      <c r="I2373" t="n">
        <v>1</v>
      </c>
      <c r="J2373" t="n">
        <v>4</v>
      </c>
      <c r="K2373" t="n">
        <v>4</v>
      </c>
      <c r="L2373" t="n">
        <v>4</v>
      </c>
      <c r="M2373" t="n">
        <v>4</v>
      </c>
      <c r="N2373" t="n">
        <v>4</v>
      </c>
      <c r="O2373" t="n">
        <v>20</v>
      </c>
      <c r="P2373" t="n">
        <v>4</v>
      </c>
      <c r="R2373" s="9" t="n">
        <v>0.04</v>
      </c>
      <c r="S2373" s="10" t="inlineStr">
        <is>
          <t>SÍ — integrante</t>
        </is>
      </c>
      <c r="T2373" s="11" t="inlineStr">
        <is>
          <t>B · INTEGRANTE</t>
        </is>
      </c>
      <c r="U2373" s="11" t="inlineStr">
        <is>
          <t>DEL BANCO (se hereda)</t>
        </is>
      </c>
      <c r="V2373" s="11" t="n"/>
      <c r="W2373" s="12" t="n"/>
      <c r="X2373" s="12" t="n"/>
    </row>
    <row r="2374" ht="15" customHeight="1">
      <c r="C2374" t="inlineStr">
        <is>
          <t>PAIS DEL DOMICILIO</t>
        </is>
      </c>
      <c r="D2374" t="inlineStr">
        <is>
          <t>F6</t>
        </is>
      </c>
      <c r="E2374" t="inlineStr">
        <is>
          <t>INHERENTE</t>
        </is>
      </c>
      <c r="F2374" t="inlineStr">
        <is>
          <t>MICRONESIA</t>
        </is>
      </c>
      <c r="G2374" t="inlineStr">
        <is>
          <t>FM</t>
        </is>
      </c>
      <c r="H2374" t="n">
        <v>1</v>
      </c>
      <c r="I2374" t="n">
        <v>1</v>
      </c>
      <c r="J2374" t="n">
        <v>4</v>
      </c>
      <c r="K2374" t="n">
        <v>4</v>
      </c>
      <c r="L2374" t="n">
        <v>4</v>
      </c>
      <c r="M2374" t="n">
        <v>4</v>
      </c>
      <c r="N2374" t="n">
        <v>4</v>
      </c>
      <c r="O2374" t="n">
        <v>20</v>
      </c>
      <c r="P2374" t="n">
        <v>4</v>
      </c>
      <c r="R2374" s="9" t="n">
        <v>0.04</v>
      </c>
      <c r="S2374" s="10" t="inlineStr">
        <is>
          <t>SÍ — integrante</t>
        </is>
      </c>
      <c r="T2374" s="11" t="inlineStr">
        <is>
          <t>B · INTEGRANTE</t>
        </is>
      </c>
      <c r="U2374" s="11" t="inlineStr">
        <is>
          <t>DEL BANCO (se hereda)</t>
        </is>
      </c>
      <c r="V2374" s="11" t="n"/>
      <c r="W2374" s="12" t="n"/>
      <c r="X2374" s="12" t="n"/>
    </row>
    <row r="2375" ht="15" customHeight="1">
      <c r="C2375" t="inlineStr">
        <is>
          <t>PAIS DEL DOMICILIO</t>
        </is>
      </c>
      <c r="D2375" t="inlineStr">
        <is>
          <t>F6</t>
        </is>
      </c>
      <c r="E2375" t="inlineStr">
        <is>
          <t>INHERENTE</t>
        </is>
      </c>
      <c r="F2375" t="inlineStr">
        <is>
          <t>ISLAS PACIFICO</t>
        </is>
      </c>
      <c r="G2375" t="inlineStr">
        <is>
          <t>FO</t>
        </is>
      </c>
      <c r="H2375" t="n">
        <v>1</v>
      </c>
      <c r="I2375" t="n">
        <v>1</v>
      </c>
      <c r="J2375" t="n">
        <v>4</v>
      </c>
      <c r="K2375" t="n">
        <v>4</v>
      </c>
      <c r="L2375" t="n">
        <v>4</v>
      </c>
      <c r="M2375" t="n">
        <v>4</v>
      </c>
      <c r="N2375" t="n">
        <v>4</v>
      </c>
      <c r="O2375" t="n">
        <v>20</v>
      </c>
      <c r="P2375" t="n">
        <v>4</v>
      </c>
      <c r="R2375" s="9" t="n">
        <v>0.04</v>
      </c>
      <c r="S2375" s="10" t="inlineStr">
        <is>
          <t>SÍ — integrante</t>
        </is>
      </c>
      <c r="T2375" s="11" t="inlineStr">
        <is>
          <t>B · INTEGRANTE</t>
        </is>
      </c>
      <c r="U2375" s="11" t="inlineStr">
        <is>
          <t>DEL BANCO (se hereda)</t>
        </is>
      </c>
      <c r="V2375" s="11" t="n"/>
      <c r="W2375" s="12" t="n"/>
      <c r="X2375" s="12" t="n"/>
    </row>
    <row r="2376" ht="15" customHeight="1">
      <c r="C2376" t="inlineStr">
        <is>
          <t>PAIS DEL DOMICILIO</t>
        </is>
      </c>
      <c r="D2376" t="inlineStr">
        <is>
          <t>F6</t>
        </is>
      </c>
      <c r="E2376" t="inlineStr">
        <is>
          <t>INHERENTE</t>
        </is>
      </c>
      <c r="F2376" t="inlineStr">
        <is>
          <t>FRANCIA</t>
        </is>
      </c>
      <c r="G2376" t="inlineStr">
        <is>
          <t>FR</t>
        </is>
      </c>
      <c r="H2376" t="n">
        <v>1</v>
      </c>
      <c r="I2376" t="n">
        <v>1</v>
      </c>
      <c r="J2376" t="n">
        <v>4</v>
      </c>
      <c r="K2376" t="n">
        <v>4</v>
      </c>
      <c r="L2376" t="n">
        <v>4</v>
      </c>
      <c r="M2376" t="n">
        <v>4</v>
      </c>
      <c r="N2376" t="n">
        <v>4</v>
      </c>
      <c r="O2376" t="n">
        <v>20</v>
      </c>
      <c r="P2376" t="n">
        <v>4</v>
      </c>
      <c r="R2376" s="9" t="n">
        <v>0.04</v>
      </c>
      <c r="S2376" s="10" t="inlineStr">
        <is>
          <t>SÍ — integrante</t>
        </is>
      </c>
      <c r="T2376" s="11" t="inlineStr">
        <is>
          <t>B · INTEGRANTE</t>
        </is>
      </c>
      <c r="U2376" s="11" t="inlineStr">
        <is>
          <t>DEL BANCO (se hereda)</t>
        </is>
      </c>
      <c r="V2376" s="11" t="n"/>
      <c r="W2376" s="12" t="n"/>
      <c r="X2376" s="12" t="n"/>
    </row>
    <row r="2377" ht="15" customHeight="1">
      <c r="C2377" t="inlineStr">
        <is>
          <t>PAIS DEL DOMICILIO</t>
        </is>
      </c>
      <c r="D2377" t="inlineStr">
        <is>
          <t>F6</t>
        </is>
      </c>
      <c r="E2377" t="inlineStr">
        <is>
          <t>INHERENTE</t>
        </is>
      </c>
      <c r="F2377" t="inlineStr">
        <is>
          <t>GABON</t>
        </is>
      </c>
      <c r="G2377" t="inlineStr">
        <is>
          <t>GA</t>
        </is>
      </c>
      <c r="H2377" t="n">
        <v>4</v>
      </c>
      <c r="I2377" t="n">
        <v>4</v>
      </c>
      <c r="J2377" t="n">
        <v>4</v>
      </c>
      <c r="K2377" t="n">
        <v>16</v>
      </c>
      <c r="L2377" t="n">
        <v>16</v>
      </c>
      <c r="M2377" t="n">
        <v>16</v>
      </c>
      <c r="N2377" t="n">
        <v>16</v>
      </c>
      <c r="O2377" t="n">
        <v>20</v>
      </c>
      <c r="P2377" t="n">
        <v>4</v>
      </c>
      <c r="R2377" s="9" t="n">
        <v>0.04</v>
      </c>
      <c r="S2377" s="10" t="inlineStr">
        <is>
          <t>SÍ — integrante</t>
        </is>
      </c>
      <c r="T2377" s="11" t="inlineStr">
        <is>
          <t>B · INTEGRANTE</t>
        </is>
      </c>
      <c r="U2377" s="11" t="inlineStr">
        <is>
          <t>DEL BANCO (se hereda)</t>
        </is>
      </c>
      <c r="V2377" s="11" t="n"/>
      <c r="W2377" s="12" t="n"/>
      <c r="X2377" s="12" t="n"/>
    </row>
    <row r="2378" ht="15" customHeight="1">
      <c r="C2378" t="inlineStr">
        <is>
          <t>PAIS DEL DOMICILIO</t>
        </is>
      </c>
      <c r="D2378" t="inlineStr">
        <is>
          <t>F6</t>
        </is>
      </c>
      <c r="E2378" t="inlineStr">
        <is>
          <t>INHERENTE</t>
        </is>
      </c>
      <c r="F2378" t="inlineStr">
        <is>
          <t>GRAN BRETANA</t>
        </is>
      </c>
      <c r="G2378" t="inlineStr">
        <is>
          <t>GB</t>
        </is>
      </c>
      <c r="H2378" t="n">
        <v>1</v>
      </c>
      <c r="I2378" t="n">
        <v>1</v>
      </c>
      <c r="J2378" t="n">
        <v>4</v>
      </c>
      <c r="K2378" t="n">
        <v>4</v>
      </c>
      <c r="L2378" t="n">
        <v>4</v>
      </c>
      <c r="M2378" t="n">
        <v>4</v>
      </c>
      <c r="N2378" t="n">
        <v>4</v>
      </c>
      <c r="O2378" t="n">
        <v>20</v>
      </c>
      <c r="P2378" t="n">
        <v>4</v>
      </c>
      <c r="R2378" s="9" t="n">
        <v>0.04</v>
      </c>
      <c r="S2378" s="10" t="inlineStr">
        <is>
          <t>SÍ — integrante</t>
        </is>
      </c>
      <c r="T2378" s="11" t="inlineStr">
        <is>
          <t>B · INTEGRANTE</t>
        </is>
      </c>
      <c r="U2378" s="11" t="inlineStr">
        <is>
          <t>DEL BANCO (se hereda)</t>
        </is>
      </c>
      <c r="V2378" s="11" t="n"/>
      <c r="W2378" s="12" t="n"/>
      <c r="X2378" s="12" t="n"/>
    </row>
    <row r="2379" ht="15" customHeight="1">
      <c r="C2379" t="inlineStr">
        <is>
          <t>PAIS DEL DOMICILIO</t>
        </is>
      </c>
      <c r="D2379" t="inlineStr">
        <is>
          <t>F6</t>
        </is>
      </c>
      <c r="E2379" t="inlineStr">
        <is>
          <t>INHERENTE</t>
        </is>
      </c>
      <c r="F2379" t="inlineStr">
        <is>
          <t>GIBRALTAR</t>
        </is>
      </c>
      <c r="G2379" t="inlineStr">
        <is>
          <t>GC</t>
        </is>
      </c>
      <c r="H2379" t="n">
        <v>1</v>
      </c>
      <c r="I2379" t="n">
        <v>1</v>
      </c>
      <c r="J2379" t="n">
        <v>4</v>
      </c>
      <c r="K2379" t="n">
        <v>4</v>
      </c>
      <c r="L2379" t="n">
        <v>4</v>
      </c>
      <c r="M2379" t="n">
        <v>4</v>
      </c>
      <c r="N2379" t="n">
        <v>4</v>
      </c>
      <c r="O2379" t="n">
        <v>20</v>
      </c>
      <c r="P2379" t="n">
        <v>4</v>
      </c>
      <c r="R2379" s="9" t="n">
        <v>0.04</v>
      </c>
      <c r="S2379" s="10" t="inlineStr">
        <is>
          <t>SÍ — integrante</t>
        </is>
      </c>
      <c r="T2379" s="11" t="inlineStr">
        <is>
          <t>B · INTEGRANTE</t>
        </is>
      </c>
      <c r="U2379" s="11" t="inlineStr">
        <is>
          <t>DEL BANCO (se hereda)</t>
        </is>
      </c>
      <c r="V2379" s="11" t="n"/>
      <c r="W2379" s="12" t="n"/>
      <c r="X2379" s="12" t="n"/>
    </row>
    <row r="2380" ht="15" customHeight="1">
      <c r="C2380" t="inlineStr">
        <is>
          <t>PAIS DEL DOMICILIO</t>
        </is>
      </c>
      <c r="D2380" t="inlineStr">
        <is>
          <t>F6</t>
        </is>
      </c>
      <c r="E2380" t="inlineStr">
        <is>
          <t>INHERENTE</t>
        </is>
      </c>
      <c r="F2380" t="inlineStr">
        <is>
          <t>GRANADA</t>
        </is>
      </c>
      <c r="G2380" t="inlineStr">
        <is>
          <t>GD</t>
        </is>
      </c>
      <c r="H2380" t="n">
        <v>3</v>
      </c>
      <c r="I2380" t="n">
        <v>3</v>
      </c>
      <c r="J2380" t="n">
        <v>4</v>
      </c>
      <c r="K2380" t="n">
        <v>12</v>
      </c>
      <c r="L2380" t="n">
        <v>12</v>
      </c>
      <c r="M2380" t="n">
        <v>12</v>
      </c>
      <c r="N2380" t="n">
        <v>12</v>
      </c>
      <c r="O2380" t="n">
        <v>20</v>
      </c>
      <c r="P2380" t="n">
        <v>4</v>
      </c>
      <c r="R2380" s="9" t="n">
        <v>0.04</v>
      </c>
      <c r="S2380" s="10" t="inlineStr">
        <is>
          <t>SÍ — integrante</t>
        </is>
      </c>
      <c r="T2380" s="11" t="inlineStr">
        <is>
          <t>B · INTEGRANTE</t>
        </is>
      </c>
      <c r="U2380" s="11" t="inlineStr">
        <is>
          <t>DEL BANCO (se hereda)</t>
        </is>
      </c>
      <c r="V2380" s="11" t="n"/>
      <c r="W2380" s="12" t="n"/>
      <c r="X2380" s="12" t="n"/>
    </row>
    <row r="2381" ht="15" customHeight="1">
      <c r="C2381" t="inlineStr">
        <is>
          <t>PAIS DEL DOMICILIO</t>
        </is>
      </c>
      <c r="D2381" t="inlineStr">
        <is>
          <t>F6</t>
        </is>
      </c>
      <c r="E2381" t="inlineStr">
        <is>
          <t>INHERENTE</t>
        </is>
      </c>
      <c r="F2381" t="inlineStr">
        <is>
          <t>GEORGIA</t>
        </is>
      </c>
      <c r="G2381" t="inlineStr">
        <is>
          <t>GE</t>
        </is>
      </c>
      <c r="H2381" t="n">
        <v>1</v>
      </c>
      <c r="I2381" t="n">
        <v>1</v>
      </c>
      <c r="J2381" t="n">
        <v>4</v>
      </c>
      <c r="K2381" t="n">
        <v>4</v>
      </c>
      <c r="L2381" t="n">
        <v>4</v>
      </c>
      <c r="M2381" t="n">
        <v>4</v>
      </c>
      <c r="N2381" t="n">
        <v>4</v>
      </c>
      <c r="O2381" t="n">
        <v>20</v>
      </c>
      <c r="P2381" t="n">
        <v>4</v>
      </c>
      <c r="R2381" s="9" t="n">
        <v>0.04</v>
      </c>
      <c r="S2381" s="10" t="inlineStr">
        <is>
          <t>SÍ — integrante</t>
        </is>
      </c>
      <c r="T2381" s="11" t="inlineStr">
        <is>
          <t>B · INTEGRANTE</t>
        </is>
      </c>
      <c r="U2381" s="11" t="inlineStr">
        <is>
          <t>DEL BANCO (se hereda)</t>
        </is>
      </c>
      <c r="V2381" s="11" t="n"/>
      <c r="W2381" s="12" t="n"/>
      <c r="X2381" s="12" t="n"/>
    </row>
    <row r="2382" ht="15" customHeight="1">
      <c r="C2382" t="inlineStr">
        <is>
          <t>PAIS DEL DOMICILIO</t>
        </is>
      </c>
      <c r="D2382" t="inlineStr">
        <is>
          <t>F6</t>
        </is>
      </c>
      <c r="E2382" t="inlineStr">
        <is>
          <t>INHERENTE</t>
        </is>
      </c>
      <c r="F2382" t="inlineStr">
        <is>
          <t>GUYANA FRANCESA</t>
        </is>
      </c>
      <c r="G2382" t="inlineStr">
        <is>
          <t>GF</t>
        </is>
      </c>
      <c r="H2382" t="n">
        <v>1</v>
      </c>
      <c r="I2382" t="n">
        <v>1</v>
      </c>
      <c r="J2382" t="n">
        <v>4</v>
      </c>
      <c r="K2382" t="n">
        <v>4</v>
      </c>
      <c r="L2382" t="n">
        <v>4</v>
      </c>
      <c r="M2382" t="n">
        <v>4</v>
      </c>
      <c r="N2382" t="n">
        <v>4</v>
      </c>
      <c r="O2382" t="n">
        <v>20</v>
      </c>
      <c r="P2382" t="n">
        <v>4</v>
      </c>
      <c r="R2382" s="9" t="n">
        <v>0.04</v>
      </c>
      <c r="S2382" s="10" t="inlineStr">
        <is>
          <t>SÍ — integrante</t>
        </is>
      </c>
      <c r="T2382" s="11" t="inlineStr">
        <is>
          <t>B · INTEGRANTE</t>
        </is>
      </c>
      <c r="U2382" s="11" t="inlineStr">
        <is>
          <t>DEL BANCO (se hereda)</t>
        </is>
      </c>
      <c r="V2382" s="11" t="n"/>
      <c r="W2382" s="12" t="n"/>
      <c r="X2382" s="12" t="n"/>
    </row>
    <row r="2383" ht="15" customHeight="1">
      <c r="C2383" t="inlineStr">
        <is>
          <t>PAIS DEL DOMICILIO</t>
        </is>
      </c>
      <c r="D2383" t="inlineStr">
        <is>
          <t>F6</t>
        </is>
      </c>
      <c r="E2383" t="inlineStr">
        <is>
          <t>INHERENTE</t>
        </is>
      </c>
      <c r="F2383" t="inlineStr">
        <is>
          <t>ISLAS CHANNEL</t>
        </is>
      </c>
      <c r="G2383" t="inlineStr">
        <is>
          <t>GG</t>
        </is>
      </c>
      <c r="H2383" t="n">
        <v>1</v>
      </c>
      <c r="I2383" t="n">
        <v>1</v>
      </c>
      <c r="J2383" t="n">
        <v>4</v>
      </c>
      <c r="K2383" t="n">
        <v>4</v>
      </c>
      <c r="L2383" t="n">
        <v>4</v>
      </c>
      <c r="M2383" t="n">
        <v>4</v>
      </c>
      <c r="N2383" t="n">
        <v>4</v>
      </c>
      <c r="O2383" t="n">
        <v>20</v>
      </c>
      <c r="P2383" t="n">
        <v>4</v>
      </c>
      <c r="R2383" s="9" t="n">
        <v>0.04</v>
      </c>
      <c r="S2383" s="10" t="inlineStr">
        <is>
          <t>SÍ — integrante</t>
        </is>
      </c>
      <c r="T2383" s="11" t="inlineStr">
        <is>
          <t>B · INTEGRANTE</t>
        </is>
      </c>
      <c r="U2383" s="11" t="inlineStr">
        <is>
          <t>DEL BANCO (se hereda)</t>
        </is>
      </c>
      <c r="V2383" s="11" t="n"/>
      <c r="W2383" s="12" t="n"/>
      <c r="X2383" s="12" t="n"/>
    </row>
    <row r="2384" ht="15" customHeight="1">
      <c r="C2384" t="inlineStr">
        <is>
          <t>PAIS DEL DOMICILIO</t>
        </is>
      </c>
      <c r="D2384" t="inlineStr">
        <is>
          <t>F6</t>
        </is>
      </c>
      <c r="E2384" t="inlineStr">
        <is>
          <t>INHERENTE</t>
        </is>
      </c>
      <c r="F2384" t="inlineStr">
        <is>
          <t>GHANA</t>
        </is>
      </c>
      <c r="G2384" t="inlineStr">
        <is>
          <t>GH</t>
        </is>
      </c>
      <c r="H2384" t="n">
        <v>2</v>
      </c>
      <c r="I2384" t="n">
        <v>2</v>
      </c>
      <c r="J2384" t="n">
        <v>4</v>
      </c>
      <c r="K2384" t="n">
        <v>8</v>
      </c>
      <c r="L2384" t="n">
        <v>8</v>
      </c>
      <c r="M2384" t="n">
        <v>8</v>
      </c>
      <c r="N2384" t="n">
        <v>8</v>
      </c>
      <c r="O2384" t="n">
        <v>20</v>
      </c>
      <c r="P2384" t="n">
        <v>4</v>
      </c>
      <c r="R2384" s="9" t="n">
        <v>0.04</v>
      </c>
      <c r="S2384" s="10" t="inlineStr">
        <is>
          <t>SÍ — integrante</t>
        </is>
      </c>
      <c r="T2384" s="11" t="inlineStr">
        <is>
          <t>B · INTEGRANTE</t>
        </is>
      </c>
      <c r="U2384" s="11" t="inlineStr">
        <is>
          <t>DEL BANCO (se hereda)</t>
        </is>
      </c>
      <c r="V2384" s="11" t="n"/>
      <c r="W2384" s="12" t="n"/>
      <c r="X2384" s="12" t="n"/>
    </row>
    <row r="2385" ht="15" customHeight="1">
      <c r="C2385" t="inlineStr">
        <is>
          <t>PAIS DEL DOMICILIO</t>
        </is>
      </c>
      <c r="D2385" t="inlineStr">
        <is>
          <t>F6</t>
        </is>
      </c>
      <c r="E2385" t="inlineStr">
        <is>
          <t>INHERENTE</t>
        </is>
      </c>
      <c r="F2385" t="inlineStr">
        <is>
          <t>GUERNESEY</t>
        </is>
      </c>
      <c r="G2385" t="inlineStr">
        <is>
          <t>GI</t>
        </is>
      </c>
      <c r="H2385" t="n">
        <v>1</v>
      </c>
      <c r="I2385" t="n">
        <v>1</v>
      </c>
      <c r="J2385" t="n">
        <v>4</v>
      </c>
      <c r="K2385" t="n">
        <v>4</v>
      </c>
      <c r="L2385" t="n">
        <v>4</v>
      </c>
      <c r="M2385" t="n">
        <v>4</v>
      </c>
      <c r="N2385" t="n">
        <v>4</v>
      </c>
      <c r="O2385" t="n">
        <v>20</v>
      </c>
      <c r="P2385" t="n">
        <v>4</v>
      </c>
      <c r="R2385" s="9" t="n">
        <v>0.04</v>
      </c>
      <c r="S2385" s="10" t="inlineStr">
        <is>
          <t>SÍ — integrante</t>
        </is>
      </c>
      <c r="T2385" s="11" t="inlineStr">
        <is>
          <t>B · INTEGRANTE</t>
        </is>
      </c>
      <c r="U2385" s="11" t="inlineStr">
        <is>
          <t>DEL BANCO (se hereda)</t>
        </is>
      </c>
      <c r="V2385" s="11" t="n"/>
      <c r="W2385" s="12" t="n"/>
      <c r="X2385" s="12" t="n"/>
    </row>
    <row r="2386" ht="15" customHeight="1">
      <c r="C2386" t="inlineStr">
        <is>
          <t>PAIS DEL DOMICILIO</t>
        </is>
      </c>
      <c r="D2386" t="inlineStr">
        <is>
          <t>F6</t>
        </is>
      </c>
      <c r="E2386" t="inlineStr">
        <is>
          <t>INHERENTE</t>
        </is>
      </c>
      <c r="F2386" t="inlineStr">
        <is>
          <t>GROENLANDIA</t>
        </is>
      </c>
      <c r="G2386" t="inlineStr">
        <is>
          <t>GL</t>
        </is>
      </c>
      <c r="H2386" t="n">
        <v>1</v>
      </c>
      <c r="I2386" t="n">
        <v>1</v>
      </c>
      <c r="J2386" t="n">
        <v>4</v>
      </c>
      <c r="K2386" t="n">
        <v>4</v>
      </c>
      <c r="L2386" t="n">
        <v>4</v>
      </c>
      <c r="M2386" t="n">
        <v>4</v>
      </c>
      <c r="N2386" t="n">
        <v>4</v>
      </c>
      <c r="O2386" t="n">
        <v>20</v>
      </c>
      <c r="P2386" t="n">
        <v>4</v>
      </c>
      <c r="R2386" s="9" t="n">
        <v>0.04</v>
      </c>
      <c r="S2386" s="10" t="inlineStr">
        <is>
          <t>SÍ — integrante</t>
        </is>
      </c>
      <c r="T2386" s="11" t="inlineStr">
        <is>
          <t>B · INTEGRANTE</t>
        </is>
      </c>
      <c r="U2386" s="11" t="inlineStr">
        <is>
          <t>DEL BANCO (se hereda)</t>
        </is>
      </c>
      <c r="V2386" s="11" t="n"/>
      <c r="W2386" s="12" t="n"/>
      <c r="X2386" s="12" t="n"/>
    </row>
    <row r="2387" ht="15" customHeight="1">
      <c r="C2387" t="inlineStr">
        <is>
          <t>PAIS DEL DOMICILIO</t>
        </is>
      </c>
      <c r="D2387" t="inlineStr">
        <is>
          <t>F6</t>
        </is>
      </c>
      <c r="E2387" t="inlineStr">
        <is>
          <t>INHERENTE</t>
        </is>
      </c>
      <c r="F2387" t="inlineStr">
        <is>
          <t>GAMBIA</t>
        </is>
      </c>
      <c r="G2387" t="inlineStr">
        <is>
          <t>GM</t>
        </is>
      </c>
      <c r="H2387" t="n">
        <v>3</v>
      </c>
      <c r="I2387" t="n">
        <v>3</v>
      </c>
      <c r="J2387" t="n">
        <v>4</v>
      </c>
      <c r="K2387" t="n">
        <v>12</v>
      </c>
      <c r="L2387" t="n">
        <v>12</v>
      </c>
      <c r="M2387" t="n">
        <v>12</v>
      </c>
      <c r="N2387" t="n">
        <v>12</v>
      </c>
      <c r="O2387" t="n">
        <v>20</v>
      </c>
      <c r="P2387" t="n">
        <v>4</v>
      </c>
      <c r="R2387" s="9" t="n">
        <v>0.04</v>
      </c>
      <c r="S2387" s="10" t="inlineStr">
        <is>
          <t>SÍ — integrante</t>
        </is>
      </c>
      <c r="T2387" s="11" t="inlineStr">
        <is>
          <t>B · INTEGRANTE</t>
        </is>
      </c>
      <c r="U2387" s="11" t="inlineStr">
        <is>
          <t>DEL BANCO (se hereda)</t>
        </is>
      </c>
      <c r="V2387" s="11" t="n"/>
      <c r="W2387" s="12" t="n"/>
      <c r="X2387" s="12" t="n"/>
    </row>
    <row r="2388" ht="15" customHeight="1">
      <c r="C2388" t="inlineStr">
        <is>
          <t>PAIS DEL DOMICILIO</t>
        </is>
      </c>
      <c r="D2388" t="inlineStr">
        <is>
          <t>F6</t>
        </is>
      </c>
      <c r="E2388" t="inlineStr">
        <is>
          <t>INHERENTE</t>
        </is>
      </c>
      <c r="F2388" t="inlineStr">
        <is>
          <t>GUINEA</t>
        </is>
      </c>
      <c r="G2388" t="inlineStr">
        <is>
          <t>GN</t>
        </is>
      </c>
      <c r="H2388" t="n">
        <v>3</v>
      </c>
      <c r="I2388" t="n">
        <v>3</v>
      </c>
      <c r="J2388" t="n">
        <v>4</v>
      </c>
      <c r="K2388" t="n">
        <v>12</v>
      </c>
      <c r="L2388" t="n">
        <v>12</v>
      </c>
      <c r="M2388" t="n">
        <v>12</v>
      </c>
      <c r="N2388" t="n">
        <v>12</v>
      </c>
      <c r="O2388" t="n">
        <v>20</v>
      </c>
      <c r="P2388" t="n">
        <v>4</v>
      </c>
      <c r="R2388" s="9" t="n">
        <v>0.04</v>
      </c>
      <c r="S2388" s="10" t="inlineStr">
        <is>
          <t>SÍ — integrante</t>
        </is>
      </c>
      <c r="T2388" s="11" t="inlineStr">
        <is>
          <t>B · INTEGRANTE</t>
        </is>
      </c>
      <c r="U2388" s="11" t="inlineStr">
        <is>
          <t>DEL BANCO (se hereda)</t>
        </is>
      </c>
      <c r="V2388" s="11" t="n"/>
      <c r="W2388" s="12" t="n"/>
      <c r="X2388" s="12" t="n"/>
    </row>
    <row r="2389" ht="15" customHeight="1">
      <c r="C2389" t="inlineStr">
        <is>
          <t>PAIS DEL DOMICILIO</t>
        </is>
      </c>
      <c r="D2389" t="inlineStr">
        <is>
          <t>F6</t>
        </is>
      </c>
      <c r="E2389" t="inlineStr">
        <is>
          <t>INHERENTE</t>
        </is>
      </c>
      <c r="F2389" t="inlineStr">
        <is>
          <t>GUADALUPE</t>
        </is>
      </c>
      <c r="G2389" t="inlineStr">
        <is>
          <t>GP</t>
        </is>
      </c>
      <c r="H2389" t="n">
        <v>1</v>
      </c>
      <c r="I2389" t="n">
        <v>1</v>
      </c>
      <c r="J2389" t="n">
        <v>4</v>
      </c>
      <c r="K2389" t="n">
        <v>4</v>
      </c>
      <c r="L2389" t="n">
        <v>4</v>
      </c>
      <c r="M2389" t="n">
        <v>4</v>
      </c>
      <c r="N2389" t="n">
        <v>4</v>
      </c>
      <c r="O2389" t="n">
        <v>20</v>
      </c>
      <c r="P2389" t="n">
        <v>4</v>
      </c>
      <c r="R2389" s="9" t="n">
        <v>0.04</v>
      </c>
      <c r="S2389" s="10" t="inlineStr">
        <is>
          <t>SÍ — integrante</t>
        </is>
      </c>
      <c r="T2389" s="11" t="inlineStr">
        <is>
          <t>B · INTEGRANTE</t>
        </is>
      </c>
      <c r="U2389" s="11" t="inlineStr">
        <is>
          <t>DEL BANCO (se hereda)</t>
        </is>
      </c>
      <c r="V2389" s="11" t="n"/>
      <c r="W2389" s="12" t="n"/>
      <c r="X2389" s="12" t="n"/>
    </row>
    <row r="2390" ht="15" customHeight="1">
      <c r="C2390" t="inlineStr">
        <is>
          <t>PAIS DEL DOMICILIO</t>
        </is>
      </c>
      <c r="D2390" t="inlineStr">
        <is>
          <t>F6</t>
        </is>
      </c>
      <c r="E2390" t="inlineStr">
        <is>
          <t>INHERENTE</t>
        </is>
      </c>
      <c r="F2390" t="inlineStr">
        <is>
          <t>GUINEA ECU.</t>
        </is>
      </c>
      <c r="G2390" t="inlineStr">
        <is>
          <t>GQ</t>
        </is>
      </c>
      <c r="H2390" t="n">
        <v>4</v>
      </c>
      <c r="I2390" t="n">
        <v>4</v>
      </c>
      <c r="J2390" t="n">
        <v>4</v>
      </c>
      <c r="K2390" t="n">
        <v>16</v>
      </c>
      <c r="L2390" t="n">
        <v>16</v>
      </c>
      <c r="M2390" t="n">
        <v>16</v>
      </c>
      <c r="N2390" t="n">
        <v>16</v>
      </c>
      <c r="O2390" t="n">
        <v>20</v>
      </c>
      <c r="P2390" t="n">
        <v>4</v>
      </c>
      <c r="R2390" s="9" t="n">
        <v>0.04</v>
      </c>
      <c r="S2390" s="10" t="inlineStr">
        <is>
          <t>SÍ — integrante</t>
        </is>
      </c>
      <c r="T2390" s="11" t="inlineStr">
        <is>
          <t>B · INTEGRANTE</t>
        </is>
      </c>
      <c r="U2390" s="11" t="inlineStr">
        <is>
          <t>DEL BANCO (se hereda)</t>
        </is>
      </c>
      <c r="V2390" s="11" t="n"/>
      <c r="W2390" s="12" t="n"/>
      <c r="X2390" s="12" t="n"/>
    </row>
    <row r="2391" ht="15" customHeight="1">
      <c r="C2391" t="inlineStr">
        <is>
          <t>PAIS DEL DOMICILIO</t>
        </is>
      </c>
      <c r="D2391" t="inlineStr">
        <is>
          <t>F6</t>
        </is>
      </c>
      <c r="E2391" t="inlineStr">
        <is>
          <t>INHERENTE</t>
        </is>
      </c>
      <c r="F2391" t="inlineStr">
        <is>
          <t>GRECIA</t>
        </is>
      </c>
      <c r="G2391" t="inlineStr">
        <is>
          <t>GR</t>
        </is>
      </c>
      <c r="H2391" t="n">
        <v>1</v>
      </c>
      <c r="I2391" t="n">
        <v>1</v>
      </c>
      <c r="J2391" t="n">
        <v>4</v>
      </c>
      <c r="K2391" t="n">
        <v>4</v>
      </c>
      <c r="L2391" t="n">
        <v>4</v>
      </c>
      <c r="M2391" t="n">
        <v>4</v>
      </c>
      <c r="N2391" t="n">
        <v>4</v>
      </c>
      <c r="O2391" t="n">
        <v>20</v>
      </c>
      <c r="P2391" t="n">
        <v>4</v>
      </c>
      <c r="R2391" s="9" t="n">
        <v>0.04</v>
      </c>
      <c r="S2391" s="10" t="inlineStr">
        <is>
          <t>SÍ — integrante</t>
        </is>
      </c>
      <c r="T2391" s="11" t="inlineStr">
        <is>
          <t>B · INTEGRANTE</t>
        </is>
      </c>
      <c r="U2391" s="11" t="inlineStr">
        <is>
          <t>DEL BANCO (se hereda)</t>
        </is>
      </c>
      <c r="V2391" s="11" t="n"/>
      <c r="W2391" s="12" t="n"/>
      <c r="X2391" s="12" t="n"/>
    </row>
    <row r="2392" ht="15" customHeight="1">
      <c r="C2392" t="inlineStr">
        <is>
          <t>PAIS DEL DOMICILIO</t>
        </is>
      </c>
      <c r="D2392" t="inlineStr">
        <is>
          <t>F6</t>
        </is>
      </c>
      <c r="E2392" t="inlineStr">
        <is>
          <t>INHERENTE</t>
        </is>
      </c>
      <c r="F2392" t="inlineStr">
        <is>
          <t>ISLAS GEORGIA</t>
        </is>
      </c>
      <c r="G2392" t="inlineStr">
        <is>
          <t>GS</t>
        </is>
      </c>
      <c r="H2392" t="n">
        <v>1</v>
      </c>
      <c r="I2392" t="n">
        <v>1</v>
      </c>
      <c r="J2392" t="n">
        <v>4</v>
      </c>
      <c r="K2392" t="n">
        <v>4</v>
      </c>
      <c r="L2392" t="n">
        <v>4</v>
      </c>
      <c r="M2392" t="n">
        <v>4</v>
      </c>
      <c r="N2392" t="n">
        <v>4</v>
      </c>
      <c r="O2392" t="n">
        <v>20</v>
      </c>
      <c r="P2392" t="n">
        <v>4</v>
      </c>
      <c r="R2392" s="9" t="n">
        <v>0.04</v>
      </c>
      <c r="S2392" s="10" t="inlineStr">
        <is>
          <t>SÍ — integrante</t>
        </is>
      </c>
      <c r="T2392" s="11" t="inlineStr">
        <is>
          <t>B · INTEGRANTE</t>
        </is>
      </c>
      <c r="U2392" s="11" t="inlineStr">
        <is>
          <t>DEL BANCO (se hereda)</t>
        </is>
      </c>
      <c r="V2392" s="11" t="n"/>
      <c r="W2392" s="12" t="n"/>
      <c r="X2392" s="12" t="n"/>
    </row>
    <row r="2393" ht="15" customHeight="1">
      <c r="C2393" t="inlineStr">
        <is>
          <t>PAIS DEL DOMICILIO</t>
        </is>
      </c>
      <c r="D2393" t="inlineStr">
        <is>
          <t>F6</t>
        </is>
      </c>
      <c r="E2393" t="inlineStr">
        <is>
          <t>INHERENTE</t>
        </is>
      </c>
      <c r="F2393" t="inlineStr">
        <is>
          <t>GUATEMALA</t>
        </is>
      </c>
      <c r="G2393" t="inlineStr">
        <is>
          <t>GT</t>
        </is>
      </c>
      <c r="H2393" t="n">
        <v>3</v>
      </c>
      <c r="I2393" t="n">
        <v>3</v>
      </c>
      <c r="J2393" t="n">
        <v>4</v>
      </c>
      <c r="K2393" t="n">
        <v>12</v>
      </c>
      <c r="L2393" t="n">
        <v>12</v>
      </c>
      <c r="M2393" t="n">
        <v>12</v>
      </c>
      <c r="N2393" t="n">
        <v>12</v>
      </c>
      <c r="O2393" t="n">
        <v>20</v>
      </c>
      <c r="P2393" t="n">
        <v>4</v>
      </c>
      <c r="R2393" s="9" t="n">
        <v>0.04</v>
      </c>
      <c r="S2393" s="10" t="inlineStr">
        <is>
          <t>SÍ — integrante</t>
        </is>
      </c>
      <c r="T2393" s="11" t="inlineStr">
        <is>
          <t>B · INTEGRANTE</t>
        </is>
      </c>
      <c r="U2393" s="11" t="inlineStr">
        <is>
          <t>DEL BANCO (se hereda)</t>
        </is>
      </c>
      <c r="V2393" s="11" t="n"/>
      <c r="W2393" s="12" t="n"/>
      <c r="X2393" s="12" t="n"/>
    </row>
    <row r="2394" ht="15" customHeight="1">
      <c r="C2394" t="inlineStr">
        <is>
          <t>PAIS DEL DOMICILIO</t>
        </is>
      </c>
      <c r="D2394" t="inlineStr">
        <is>
          <t>F6</t>
        </is>
      </c>
      <c r="E2394" t="inlineStr">
        <is>
          <t>INHERENTE</t>
        </is>
      </c>
      <c r="F2394" t="inlineStr">
        <is>
          <t>GUAM</t>
        </is>
      </c>
      <c r="G2394" t="inlineStr">
        <is>
          <t>GU</t>
        </is>
      </c>
      <c r="H2394" t="n">
        <v>1</v>
      </c>
      <c r="I2394" t="n">
        <v>1</v>
      </c>
      <c r="J2394" t="n">
        <v>4</v>
      </c>
      <c r="K2394" t="n">
        <v>4</v>
      </c>
      <c r="L2394" t="n">
        <v>4</v>
      </c>
      <c r="M2394" t="n">
        <v>4</v>
      </c>
      <c r="N2394" t="n">
        <v>4</v>
      </c>
      <c r="O2394" t="n">
        <v>20</v>
      </c>
      <c r="P2394" t="n">
        <v>4</v>
      </c>
      <c r="R2394" s="9" t="n">
        <v>0.04</v>
      </c>
      <c r="S2394" s="10" t="inlineStr">
        <is>
          <t>SÍ — integrante</t>
        </is>
      </c>
      <c r="T2394" s="11" t="inlineStr">
        <is>
          <t>B · INTEGRANTE</t>
        </is>
      </c>
      <c r="U2394" s="11" t="inlineStr">
        <is>
          <t>DEL BANCO (se hereda)</t>
        </is>
      </c>
      <c r="V2394" s="11" t="n"/>
      <c r="W2394" s="12" t="n"/>
      <c r="X2394" s="12" t="n"/>
    </row>
    <row r="2395" ht="15" customHeight="1">
      <c r="C2395" t="inlineStr">
        <is>
          <t>PAIS DEL DOMICILIO</t>
        </is>
      </c>
      <c r="D2395" t="inlineStr">
        <is>
          <t>F6</t>
        </is>
      </c>
      <c r="E2395" t="inlineStr">
        <is>
          <t>INHERENTE</t>
        </is>
      </c>
      <c r="F2395" t="inlineStr">
        <is>
          <t>GUINEA-BISSAU</t>
        </is>
      </c>
      <c r="G2395" t="inlineStr">
        <is>
          <t>GW</t>
        </is>
      </c>
      <c r="H2395" t="n">
        <v>4</v>
      </c>
      <c r="I2395" t="n">
        <v>4</v>
      </c>
      <c r="J2395" t="n">
        <v>4</v>
      </c>
      <c r="K2395" t="n">
        <v>16</v>
      </c>
      <c r="L2395" t="n">
        <v>16</v>
      </c>
      <c r="M2395" t="n">
        <v>16</v>
      </c>
      <c r="N2395" t="n">
        <v>16</v>
      </c>
      <c r="O2395" t="n">
        <v>20</v>
      </c>
      <c r="P2395" t="n">
        <v>4</v>
      </c>
      <c r="R2395" s="9" t="n">
        <v>0.04</v>
      </c>
      <c r="S2395" s="10" t="inlineStr">
        <is>
          <t>SÍ — integrante</t>
        </is>
      </c>
      <c r="T2395" s="11" t="inlineStr">
        <is>
          <t>B · INTEGRANTE</t>
        </is>
      </c>
      <c r="U2395" s="11" t="inlineStr">
        <is>
          <t>DEL BANCO (se hereda)</t>
        </is>
      </c>
      <c r="V2395" s="11" t="n"/>
      <c r="W2395" s="12" t="n"/>
      <c r="X2395" s="12" t="n"/>
    </row>
    <row r="2396" ht="15" customHeight="1">
      <c r="C2396" t="inlineStr">
        <is>
          <t>PAIS DEL DOMICILIO</t>
        </is>
      </c>
      <c r="D2396" t="inlineStr">
        <is>
          <t>F6</t>
        </is>
      </c>
      <c r="E2396" t="inlineStr">
        <is>
          <t>INHERENTE</t>
        </is>
      </c>
      <c r="F2396" t="inlineStr">
        <is>
          <t>GUYANA</t>
        </is>
      </c>
      <c r="G2396" t="inlineStr">
        <is>
          <t>GY</t>
        </is>
      </c>
      <c r="H2396" t="n">
        <v>2</v>
      </c>
      <c r="I2396" t="n">
        <v>2</v>
      </c>
      <c r="J2396" t="n">
        <v>4</v>
      </c>
      <c r="K2396" t="n">
        <v>8</v>
      </c>
      <c r="L2396" t="n">
        <v>8</v>
      </c>
      <c r="M2396" t="n">
        <v>8</v>
      </c>
      <c r="N2396" t="n">
        <v>8</v>
      </c>
      <c r="O2396" t="n">
        <v>20</v>
      </c>
      <c r="P2396" t="n">
        <v>4</v>
      </c>
      <c r="R2396" s="9" t="n">
        <v>0.04</v>
      </c>
      <c r="S2396" s="10" t="inlineStr">
        <is>
          <t>SÍ — integrante</t>
        </is>
      </c>
      <c r="T2396" s="11" t="inlineStr">
        <is>
          <t>B · INTEGRANTE</t>
        </is>
      </c>
      <c r="U2396" s="11" t="inlineStr">
        <is>
          <t>DEL BANCO (se hereda)</t>
        </is>
      </c>
      <c r="V2396" s="11" t="n"/>
      <c r="W2396" s="12" t="n"/>
      <c r="X2396" s="12" t="n"/>
    </row>
    <row r="2397" ht="15" customHeight="1">
      <c r="C2397" t="inlineStr">
        <is>
          <t>PAIS DEL DOMICILIO</t>
        </is>
      </c>
      <c r="D2397" t="inlineStr">
        <is>
          <t>F6</t>
        </is>
      </c>
      <c r="E2397" t="inlineStr">
        <is>
          <t>INHERENTE</t>
        </is>
      </c>
      <c r="F2397" t="inlineStr">
        <is>
          <t>HONG KONG</t>
        </is>
      </c>
      <c r="G2397" t="inlineStr">
        <is>
          <t>HK</t>
        </is>
      </c>
      <c r="H2397" t="n">
        <v>3</v>
      </c>
      <c r="I2397" t="n">
        <v>3</v>
      </c>
      <c r="J2397" t="n">
        <v>4</v>
      </c>
      <c r="K2397" t="n">
        <v>12</v>
      </c>
      <c r="L2397" t="n">
        <v>12</v>
      </c>
      <c r="M2397" t="n">
        <v>12</v>
      </c>
      <c r="N2397" t="n">
        <v>12</v>
      </c>
      <c r="O2397" t="n">
        <v>20</v>
      </c>
      <c r="P2397" t="n">
        <v>4</v>
      </c>
      <c r="R2397" s="9" t="n">
        <v>0.04</v>
      </c>
      <c r="S2397" s="10" t="inlineStr">
        <is>
          <t>SÍ — integrante</t>
        </is>
      </c>
      <c r="T2397" s="11" t="inlineStr">
        <is>
          <t>B · INTEGRANTE</t>
        </is>
      </c>
      <c r="U2397" s="11" t="inlineStr">
        <is>
          <t>DEL BANCO (se hereda)</t>
        </is>
      </c>
      <c r="V2397" s="11" t="n"/>
      <c r="W2397" s="12" t="n"/>
      <c r="X2397" s="12" t="n"/>
    </row>
    <row r="2398" ht="15" customHeight="1">
      <c r="C2398" t="inlineStr">
        <is>
          <t>PAIS DEL DOMICILIO</t>
        </is>
      </c>
      <c r="D2398" t="inlineStr">
        <is>
          <t>F6</t>
        </is>
      </c>
      <c r="E2398" t="inlineStr">
        <is>
          <t>INHERENTE</t>
        </is>
      </c>
      <c r="F2398" t="inlineStr">
        <is>
          <t>HEARD .MCDONALD</t>
        </is>
      </c>
      <c r="G2398" t="inlineStr">
        <is>
          <t>HM</t>
        </is>
      </c>
      <c r="H2398" t="n">
        <v>1</v>
      </c>
      <c r="I2398" t="n">
        <v>1</v>
      </c>
      <c r="J2398" t="n">
        <v>4</v>
      </c>
      <c r="K2398" t="n">
        <v>4</v>
      </c>
      <c r="L2398" t="n">
        <v>4</v>
      </c>
      <c r="M2398" t="n">
        <v>4</v>
      </c>
      <c r="N2398" t="n">
        <v>4</v>
      </c>
      <c r="O2398" t="n">
        <v>20</v>
      </c>
      <c r="P2398" t="n">
        <v>4</v>
      </c>
      <c r="R2398" s="9" t="n">
        <v>0.04</v>
      </c>
      <c r="S2398" s="10" t="inlineStr">
        <is>
          <t>SÍ — integrante</t>
        </is>
      </c>
      <c r="T2398" s="11" t="inlineStr">
        <is>
          <t>B · INTEGRANTE</t>
        </is>
      </c>
      <c r="U2398" s="11" t="inlineStr">
        <is>
          <t>DEL BANCO (se hereda)</t>
        </is>
      </c>
      <c r="V2398" s="11" t="n"/>
      <c r="W2398" s="12" t="n"/>
      <c r="X2398" s="12" t="n"/>
    </row>
    <row r="2399" ht="15" customHeight="1">
      <c r="C2399" t="inlineStr">
        <is>
          <t>PAIS DEL DOMICILIO</t>
        </is>
      </c>
      <c r="D2399" t="inlineStr">
        <is>
          <t>F6</t>
        </is>
      </c>
      <c r="E2399" t="inlineStr">
        <is>
          <t>INHERENTE</t>
        </is>
      </c>
      <c r="F2399" t="inlineStr">
        <is>
          <t>HONDURAS</t>
        </is>
      </c>
      <c r="G2399" t="inlineStr">
        <is>
          <t>HN</t>
        </is>
      </c>
      <c r="H2399" t="n">
        <v>3</v>
      </c>
      <c r="I2399" t="n">
        <v>3</v>
      </c>
      <c r="J2399" t="n">
        <v>4</v>
      </c>
      <c r="K2399" t="n">
        <v>12</v>
      </c>
      <c r="L2399" t="n">
        <v>12</v>
      </c>
      <c r="M2399" t="n">
        <v>12</v>
      </c>
      <c r="N2399" t="n">
        <v>12</v>
      </c>
      <c r="O2399" t="n">
        <v>20</v>
      </c>
      <c r="P2399" t="n">
        <v>4</v>
      </c>
      <c r="R2399" s="9" t="n">
        <v>0.04</v>
      </c>
      <c r="S2399" s="10" t="inlineStr">
        <is>
          <t>SÍ — integrante</t>
        </is>
      </c>
      <c r="T2399" s="11" t="inlineStr">
        <is>
          <t>B · INTEGRANTE</t>
        </is>
      </c>
      <c r="U2399" s="11" t="inlineStr">
        <is>
          <t>DEL BANCO (se hereda)</t>
        </is>
      </c>
      <c r="V2399" s="11" t="n"/>
      <c r="W2399" s="12" t="n"/>
      <c r="X2399" s="12" t="n"/>
    </row>
    <row r="2400" ht="15" customHeight="1">
      <c r="C2400" t="inlineStr">
        <is>
          <t>PAIS DEL DOMICILIO</t>
        </is>
      </c>
      <c r="D2400" t="inlineStr">
        <is>
          <t>F6</t>
        </is>
      </c>
      <c r="E2400" t="inlineStr">
        <is>
          <t>INHERENTE</t>
        </is>
      </c>
      <c r="F2400" t="inlineStr">
        <is>
          <t>CROACIA</t>
        </is>
      </c>
      <c r="G2400" t="inlineStr">
        <is>
          <t>HR</t>
        </is>
      </c>
      <c r="H2400" t="n">
        <v>1</v>
      </c>
      <c r="I2400" t="n">
        <v>1</v>
      </c>
      <c r="J2400" t="n">
        <v>4</v>
      </c>
      <c r="K2400" t="n">
        <v>4</v>
      </c>
      <c r="L2400" t="n">
        <v>4</v>
      </c>
      <c r="M2400" t="n">
        <v>4</v>
      </c>
      <c r="N2400" t="n">
        <v>4</v>
      </c>
      <c r="O2400" t="n">
        <v>20</v>
      </c>
      <c r="P2400" t="n">
        <v>4</v>
      </c>
      <c r="R2400" s="9" t="n">
        <v>0.04</v>
      </c>
      <c r="S2400" s="10" t="inlineStr">
        <is>
          <t>SÍ — integrante</t>
        </is>
      </c>
      <c r="T2400" s="11" t="inlineStr">
        <is>
          <t>B · INTEGRANTE</t>
        </is>
      </c>
      <c r="U2400" s="11" t="inlineStr">
        <is>
          <t>DEL BANCO (se hereda)</t>
        </is>
      </c>
      <c r="V2400" s="11" t="n"/>
      <c r="W2400" s="12" t="n"/>
      <c r="X2400" s="12" t="n"/>
    </row>
    <row r="2401" ht="15" customHeight="1">
      <c r="C2401" t="inlineStr">
        <is>
          <t>PAIS DEL DOMICILIO</t>
        </is>
      </c>
      <c r="D2401" t="inlineStr">
        <is>
          <t>F6</t>
        </is>
      </c>
      <c r="E2401" t="inlineStr">
        <is>
          <t>INHERENTE</t>
        </is>
      </c>
      <c r="F2401" t="inlineStr">
        <is>
          <t>HAITI</t>
        </is>
      </c>
      <c r="G2401" t="inlineStr">
        <is>
          <t>HT</t>
        </is>
      </c>
      <c r="H2401" t="n">
        <v>4</v>
      </c>
      <c r="I2401" t="n">
        <v>4</v>
      </c>
      <c r="J2401" t="n">
        <v>4</v>
      </c>
      <c r="K2401" t="n">
        <v>16</v>
      </c>
      <c r="L2401" t="n">
        <v>16</v>
      </c>
      <c r="M2401" t="n">
        <v>16</v>
      </c>
      <c r="N2401" t="n">
        <v>16</v>
      </c>
      <c r="O2401" t="n">
        <v>20</v>
      </c>
      <c r="P2401" t="n">
        <v>4</v>
      </c>
      <c r="Q2401" t="inlineStr">
        <is>
          <t>DETERMINANTE</t>
        </is>
      </c>
      <c r="R2401" s="9" t="n">
        <v>0.04</v>
      </c>
      <c r="S2401" s="10" t="inlineStr">
        <is>
          <t>SÍ — integrante</t>
        </is>
      </c>
      <c r="T2401" s="11" t="inlineStr">
        <is>
          <t>B · INTEGRANTE</t>
        </is>
      </c>
      <c r="U2401" s="11" t="inlineStr">
        <is>
          <t>DEL BANCO (se hereda)</t>
        </is>
      </c>
      <c r="V2401" s="11" t="n"/>
      <c r="W2401" s="12" t="n"/>
      <c r="X2401" s="12" t="n"/>
    </row>
    <row r="2402" ht="15" customHeight="1">
      <c r="C2402" t="inlineStr">
        <is>
          <t>PAIS DEL DOMICILIO</t>
        </is>
      </c>
      <c r="D2402" t="inlineStr">
        <is>
          <t>F6</t>
        </is>
      </c>
      <c r="E2402" t="inlineStr">
        <is>
          <t>INHERENTE</t>
        </is>
      </c>
      <c r="F2402" t="inlineStr">
        <is>
          <t>HUNGRIA</t>
        </is>
      </c>
      <c r="G2402" t="inlineStr">
        <is>
          <t>HU</t>
        </is>
      </c>
      <c r="H2402" t="n">
        <v>2</v>
      </c>
      <c r="I2402" t="n">
        <v>2</v>
      </c>
      <c r="J2402" t="n">
        <v>4</v>
      </c>
      <c r="K2402" t="n">
        <v>8</v>
      </c>
      <c r="L2402" t="n">
        <v>8</v>
      </c>
      <c r="M2402" t="n">
        <v>8</v>
      </c>
      <c r="N2402" t="n">
        <v>8</v>
      </c>
      <c r="O2402" t="n">
        <v>20</v>
      </c>
      <c r="P2402" t="n">
        <v>4</v>
      </c>
      <c r="R2402" s="9" t="n">
        <v>0.04</v>
      </c>
      <c r="S2402" s="10" t="inlineStr">
        <is>
          <t>SÍ — integrante</t>
        </is>
      </c>
      <c r="T2402" s="11" t="inlineStr">
        <is>
          <t>B · INTEGRANTE</t>
        </is>
      </c>
      <c r="U2402" s="11" t="inlineStr">
        <is>
          <t>DEL BANCO (se hereda)</t>
        </is>
      </c>
      <c r="V2402" s="11" t="n"/>
      <c r="W2402" s="12" t="n"/>
      <c r="X2402" s="12" t="n"/>
    </row>
    <row r="2403" ht="15" customHeight="1">
      <c r="C2403" t="inlineStr">
        <is>
          <t>PAIS DEL DOMICILIO</t>
        </is>
      </c>
      <c r="D2403" t="inlineStr">
        <is>
          <t>F6</t>
        </is>
      </c>
      <c r="E2403" t="inlineStr">
        <is>
          <t>INHERENTE</t>
        </is>
      </c>
      <c r="F2403" t="inlineStr">
        <is>
          <t>ISLAS DEL CANAL</t>
        </is>
      </c>
      <c r="G2403" t="inlineStr">
        <is>
          <t>IC</t>
        </is>
      </c>
      <c r="H2403" t="n">
        <v>1</v>
      </c>
      <c r="I2403" t="n">
        <v>1</v>
      </c>
      <c r="J2403" t="n">
        <v>4</v>
      </c>
      <c r="K2403" t="n">
        <v>4</v>
      </c>
      <c r="L2403" t="n">
        <v>4</v>
      </c>
      <c r="M2403" t="n">
        <v>4</v>
      </c>
      <c r="N2403" t="n">
        <v>4</v>
      </c>
      <c r="O2403" t="n">
        <v>20</v>
      </c>
      <c r="P2403" t="n">
        <v>4</v>
      </c>
      <c r="R2403" s="9" t="n">
        <v>0.04</v>
      </c>
      <c r="S2403" s="10" t="inlineStr">
        <is>
          <t>SÍ — integrante</t>
        </is>
      </c>
      <c r="T2403" s="11" t="inlineStr">
        <is>
          <t>B · INTEGRANTE</t>
        </is>
      </c>
      <c r="U2403" s="11" t="inlineStr">
        <is>
          <t>DEL BANCO (se hereda)</t>
        </is>
      </c>
      <c r="V2403" s="11" t="n"/>
      <c r="W2403" s="12" t="n"/>
      <c r="X2403" s="12" t="n"/>
    </row>
    <row r="2404" ht="15" customHeight="1">
      <c r="C2404" t="inlineStr">
        <is>
          <t>PAIS DEL DOMICILIO</t>
        </is>
      </c>
      <c r="D2404" t="inlineStr">
        <is>
          <t>F6</t>
        </is>
      </c>
      <c r="E2404" t="inlineStr">
        <is>
          <t>INHERENTE</t>
        </is>
      </c>
      <c r="F2404" t="inlineStr">
        <is>
          <t>INDONESIA</t>
        </is>
      </c>
      <c r="G2404" t="inlineStr">
        <is>
          <t>ID</t>
        </is>
      </c>
      <c r="H2404" t="n">
        <v>3</v>
      </c>
      <c r="I2404" t="n">
        <v>3</v>
      </c>
      <c r="J2404" t="n">
        <v>4</v>
      </c>
      <c r="K2404" t="n">
        <v>12</v>
      </c>
      <c r="L2404" t="n">
        <v>12</v>
      </c>
      <c r="M2404" t="n">
        <v>12</v>
      </c>
      <c r="N2404" t="n">
        <v>12</v>
      </c>
      <c r="O2404" t="n">
        <v>20</v>
      </c>
      <c r="P2404" t="n">
        <v>4</v>
      </c>
      <c r="R2404" s="9" t="n">
        <v>0.04</v>
      </c>
      <c r="S2404" s="10" t="inlineStr">
        <is>
          <t>SÍ — integrante</t>
        </is>
      </c>
      <c r="T2404" s="11" t="inlineStr">
        <is>
          <t>B · INTEGRANTE</t>
        </is>
      </c>
      <c r="U2404" s="11" t="inlineStr">
        <is>
          <t>DEL BANCO (se hereda)</t>
        </is>
      </c>
      <c r="V2404" s="11" t="n"/>
      <c r="W2404" s="12" t="n"/>
      <c r="X2404" s="12" t="n"/>
    </row>
    <row r="2405" ht="15" customHeight="1">
      <c r="C2405" t="inlineStr">
        <is>
          <t>PAIS DEL DOMICILIO</t>
        </is>
      </c>
      <c r="D2405" t="inlineStr">
        <is>
          <t>F6</t>
        </is>
      </c>
      <c r="E2405" t="inlineStr">
        <is>
          <t>INHERENTE</t>
        </is>
      </c>
      <c r="F2405" t="inlineStr">
        <is>
          <t>IRLANDA</t>
        </is>
      </c>
      <c r="G2405" t="inlineStr">
        <is>
          <t>IE</t>
        </is>
      </c>
      <c r="H2405" t="n">
        <v>1</v>
      </c>
      <c r="I2405" t="n">
        <v>1</v>
      </c>
      <c r="J2405" t="n">
        <v>4</v>
      </c>
      <c r="K2405" t="n">
        <v>4</v>
      </c>
      <c r="L2405" t="n">
        <v>4</v>
      </c>
      <c r="M2405" t="n">
        <v>4</v>
      </c>
      <c r="N2405" t="n">
        <v>4</v>
      </c>
      <c r="O2405" t="n">
        <v>20</v>
      </c>
      <c r="P2405" t="n">
        <v>4</v>
      </c>
      <c r="R2405" s="9" t="n">
        <v>0.04</v>
      </c>
      <c r="S2405" s="10" t="inlineStr">
        <is>
          <t>SÍ — integrante</t>
        </is>
      </c>
      <c r="T2405" s="11" t="inlineStr">
        <is>
          <t>B · INTEGRANTE</t>
        </is>
      </c>
      <c r="U2405" s="11" t="inlineStr">
        <is>
          <t>DEL BANCO (se hereda)</t>
        </is>
      </c>
      <c r="V2405" s="11" t="n"/>
      <c r="W2405" s="12" t="n"/>
      <c r="X2405" s="12" t="n"/>
    </row>
    <row r="2406" ht="15" customHeight="1">
      <c r="C2406" t="inlineStr">
        <is>
          <t>PAIS DEL DOMICILIO</t>
        </is>
      </c>
      <c r="D2406" t="inlineStr">
        <is>
          <t>F6</t>
        </is>
      </c>
      <c r="E2406" t="inlineStr">
        <is>
          <t>INHERENTE</t>
        </is>
      </c>
      <c r="F2406" t="inlineStr">
        <is>
          <t>ISRAEL</t>
        </is>
      </c>
      <c r="G2406" t="inlineStr">
        <is>
          <t>IL</t>
        </is>
      </c>
      <c r="H2406" t="n">
        <v>1</v>
      </c>
      <c r="I2406" t="n">
        <v>1</v>
      </c>
      <c r="J2406" t="n">
        <v>4</v>
      </c>
      <c r="K2406" t="n">
        <v>4</v>
      </c>
      <c r="L2406" t="n">
        <v>4</v>
      </c>
      <c r="M2406" t="n">
        <v>4</v>
      </c>
      <c r="N2406" t="n">
        <v>4</v>
      </c>
      <c r="O2406" t="n">
        <v>20</v>
      </c>
      <c r="P2406" t="n">
        <v>4</v>
      </c>
      <c r="R2406" s="9" t="n">
        <v>0.04</v>
      </c>
      <c r="S2406" s="10" t="inlineStr">
        <is>
          <t>SÍ — integrante</t>
        </is>
      </c>
      <c r="T2406" s="11" t="inlineStr">
        <is>
          <t>B · INTEGRANTE</t>
        </is>
      </c>
      <c r="U2406" s="11" t="inlineStr">
        <is>
          <t>DEL BANCO (se hereda)</t>
        </is>
      </c>
      <c r="V2406" s="11" t="n"/>
      <c r="W2406" s="12" t="n"/>
      <c r="X2406" s="12" t="n"/>
    </row>
    <row r="2407" ht="15" customHeight="1">
      <c r="C2407" t="inlineStr">
        <is>
          <t>PAIS DEL DOMICILIO</t>
        </is>
      </c>
      <c r="D2407" t="inlineStr">
        <is>
          <t>F6</t>
        </is>
      </c>
      <c r="E2407" t="inlineStr">
        <is>
          <t>INHERENTE</t>
        </is>
      </c>
      <c r="F2407" t="inlineStr">
        <is>
          <t>ISLA DE MAN</t>
        </is>
      </c>
      <c r="G2407" t="inlineStr">
        <is>
          <t>IM</t>
        </is>
      </c>
      <c r="H2407" t="n">
        <v>1</v>
      </c>
      <c r="I2407" t="n">
        <v>1</v>
      </c>
      <c r="J2407" t="n">
        <v>4</v>
      </c>
      <c r="K2407" t="n">
        <v>4</v>
      </c>
      <c r="L2407" t="n">
        <v>4</v>
      </c>
      <c r="M2407" t="n">
        <v>4</v>
      </c>
      <c r="N2407" t="n">
        <v>4</v>
      </c>
      <c r="O2407" t="n">
        <v>20</v>
      </c>
      <c r="P2407" t="n">
        <v>4</v>
      </c>
      <c r="R2407" s="9" t="n">
        <v>0.04</v>
      </c>
      <c r="S2407" s="10" t="inlineStr">
        <is>
          <t>SÍ — integrante</t>
        </is>
      </c>
      <c r="T2407" s="11" t="inlineStr">
        <is>
          <t>B · INTEGRANTE</t>
        </is>
      </c>
      <c r="U2407" s="11" t="inlineStr">
        <is>
          <t>DEL BANCO (se hereda)</t>
        </is>
      </c>
      <c r="V2407" s="11" t="n"/>
      <c r="W2407" s="12" t="n"/>
      <c r="X2407" s="12" t="n"/>
    </row>
    <row r="2408" ht="15" customHeight="1">
      <c r="C2408" t="inlineStr">
        <is>
          <t>PAIS DEL DOMICILIO</t>
        </is>
      </c>
      <c r="D2408" t="inlineStr">
        <is>
          <t>F6</t>
        </is>
      </c>
      <c r="E2408" t="inlineStr">
        <is>
          <t>INHERENTE</t>
        </is>
      </c>
      <c r="F2408" t="inlineStr">
        <is>
          <t>INDIA</t>
        </is>
      </c>
      <c r="G2408" t="inlineStr">
        <is>
          <t>IN</t>
        </is>
      </c>
      <c r="H2408" t="n">
        <v>3</v>
      </c>
      <c r="I2408" t="n">
        <v>3</v>
      </c>
      <c r="J2408" t="n">
        <v>4</v>
      </c>
      <c r="K2408" t="n">
        <v>12</v>
      </c>
      <c r="L2408" t="n">
        <v>12</v>
      </c>
      <c r="M2408" t="n">
        <v>12</v>
      </c>
      <c r="N2408" t="n">
        <v>12</v>
      </c>
      <c r="O2408" t="n">
        <v>20</v>
      </c>
      <c r="P2408" t="n">
        <v>4</v>
      </c>
      <c r="R2408" s="9" t="n">
        <v>0.04</v>
      </c>
      <c r="S2408" s="10" t="inlineStr">
        <is>
          <t>SÍ — integrante</t>
        </is>
      </c>
      <c r="T2408" s="11" t="inlineStr">
        <is>
          <t>B · INTEGRANTE</t>
        </is>
      </c>
      <c r="U2408" s="11" t="inlineStr">
        <is>
          <t>DEL BANCO (se hereda)</t>
        </is>
      </c>
      <c r="V2408" s="11" t="n"/>
      <c r="W2408" s="12" t="n"/>
      <c r="X2408" s="12" t="n"/>
    </row>
    <row r="2409" ht="15" customHeight="1">
      <c r="C2409" t="inlineStr">
        <is>
          <t>PAIS DEL DOMICILIO</t>
        </is>
      </c>
      <c r="D2409" t="inlineStr">
        <is>
          <t>F6</t>
        </is>
      </c>
      <c r="E2409" t="inlineStr">
        <is>
          <t>INHERENTE</t>
        </is>
      </c>
      <c r="F2409" t="inlineStr">
        <is>
          <t>TERRITORIO BRIT</t>
        </is>
      </c>
      <c r="G2409" t="inlineStr">
        <is>
          <t>IO</t>
        </is>
      </c>
      <c r="H2409" t="n">
        <v>1</v>
      </c>
      <c r="I2409" t="n">
        <v>1</v>
      </c>
      <c r="J2409" t="n">
        <v>4</v>
      </c>
      <c r="K2409" t="n">
        <v>4</v>
      </c>
      <c r="L2409" t="n">
        <v>4</v>
      </c>
      <c r="M2409" t="n">
        <v>4</v>
      </c>
      <c r="N2409" t="n">
        <v>4</v>
      </c>
      <c r="O2409" t="n">
        <v>20</v>
      </c>
      <c r="P2409" t="n">
        <v>4</v>
      </c>
      <c r="R2409" s="9" t="n">
        <v>0.04</v>
      </c>
      <c r="S2409" s="10" t="inlineStr">
        <is>
          <t>SÍ — integrante</t>
        </is>
      </c>
      <c r="T2409" s="11" t="inlineStr">
        <is>
          <t>B · INTEGRANTE</t>
        </is>
      </c>
      <c r="U2409" s="11" t="inlineStr">
        <is>
          <t>DEL BANCO (se hereda)</t>
        </is>
      </c>
      <c r="V2409" s="11" t="n"/>
      <c r="W2409" s="12" t="n"/>
      <c r="X2409" s="12" t="n"/>
    </row>
    <row r="2410" ht="15" customHeight="1">
      <c r="C2410" t="inlineStr">
        <is>
          <t>PAIS DEL DOMICILIO</t>
        </is>
      </c>
      <c r="D2410" t="inlineStr">
        <is>
          <t>F6</t>
        </is>
      </c>
      <c r="E2410" t="inlineStr">
        <is>
          <t>INHERENTE</t>
        </is>
      </c>
      <c r="F2410" t="inlineStr">
        <is>
          <t>IRAK (GFG)</t>
        </is>
      </c>
      <c r="G2410" t="inlineStr">
        <is>
          <t>IQ</t>
        </is>
      </c>
      <c r="H2410" t="n">
        <v>3</v>
      </c>
      <c r="I2410" t="n">
        <v>3</v>
      </c>
      <c r="J2410" t="n">
        <v>4</v>
      </c>
      <c r="K2410" t="n">
        <v>12</v>
      </c>
      <c r="L2410" t="n">
        <v>12</v>
      </c>
      <c r="M2410" t="n">
        <v>12</v>
      </c>
      <c r="N2410" t="n">
        <v>12</v>
      </c>
      <c r="O2410" t="n">
        <v>20</v>
      </c>
      <c r="P2410" t="n">
        <v>4</v>
      </c>
      <c r="R2410" s="9" t="n">
        <v>0.04</v>
      </c>
      <c r="S2410" s="10" t="inlineStr">
        <is>
          <t>SÍ — integrante</t>
        </is>
      </c>
      <c r="T2410" s="11" t="inlineStr">
        <is>
          <t>B · INTEGRANTE</t>
        </is>
      </c>
      <c r="U2410" s="11" t="inlineStr">
        <is>
          <t>DEL BANCO (se hereda)</t>
        </is>
      </c>
      <c r="V2410" s="11" t="n"/>
      <c r="W2410" s="12" t="n"/>
      <c r="X2410" s="12" t="n"/>
    </row>
    <row r="2411" ht="15" customHeight="1">
      <c r="C2411" t="inlineStr">
        <is>
          <t>PAIS DEL DOMICILIO</t>
        </is>
      </c>
      <c r="D2411" t="inlineStr">
        <is>
          <t>F6</t>
        </is>
      </c>
      <c r="E2411" t="inlineStr">
        <is>
          <t>INHERENTE</t>
        </is>
      </c>
      <c r="F2411" t="inlineStr">
        <is>
          <t>IRAN</t>
        </is>
      </c>
      <c r="G2411" t="inlineStr">
        <is>
          <t>IR</t>
        </is>
      </c>
      <c r="H2411" t="n">
        <v>5</v>
      </c>
      <c r="I2411" t="n">
        <v>5</v>
      </c>
      <c r="J2411" t="n">
        <v>4</v>
      </c>
      <c r="K2411" t="n">
        <v>20</v>
      </c>
      <c r="L2411" t="n">
        <v>20</v>
      </c>
      <c r="M2411" t="n">
        <v>20</v>
      </c>
      <c r="N2411" t="n">
        <v>20</v>
      </c>
      <c r="O2411" t="n">
        <v>20</v>
      </c>
      <c r="P2411" t="n">
        <v>4</v>
      </c>
      <c r="Q2411" t="inlineStr">
        <is>
          <t>PROHIBITIVO</t>
        </is>
      </c>
      <c r="R2411" s="9" t="n">
        <v>0.04</v>
      </c>
      <c r="S2411" s="10" t="inlineStr">
        <is>
          <t>SÍ — integrante</t>
        </is>
      </c>
      <c r="T2411" s="11" t="inlineStr">
        <is>
          <t>B · INTEGRANTE</t>
        </is>
      </c>
      <c r="U2411" s="11" t="inlineStr">
        <is>
          <t>DEL BANCO (se hereda)</t>
        </is>
      </c>
      <c r="V2411" s="11" t="n"/>
      <c r="W2411" s="12" t="n"/>
      <c r="X2411" s="12" t="n"/>
    </row>
    <row r="2412" ht="15" customHeight="1">
      <c r="C2412" t="inlineStr">
        <is>
          <t>PAIS DEL DOMICILIO</t>
        </is>
      </c>
      <c r="D2412" t="inlineStr">
        <is>
          <t>F6</t>
        </is>
      </c>
      <c r="E2412" t="inlineStr">
        <is>
          <t>INHERENTE</t>
        </is>
      </c>
      <c r="F2412" t="inlineStr">
        <is>
          <t>ISLANDIA</t>
        </is>
      </c>
      <c r="G2412" t="inlineStr">
        <is>
          <t>IS</t>
        </is>
      </c>
      <c r="H2412" t="n">
        <v>1</v>
      </c>
      <c r="I2412" t="n">
        <v>1</v>
      </c>
      <c r="J2412" t="n">
        <v>4</v>
      </c>
      <c r="K2412" t="n">
        <v>4</v>
      </c>
      <c r="L2412" t="n">
        <v>4</v>
      </c>
      <c r="M2412" t="n">
        <v>4</v>
      </c>
      <c r="N2412" t="n">
        <v>4</v>
      </c>
      <c r="O2412" t="n">
        <v>20</v>
      </c>
      <c r="P2412" t="n">
        <v>4</v>
      </c>
      <c r="R2412" s="9" t="n">
        <v>0.04</v>
      </c>
      <c r="S2412" s="10" t="inlineStr">
        <is>
          <t>SÍ — integrante</t>
        </is>
      </c>
      <c r="T2412" s="11" t="inlineStr">
        <is>
          <t>B · INTEGRANTE</t>
        </is>
      </c>
      <c r="U2412" s="11" t="inlineStr">
        <is>
          <t>DEL BANCO (se hereda)</t>
        </is>
      </c>
      <c r="V2412" s="11" t="n"/>
      <c r="W2412" s="12" t="n"/>
      <c r="X2412" s="12" t="n"/>
    </row>
    <row r="2413" ht="15" customHeight="1">
      <c r="C2413" t="inlineStr">
        <is>
          <t>PAIS DEL DOMICILIO</t>
        </is>
      </c>
      <c r="D2413" t="inlineStr">
        <is>
          <t>F6</t>
        </is>
      </c>
      <c r="E2413" t="inlineStr">
        <is>
          <t>INHERENTE</t>
        </is>
      </c>
      <c r="F2413" t="inlineStr">
        <is>
          <t>ITALIA</t>
        </is>
      </c>
      <c r="G2413" t="inlineStr">
        <is>
          <t>IT</t>
        </is>
      </c>
      <c r="H2413" t="n">
        <v>1</v>
      </c>
      <c r="I2413" t="n">
        <v>1</v>
      </c>
      <c r="J2413" t="n">
        <v>4</v>
      </c>
      <c r="K2413" t="n">
        <v>4</v>
      </c>
      <c r="L2413" t="n">
        <v>4</v>
      </c>
      <c r="M2413" t="n">
        <v>4</v>
      </c>
      <c r="N2413" t="n">
        <v>4</v>
      </c>
      <c r="O2413" t="n">
        <v>20</v>
      </c>
      <c r="P2413" t="n">
        <v>4</v>
      </c>
      <c r="R2413" s="9" t="n">
        <v>0.04</v>
      </c>
      <c r="S2413" s="10" t="inlineStr">
        <is>
          <t>SÍ — integrante</t>
        </is>
      </c>
      <c r="T2413" s="11" t="inlineStr">
        <is>
          <t>B · INTEGRANTE</t>
        </is>
      </c>
      <c r="U2413" s="11" t="inlineStr">
        <is>
          <t>DEL BANCO (se hereda)</t>
        </is>
      </c>
      <c r="V2413" s="11" t="n"/>
      <c r="W2413" s="12" t="n"/>
      <c r="X2413" s="12" t="n"/>
    </row>
    <row r="2414" ht="15" customHeight="1">
      <c r="C2414" t="inlineStr">
        <is>
          <t>PAIS DEL DOMICILIO</t>
        </is>
      </c>
      <c r="D2414" t="inlineStr">
        <is>
          <t>F6</t>
        </is>
      </c>
      <c r="E2414" t="inlineStr">
        <is>
          <t>INHERENTE</t>
        </is>
      </c>
      <c r="F2414" t="inlineStr">
        <is>
          <t>ISLAS VIRGENES BRITA</t>
        </is>
      </c>
      <c r="G2414" t="inlineStr">
        <is>
          <t>IV</t>
        </is>
      </c>
      <c r="H2414" t="n">
        <v>4</v>
      </c>
      <c r="I2414" t="n">
        <v>4</v>
      </c>
      <c r="J2414" t="n">
        <v>4</v>
      </c>
      <c r="K2414" t="n">
        <v>16</v>
      </c>
      <c r="L2414" t="n">
        <v>16</v>
      </c>
      <c r="M2414" t="n">
        <v>16</v>
      </c>
      <c r="N2414" t="n">
        <v>16</v>
      </c>
      <c r="O2414" t="n">
        <v>20</v>
      </c>
      <c r="P2414" t="n">
        <v>4</v>
      </c>
      <c r="Q2414" t="inlineStr">
        <is>
          <t>DETERMINANTE</t>
        </is>
      </c>
      <c r="R2414" s="9" t="n">
        <v>0.04</v>
      </c>
      <c r="S2414" s="10" t="inlineStr">
        <is>
          <t>SÍ — integrante</t>
        </is>
      </c>
      <c r="T2414" s="11" t="inlineStr">
        <is>
          <t>B · INTEGRANTE</t>
        </is>
      </c>
      <c r="U2414" s="11" t="inlineStr">
        <is>
          <t>DEL BANCO (se hereda)</t>
        </is>
      </c>
      <c r="V2414" s="11" t="n"/>
      <c r="W2414" s="12" t="n"/>
      <c r="X2414" s="12" t="n"/>
    </row>
    <row r="2415" ht="15" customHeight="1">
      <c r="C2415" t="inlineStr">
        <is>
          <t>PAIS DEL DOMICILIO</t>
        </is>
      </c>
      <c r="D2415" t="inlineStr">
        <is>
          <t>F6</t>
        </is>
      </c>
      <c r="E2415" t="inlineStr">
        <is>
          <t>INHERENTE</t>
        </is>
      </c>
      <c r="F2415" t="inlineStr">
        <is>
          <t>ISLA DE JERSEY</t>
        </is>
      </c>
      <c r="G2415" t="inlineStr">
        <is>
          <t>JE</t>
        </is>
      </c>
      <c r="H2415" t="n">
        <v>1</v>
      </c>
      <c r="I2415" t="n">
        <v>1</v>
      </c>
      <c r="J2415" t="n">
        <v>4</v>
      </c>
      <c r="K2415" t="n">
        <v>4</v>
      </c>
      <c r="L2415" t="n">
        <v>4</v>
      </c>
      <c r="M2415" t="n">
        <v>4</v>
      </c>
      <c r="N2415" t="n">
        <v>4</v>
      </c>
      <c r="O2415" t="n">
        <v>20</v>
      </c>
      <c r="P2415" t="n">
        <v>4</v>
      </c>
      <c r="R2415" s="9" t="n">
        <v>0.04</v>
      </c>
      <c r="S2415" s="10" t="inlineStr">
        <is>
          <t>SÍ — integrante</t>
        </is>
      </c>
      <c r="T2415" s="11" t="inlineStr">
        <is>
          <t>B · INTEGRANTE</t>
        </is>
      </c>
      <c r="U2415" s="11" t="inlineStr">
        <is>
          <t>DEL BANCO (se hereda)</t>
        </is>
      </c>
      <c r="V2415" s="11" t="n"/>
      <c r="W2415" s="12" t="n"/>
      <c r="X2415" s="12" t="n"/>
    </row>
    <row r="2416" ht="15" customHeight="1">
      <c r="C2416" t="inlineStr">
        <is>
          <t>PAIS DEL DOMICILIO</t>
        </is>
      </c>
      <c r="D2416" t="inlineStr">
        <is>
          <t>F6</t>
        </is>
      </c>
      <c r="E2416" t="inlineStr">
        <is>
          <t>INHERENTE</t>
        </is>
      </c>
      <c r="F2416" t="inlineStr">
        <is>
          <t>JAMAICA</t>
        </is>
      </c>
      <c r="G2416" t="inlineStr">
        <is>
          <t>JM</t>
        </is>
      </c>
      <c r="H2416" t="n">
        <v>3</v>
      </c>
      <c r="I2416" t="n">
        <v>3</v>
      </c>
      <c r="J2416" t="n">
        <v>4</v>
      </c>
      <c r="K2416" t="n">
        <v>12</v>
      </c>
      <c r="L2416" t="n">
        <v>12</v>
      </c>
      <c r="M2416" t="n">
        <v>12</v>
      </c>
      <c r="N2416" t="n">
        <v>12</v>
      </c>
      <c r="O2416" t="n">
        <v>20</v>
      </c>
      <c r="P2416" t="n">
        <v>4</v>
      </c>
      <c r="R2416" s="9" t="n">
        <v>0.04</v>
      </c>
      <c r="S2416" s="10" t="inlineStr">
        <is>
          <t>SÍ — integrante</t>
        </is>
      </c>
      <c r="T2416" s="11" t="inlineStr">
        <is>
          <t>B · INTEGRANTE</t>
        </is>
      </c>
      <c r="U2416" s="11" t="inlineStr">
        <is>
          <t>DEL BANCO (se hereda)</t>
        </is>
      </c>
      <c r="V2416" s="11" t="n"/>
      <c r="W2416" s="12" t="n"/>
      <c r="X2416" s="12" t="n"/>
    </row>
    <row r="2417" ht="15" customHeight="1">
      <c r="C2417" t="inlineStr">
        <is>
          <t>PAIS DEL DOMICILIO</t>
        </is>
      </c>
      <c r="D2417" t="inlineStr">
        <is>
          <t>F6</t>
        </is>
      </c>
      <c r="E2417" t="inlineStr">
        <is>
          <t>INHERENTE</t>
        </is>
      </c>
      <c r="F2417" t="inlineStr">
        <is>
          <t>JORDANIA</t>
        </is>
      </c>
      <c r="G2417" t="inlineStr">
        <is>
          <t>JO</t>
        </is>
      </c>
      <c r="H2417" t="n">
        <v>2</v>
      </c>
      <c r="I2417" t="n">
        <v>2</v>
      </c>
      <c r="J2417" t="n">
        <v>4</v>
      </c>
      <c r="K2417" t="n">
        <v>8</v>
      </c>
      <c r="L2417" t="n">
        <v>8</v>
      </c>
      <c r="M2417" t="n">
        <v>8</v>
      </c>
      <c r="N2417" t="n">
        <v>8</v>
      </c>
      <c r="O2417" t="n">
        <v>20</v>
      </c>
      <c r="P2417" t="n">
        <v>4</v>
      </c>
      <c r="R2417" s="9" t="n">
        <v>0.04</v>
      </c>
      <c r="S2417" s="10" t="inlineStr">
        <is>
          <t>SÍ — integrante</t>
        </is>
      </c>
      <c r="T2417" s="11" t="inlineStr">
        <is>
          <t>B · INTEGRANTE</t>
        </is>
      </c>
      <c r="U2417" s="11" t="inlineStr">
        <is>
          <t>DEL BANCO (se hereda)</t>
        </is>
      </c>
      <c r="V2417" s="11" t="n"/>
      <c r="W2417" s="12" t="n"/>
      <c r="X2417" s="12" t="n"/>
    </row>
    <row r="2418" ht="15" customHeight="1">
      <c r="C2418" t="inlineStr">
        <is>
          <t>PAIS DEL DOMICILIO</t>
        </is>
      </c>
      <c r="D2418" t="inlineStr">
        <is>
          <t>F6</t>
        </is>
      </c>
      <c r="E2418" t="inlineStr">
        <is>
          <t>INHERENTE</t>
        </is>
      </c>
      <c r="F2418" t="inlineStr">
        <is>
          <t>JAPON</t>
        </is>
      </c>
      <c r="G2418" t="inlineStr">
        <is>
          <t>JP</t>
        </is>
      </c>
      <c r="H2418" t="n">
        <v>1</v>
      </c>
      <c r="I2418" t="n">
        <v>1</v>
      </c>
      <c r="J2418" t="n">
        <v>4</v>
      </c>
      <c r="K2418" t="n">
        <v>4</v>
      </c>
      <c r="L2418" t="n">
        <v>4</v>
      </c>
      <c r="M2418" t="n">
        <v>4</v>
      </c>
      <c r="N2418" t="n">
        <v>4</v>
      </c>
      <c r="O2418" t="n">
        <v>20</v>
      </c>
      <c r="P2418" t="n">
        <v>4</v>
      </c>
      <c r="R2418" s="9" t="n">
        <v>0.04</v>
      </c>
      <c r="S2418" s="10" t="inlineStr">
        <is>
          <t>SÍ — integrante</t>
        </is>
      </c>
      <c r="T2418" s="11" t="inlineStr">
        <is>
          <t>B · INTEGRANTE</t>
        </is>
      </c>
      <c r="U2418" s="11" t="inlineStr">
        <is>
          <t>DEL BANCO (se hereda)</t>
        </is>
      </c>
      <c r="V2418" s="11" t="n"/>
      <c r="W2418" s="12" t="n"/>
      <c r="X2418" s="12" t="n"/>
    </row>
    <row r="2419" ht="15" customHeight="1">
      <c r="C2419" t="inlineStr">
        <is>
          <t>PAIS DEL DOMICILIO</t>
        </is>
      </c>
      <c r="D2419" t="inlineStr">
        <is>
          <t>F6</t>
        </is>
      </c>
      <c r="E2419" t="inlineStr">
        <is>
          <t>INHERENTE</t>
        </is>
      </c>
      <c r="F2419" t="inlineStr">
        <is>
          <t>KENYA</t>
        </is>
      </c>
      <c r="G2419" t="inlineStr">
        <is>
          <t>KE</t>
        </is>
      </c>
      <c r="H2419" t="n">
        <v>4</v>
      </c>
      <c r="I2419" t="n">
        <v>4</v>
      </c>
      <c r="J2419" t="n">
        <v>4</v>
      </c>
      <c r="K2419" t="n">
        <v>16</v>
      </c>
      <c r="L2419" t="n">
        <v>16</v>
      </c>
      <c r="M2419" t="n">
        <v>16</v>
      </c>
      <c r="N2419" t="n">
        <v>16</v>
      </c>
      <c r="O2419" t="n">
        <v>20</v>
      </c>
      <c r="P2419" t="n">
        <v>4</v>
      </c>
      <c r="Q2419" t="inlineStr">
        <is>
          <t>DETERMINANTE</t>
        </is>
      </c>
      <c r="R2419" s="9" t="n">
        <v>0.04</v>
      </c>
      <c r="S2419" s="10" t="inlineStr">
        <is>
          <t>SÍ — integrante</t>
        </is>
      </c>
      <c r="T2419" s="11" t="inlineStr">
        <is>
          <t>B · INTEGRANTE</t>
        </is>
      </c>
      <c r="U2419" s="11" t="inlineStr">
        <is>
          <t>DEL BANCO (se hereda)</t>
        </is>
      </c>
      <c r="V2419" s="11" t="n"/>
      <c r="W2419" s="12" t="n"/>
      <c r="X2419" s="12" t="n"/>
    </row>
    <row r="2420" ht="15" customHeight="1">
      <c r="C2420" t="inlineStr">
        <is>
          <t>PAIS DEL DOMICILIO</t>
        </is>
      </c>
      <c r="D2420" t="inlineStr">
        <is>
          <t>F6</t>
        </is>
      </c>
      <c r="E2420" t="inlineStr">
        <is>
          <t>INHERENTE</t>
        </is>
      </c>
      <c r="F2420" t="inlineStr">
        <is>
          <t>KYRGYZSTAN</t>
        </is>
      </c>
      <c r="G2420" t="inlineStr">
        <is>
          <t>KG</t>
        </is>
      </c>
      <c r="H2420" t="n">
        <v>3</v>
      </c>
      <c r="I2420" t="n">
        <v>3</v>
      </c>
      <c r="J2420" t="n">
        <v>4</v>
      </c>
      <c r="K2420" t="n">
        <v>12</v>
      </c>
      <c r="L2420" t="n">
        <v>12</v>
      </c>
      <c r="M2420" t="n">
        <v>12</v>
      </c>
      <c r="N2420" t="n">
        <v>12</v>
      </c>
      <c r="O2420" t="n">
        <v>20</v>
      </c>
      <c r="P2420" t="n">
        <v>4</v>
      </c>
      <c r="R2420" s="9" t="n">
        <v>0.04</v>
      </c>
      <c r="S2420" s="10" t="inlineStr">
        <is>
          <t>SÍ — integrante</t>
        </is>
      </c>
      <c r="T2420" s="11" t="inlineStr">
        <is>
          <t>B · INTEGRANTE</t>
        </is>
      </c>
      <c r="U2420" s="11" t="inlineStr">
        <is>
          <t>DEL BANCO (se hereda)</t>
        </is>
      </c>
      <c r="V2420" s="11" t="n"/>
      <c r="W2420" s="12" t="n"/>
      <c r="X2420" s="12" t="n"/>
    </row>
    <row r="2421" ht="15" customHeight="1">
      <c r="C2421" t="inlineStr">
        <is>
          <t>PAIS DEL DOMICILIO</t>
        </is>
      </c>
      <c r="D2421" t="inlineStr">
        <is>
          <t>F6</t>
        </is>
      </c>
      <c r="E2421" t="inlineStr">
        <is>
          <t>INHERENTE</t>
        </is>
      </c>
      <c r="F2421" t="inlineStr">
        <is>
          <t>CAMBOYA</t>
        </is>
      </c>
      <c r="G2421" t="inlineStr">
        <is>
          <t>KH</t>
        </is>
      </c>
      <c r="H2421" t="n">
        <v>4</v>
      </c>
      <c r="I2421" t="n">
        <v>4</v>
      </c>
      <c r="J2421" t="n">
        <v>4</v>
      </c>
      <c r="K2421" t="n">
        <v>16</v>
      </c>
      <c r="L2421" t="n">
        <v>16</v>
      </c>
      <c r="M2421" t="n">
        <v>16</v>
      </c>
      <c r="N2421" t="n">
        <v>16</v>
      </c>
      <c r="O2421" t="n">
        <v>20</v>
      </c>
      <c r="P2421" t="n">
        <v>4</v>
      </c>
      <c r="R2421" s="9" t="n">
        <v>0.04</v>
      </c>
      <c r="S2421" s="10" t="inlineStr">
        <is>
          <t>SÍ — integrante</t>
        </is>
      </c>
      <c r="T2421" s="11" t="inlineStr">
        <is>
          <t>B · INTEGRANTE</t>
        </is>
      </c>
      <c r="U2421" s="11" t="inlineStr">
        <is>
          <t>DEL BANCO (se hereda)</t>
        </is>
      </c>
      <c r="V2421" s="11" t="n"/>
      <c r="W2421" s="12" t="n"/>
      <c r="X2421" s="12" t="n"/>
    </row>
    <row r="2422" ht="15" customHeight="1">
      <c r="C2422" t="inlineStr">
        <is>
          <t>PAIS DEL DOMICILIO</t>
        </is>
      </c>
      <c r="D2422" t="inlineStr">
        <is>
          <t>F6</t>
        </is>
      </c>
      <c r="E2422" t="inlineStr">
        <is>
          <t>INHERENTE</t>
        </is>
      </c>
      <c r="F2422" t="inlineStr">
        <is>
          <t>KIRIBATI</t>
        </is>
      </c>
      <c r="G2422" t="inlineStr">
        <is>
          <t>KI</t>
        </is>
      </c>
      <c r="H2422" t="n">
        <v>1</v>
      </c>
      <c r="I2422" t="n">
        <v>1</v>
      </c>
      <c r="J2422" t="n">
        <v>4</v>
      </c>
      <c r="K2422" t="n">
        <v>4</v>
      </c>
      <c r="L2422" t="n">
        <v>4</v>
      </c>
      <c r="M2422" t="n">
        <v>4</v>
      </c>
      <c r="N2422" t="n">
        <v>4</v>
      </c>
      <c r="O2422" t="n">
        <v>20</v>
      </c>
      <c r="P2422" t="n">
        <v>4</v>
      </c>
      <c r="R2422" s="9" t="n">
        <v>0.04</v>
      </c>
      <c r="S2422" s="10" t="inlineStr">
        <is>
          <t>SÍ — integrante</t>
        </is>
      </c>
      <c r="T2422" s="11" t="inlineStr">
        <is>
          <t>B · INTEGRANTE</t>
        </is>
      </c>
      <c r="U2422" s="11" t="inlineStr">
        <is>
          <t>DEL BANCO (se hereda)</t>
        </is>
      </c>
      <c r="V2422" s="11" t="n"/>
      <c r="W2422" s="12" t="n"/>
      <c r="X2422" s="12" t="n"/>
    </row>
    <row r="2423" ht="15" customHeight="1">
      <c r="C2423" t="inlineStr">
        <is>
          <t>PAIS DEL DOMICILIO</t>
        </is>
      </c>
      <c r="D2423" t="inlineStr">
        <is>
          <t>F6</t>
        </is>
      </c>
      <c r="E2423" t="inlineStr">
        <is>
          <t>INHERENTE</t>
        </is>
      </c>
      <c r="F2423" t="inlineStr">
        <is>
          <t>COMORES</t>
        </is>
      </c>
      <c r="G2423" t="inlineStr">
        <is>
          <t>KM</t>
        </is>
      </c>
      <c r="H2423" t="n">
        <v>4</v>
      </c>
      <c r="I2423" t="n">
        <v>4</v>
      </c>
      <c r="J2423" t="n">
        <v>4</v>
      </c>
      <c r="K2423" t="n">
        <v>16</v>
      </c>
      <c r="L2423" t="n">
        <v>16</v>
      </c>
      <c r="M2423" t="n">
        <v>16</v>
      </c>
      <c r="N2423" t="n">
        <v>16</v>
      </c>
      <c r="O2423" t="n">
        <v>20</v>
      </c>
      <c r="P2423" t="n">
        <v>4</v>
      </c>
      <c r="R2423" s="9" t="n">
        <v>0.04</v>
      </c>
      <c r="S2423" s="10" t="inlineStr">
        <is>
          <t>SÍ — integrante</t>
        </is>
      </c>
      <c r="T2423" s="11" t="inlineStr">
        <is>
          <t>B · INTEGRANTE</t>
        </is>
      </c>
      <c r="U2423" s="11" t="inlineStr">
        <is>
          <t>DEL BANCO (se hereda)</t>
        </is>
      </c>
      <c r="V2423" s="11" t="n"/>
      <c r="W2423" s="12" t="n"/>
      <c r="X2423" s="12" t="n"/>
    </row>
    <row r="2424" ht="15" customHeight="1">
      <c r="C2424" t="inlineStr">
        <is>
          <t>PAIS DEL DOMICILIO</t>
        </is>
      </c>
      <c r="D2424" t="inlineStr">
        <is>
          <t>F6</t>
        </is>
      </c>
      <c r="E2424" t="inlineStr">
        <is>
          <t>INHERENTE</t>
        </is>
      </c>
      <c r="F2424" t="inlineStr">
        <is>
          <t>SAINT KITTS AND NEVI</t>
        </is>
      </c>
      <c r="G2424" t="inlineStr">
        <is>
          <t>KN</t>
        </is>
      </c>
      <c r="H2424" t="n">
        <v>3</v>
      </c>
      <c r="I2424" t="n">
        <v>3</v>
      </c>
      <c r="J2424" t="n">
        <v>4</v>
      </c>
      <c r="K2424" t="n">
        <v>12</v>
      </c>
      <c r="L2424" t="n">
        <v>12</v>
      </c>
      <c r="M2424" t="n">
        <v>12</v>
      </c>
      <c r="N2424" t="n">
        <v>12</v>
      </c>
      <c r="O2424" t="n">
        <v>20</v>
      </c>
      <c r="P2424" t="n">
        <v>4</v>
      </c>
      <c r="R2424" s="9" t="n">
        <v>0.04</v>
      </c>
      <c r="S2424" s="10" t="inlineStr">
        <is>
          <t>SÍ — integrante</t>
        </is>
      </c>
      <c r="T2424" s="11" t="inlineStr">
        <is>
          <t>B · INTEGRANTE</t>
        </is>
      </c>
      <c r="U2424" s="11" t="inlineStr">
        <is>
          <t>DEL BANCO (se hereda)</t>
        </is>
      </c>
      <c r="V2424" s="11" t="n"/>
      <c r="W2424" s="12" t="n"/>
      <c r="X2424" s="12" t="n"/>
    </row>
    <row r="2425" ht="15" customHeight="1">
      <c r="C2425" t="inlineStr">
        <is>
          <t>PAIS DEL DOMICILIO</t>
        </is>
      </c>
      <c r="D2425" t="inlineStr">
        <is>
          <t>F6</t>
        </is>
      </c>
      <c r="E2425" t="inlineStr">
        <is>
          <t>INHERENTE</t>
        </is>
      </c>
      <c r="F2425" t="inlineStr">
        <is>
          <t>COREA DEL NORTE</t>
        </is>
      </c>
      <c r="G2425" t="inlineStr">
        <is>
          <t>KP</t>
        </is>
      </c>
      <c r="H2425" t="n">
        <v>5</v>
      </c>
      <c r="I2425" t="n">
        <v>5</v>
      </c>
      <c r="J2425" t="n">
        <v>4</v>
      </c>
      <c r="K2425" t="n">
        <v>20</v>
      </c>
      <c r="L2425" t="n">
        <v>20</v>
      </c>
      <c r="M2425" t="n">
        <v>20</v>
      </c>
      <c r="N2425" t="n">
        <v>20</v>
      </c>
      <c r="O2425" t="n">
        <v>20</v>
      </c>
      <c r="P2425" t="n">
        <v>4</v>
      </c>
      <c r="Q2425" t="inlineStr">
        <is>
          <t>PROHIBITIVO</t>
        </is>
      </c>
      <c r="R2425" s="9" t="n">
        <v>0.04</v>
      </c>
      <c r="S2425" s="10" t="inlineStr">
        <is>
          <t>SÍ — integrante</t>
        </is>
      </c>
      <c r="T2425" s="11" t="inlineStr">
        <is>
          <t>B · INTEGRANTE</t>
        </is>
      </c>
      <c r="U2425" s="11" t="inlineStr">
        <is>
          <t>DEL BANCO (se hereda)</t>
        </is>
      </c>
      <c r="V2425" s="11" t="n"/>
      <c r="W2425" s="12" t="n"/>
      <c r="X2425" s="12" t="n"/>
    </row>
    <row r="2426" ht="15" customHeight="1">
      <c r="C2426" t="inlineStr">
        <is>
          <t>PAIS DEL DOMICILIO</t>
        </is>
      </c>
      <c r="D2426" t="inlineStr">
        <is>
          <t>F6</t>
        </is>
      </c>
      <c r="E2426" t="inlineStr">
        <is>
          <t>INHERENTE</t>
        </is>
      </c>
      <c r="F2426" t="inlineStr">
        <is>
          <t>COREA DEL SUR</t>
        </is>
      </c>
      <c r="G2426" t="inlineStr">
        <is>
          <t>KR</t>
        </is>
      </c>
      <c r="H2426" t="n">
        <v>1</v>
      </c>
      <c r="I2426" t="n">
        <v>1</v>
      </c>
      <c r="J2426" t="n">
        <v>4</v>
      </c>
      <c r="K2426" t="n">
        <v>4</v>
      </c>
      <c r="L2426" t="n">
        <v>4</v>
      </c>
      <c r="M2426" t="n">
        <v>4</v>
      </c>
      <c r="N2426" t="n">
        <v>4</v>
      </c>
      <c r="O2426" t="n">
        <v>20</v>
      </c>
      <c r="P2426" t="n">
        <v>4</v>
      </c>
      <c r="R2426" s="9" t="n">
        <v>0.04</v>
      </c>
      <c r="S2426" s="10" t="inlineStr">
        <is>
          <t>SÍ — integrante</t>
        </is>
      </c>
      <c r="T2426" s="11" t="inlineStr">
        <is>
          <t>B · INTEGRANTE</t>
        </is>
      </c>
      <c r="U2426" s="11" t="inlineStr">
        <is>
          <t>DEL BANCO (se hereda)</t>
        </is>
      </c>
      <c r="V2426" s="11" t="n"/>
      <c r="W2426" s="12" t="n"/>
      <c r="X2426" s="12" t="n"/>
    </row>
    <row r="2427" ht="15" customHeight="1">
      <c r="C2427" t="inlineStr">
        <is>
          <t>PAIS DEL DOMICILIO</t>
        </is>
      </c>
      <c r="D2427" t="inlineStr">
        <is>
          <t>F6</t>
        </is>
      </c>
      <c r="E2427" t="inlineStr">
        <is>
          <t>INHERENTE</t>
        </is>
      </c>
      <c r="F2427" t="inlineStr">
        <is>
          <t>KUWAIT</t>
        </is>
      </c>
      <c r="G2427" t="inlineStr">
        <is>
          <t>KW</t>
        </is>
      </c>
      <c r="H2427" t="n">
        <v>4</v>
      </c>
      <c r="I2427" t="n">
        <v>4</v>
      </c>
      <c r="J2427" t="n">
        <v>4</v>
      </c>
      <c r="K2427" t="n">
        <v>16</v>
      </c>
      <c r="L2427" t="n">
        <v>16</v>
      </c>
      <c r="M2427" t="n">
        <v>16</v>
      </c>
      <c r="N2427" t="n">
        <v>16</v>
      </c>
      <c r="O2427" t="n">
        <v>20</v>
      </c>
      <c r="P2427" t="n">
        <v>4</v>
      </c>
      <c r="Q2427" t="inlineStr">
        <is>
          <t>DETERMINANTE</t>
        </is>
      </c>
      <c r="R2427" s="9" t="n">
        <v>0.04</v>
      </c>
      <c r="S2427" s="10" t="inlineStr">
        <is>
          <t>SÍ — integrante</t>
        </is>
      </c>
      <c r="T2427" s="11" t="inlineStr">
        <is>
          <t>B · INTEGRANTE</t>
        </is>
      </c>
      <c r="U2427" s="11" t="inlineStr">
        <is>
          <t>DEL BANCO (se hereda)</t>
        </is>
      </c>
      <c r="V2427" s="11" t="n"/>
      <c r="W2427" s="12" t="n"/>
      <c r="X2427" s="12" t="n"/>
    </row>
    <row r="2428" ht="15" customHeight="1">
      <c r="C2428" t="inlineStr">
        <is>
          <t>PAIS DEL DOMICILIO</t>
        </is>
      </c>
      <c r="D2428" t="inlineStr">
        <is>
          <t>F6</t>
        </is>
      </c>
      <c r="E2428" t="inlineStr">
        <is>
          <t>INHERENTE</t>
        </is>
      </c>
      <c r="F2428" t="inlineStr">
        <is>
          <t>ISLAS CAIMAN</t>
        </is>
      </c>
      <c r="G2428" t="inlineStr">
        <is>
          <t>KY</t>
        </is>
      </c>
      <c r="H2428" t="n">
        <v>3</v>
      </c>
      <c r="I2428" t="n">
        <v>3</v>
      </c>
      <c r="J2428" t="n">
        <v>4</v>
      </c>
      <c r="K2428" t="n">
        <v>12</v>
      </c>
      <c r="L2428" t="n">
        <v>12</v>
      </c>
      <c r="M2428" t="n">
        <v>12</v>
      </c>
      <c r="N2428" t="n">
        <v>12</v>
      </c>
      <c r="O2428" t="n">
        <v>20</v>
      </c>
      <c r="P2428" t="n">
        <v>4</v>
      </c>
      <c r="R2428" s="9" t="n">
        <v>0.04</v>
      </c>
      <c r="S2428" s="10" t="inlineStr">
        <is>
          <t>SÍ — integrante</t>
        </is>
      </c>
      <c r="T2428" s="11" t="inlineStr">
        <is>
          <t>B · INTEGRANTE</t>
        </is>
      </c>
      <c r="U2428" s="11" t="inlineStr">
        <is>
          <t>DEL BANCO (se hereda)</t>
        </is>
      </c>
      <c r="V2428" s="11" t="n"/>
      <c r="W2428" s="12" t="n"/>
      <c r="X2428" s="12" t="n"/>
    </row>
    <row r="2429" ht="15" customHeight="1">
      <c r="C2429" t="inlineStr">
        <is>
          <t>PAIS DEL DOMICILIO</t>
        </is>
      </c>
      <c r="D2429" t="inlineStr">
        <is>
          <t>F6</t>
        </is>
      </c>
      <c r="E2429" t="inlineStr">
        <is>
          <t>INHERENTE</t>
        </is>
      </c>
      <c r="F2429" t="inlineStr">
        <is>
          <t>KAZAKSTAN</t>
        </is>
      </c>
      <c r="G2429" t="inlineStr">
        <is>
          <t>KZ</t>
        </is>
      </c>
      <c r="H2429" t="n">
        <v>2</v>
      </c>
      <c r="I2429" t="n">
        <v>2</v>
      </c>
      <c r="J2429" t="n">
        <v>4</v>
      </c>
      <c r="K2429" t="n">
        <v>8</v>
      </c>
      <c r="L2429" t="n">
        <v>8</v>
      </c>
      <c r="M2429" t="n">
        <v>8</v>
      </c>
      <c r="N2429" t="n">
        <v>8</v>
      </c>
      <c r="O2429" t="n">
        <v>20</v>
      </c>
      <c r="P2429" t="n">
        <v>4</v>
      </c>
      <c r="R2429" s="9" t="n">
        <v>0.04</v>
      </c>
      <c r="S2429" s="10" t="inlineStr">
        <is>
          <t>SÍ — integrante</t>
        </is>
      </c>
      <c r="T2429" s="11" t="inlineStr">
        <is>
          <t>B · INTEGRANTE</t>
        </is>
      </c>
      <c r="U2429" s="11" t="inlineStr">
        <is>
          <t>DEL BANCO (se hereda)</t>
        </is>
      </c>
      <c r="V2429" s="11" t="n"/>
      <c r="W2429" s="12" t="n"/>
      <c r="X2429" s="12" t="n"/>
    </row>
    <row r="2430" ht="15" customHeight="1">
      <c r="C2430" t="inlineStr">
        <is>
          <t>PAIS DEL DOMICILIO</t>
        </is>
      </c>
      <c r="D2430" t="inlineStr">
        <is>
          <t>F6</t>
        </is>
      </c>
      <c r="E2430" t="inlineStr">
        <is>
          <t>INHERENTE</t>
        </is>
      </c>
      <c r="F2430" t="inlineStr">
        <is>
          <t>LAOS</t>
        </is>
      </c>
      <c r="G2430" t="inlineStr">
        <is>
          <t>LA</t>
        </is>
      </c>
      <c r="H2430" t="n">
        <v>4</v>
      </c>
      <c r="I2430" t="n">
        <v>4</v>
      </c>
      <c r="J2430" t="n">
        <v>4</v>
      </c>
      <c r="K2430" t="n">
        <v>16</v>
      </c>
      <c r="L2430" t="n">
        <v>16</v>
      </c>
      <c r="M2430" t="n">
        <v>16</v>
      </c>
      <c r="N2430" t="n">
        <v>16</v>
      </c>
      <c r="O2430" t="n">
        <v>20</v>
      </c>
      <c r="P2430" t="n">
        <v>4</v>
      </c>
      <c r="Q2430" t="inlineStr">
        <is>
          <t>DETERMINANTE</t>
        </is>
      </c>
      <c r="R2430" s="9" t="n">
        <v>0.04</v>
      </c>
      <c r="S2430" s="10" t="inlineStr">
        <is>
          <t>SÍ — integrante</t>
        </is>
      </c>
      <c r="T2430" s="11" t="inlineStr">
        <is>
          <t>B · INTEGRANTE</t>
        </is>
      </c>
      <c r="U2430" s="11" t="inlineStr">
        <is>
          <t>DEL BANCO (se hereda)</t>
        </is>
      </c>
      <c r="V2430" s="11" t="n"/>
      <c r="W2430" s="12" t="n"/>
      <c r="X2430" s="12" t="n"/>
    </row>
    <row r="2431" ht="15" customHeight="1">
      <c r="C2431" t="inlineStr">
        <is>
          <t>PAIS DEL DOMICILIO</t>
        </is>
      </c>
      <c r="D2431" t="inlineStr">
        <is>
          <t>F6</t>
        </is>
      </c>
      <c r="E2431" t="inlineStr">
        <is>
          <t>INHERENTE</t>
        </is>
      </c>
      <c r="F2431" t="inlineStr">
        <is>
          <t>LIBANO</t>
        </is>
      </c>
      <c r="G2431" t="inlineStr">
        <is>
          <t>LB</t>
        </is>
      </c>
      <c r="H2431" t="n">
        <v>4</v>
      </c>
      <c r="I2431" t="n">
        <v>4</v>
      </c>
      <c r="J2431" t="n">
        <v>4</v>
      </c>
      <c r="K2431" t="n">
        <v>16</v>
      </c>
      <c r="L2431" t="n">
        <v>16</v>
      </c>
      <c r="M2431" t="n">
        <v>16</v>
      </c>
      <c r="N2431" t="n">
        <v>16</v>
      </c>
      <c r="O2431" t="n">
        <v>20</v>
      </c>
      <c r="P2431" t="n">
        <v>4</v>
      </c>
      <c r="Q2431" t="inlineStr">
        <is>
          <t>DETERMINANTE</t>
        </is>
      </c>
      <c r="R2431" s="9" t="n">
        <v>0.04</v>
      </c>
      <c r="S2431" s="10" t="inlineStr">
        <is>
          <t>SÍ — integrante</t>
        </is>
      </c>
      <c r="T2431" s="11" t="inlineStr">
        <is>
          <t>B · INTEGRANTE</t>
        </is>
      </c>
      <c r="U2431" s="11" t="inlineStr">
        <is>
          <t>DEL BANCO (se hereda)</t>
        </is>
      </c>
      <c r="V2431" s="11" t="n"/>
      <c r="W2431" s="12" t="n"/>
      <c r="X2431" s="12" t="n"/>
    </row>
    <row r="2432" ht="15" customHeight="1">
      <c r="C2432" t="inlineStr">
        <is>
          <t>PAIS DEL DOMICILIO</t>
        </is>
      </c>
      <c r="D2432" t="inlineStr">
        <is>
          <t>F6</t>
        </is>
      </c>
      <c r="E2432" t="inlineStr">
        <is>
          <t>INHERENTE</t>
        </is>
      </c>
      <c r="F2432" t="inlineStr">
        <is>
          <t>SANTA LUCIA</t>
        </is>
      </c>
      <c r="G2432" t="inlineStr">
        <is>
          <t>LC</t>
        </is>
      </c>
      <c r="H2432" t="n">
        <v>3</v>
      </c>
      <c r="I2432" t="n">
        <v>3</v>
      </c>
      <c r="J2432" t="n">
        <v>4</v>
      </c>
      <c r="K2432" t="n">
        <v>12</v>
      </c>
      <c r="L2432" t="n">
        <v>12</v>
      </c>
      <c r="M2432" t="n">
        <v>12</v>
      </c>
      <c r="N2432" t="n">
        <v>12</v>
      </c>
      <c r="O2432" t="n">
        <v>20</v>
      </c>
      <c r="P2432" t="n">
        <v>4</v>
      </c>
      <c r="R2432" s="9" t="n">
        <v>0.04</v>
      </c>
      <c r="S2432" s="10" t="inlineStr">
        <is>
          <t>SÍ — integrante</t>
        </is>
      </c>
      <c r="T2432" s="11" t="inlineStr">
        <is>
          <t>B · INTEGRANTE</t>
        </is>
      </c>
      <c r="U2432" s="11" t="inlineStr">
        <is>
          <t>DEL BANCO (se hereda)</t>
        </is>
      </c>
      <c r="V2432" s="11" t="n"/>
      <c r="W2432" s="12" t="n"/>
      <c r="X2432" s="12" t="n"/>
    </row>
    <row r="2433" ht="15" customHeight="1">
      <c r="C2433" t="inlineStr">
        <is>
          <t>PAIS DEL DOMICILIO</t>
        </is>
      </c>
      <c r="D2433" t="inlineStr">
        <is>
          <t>F6</t>
        </is>
      </c>
      <c r="E2433" t="inlineStr">
        <is>
          <t>INHERENTE</t>
        </is>
      </c>
      <c r="F2433" t="inlineStr">
        <is>
          <t>LIECHTENSTEIN</t>
        </is>
      </c>
      <c r="G2433" t="inlineStr">
        <is>
          <t>LI</t>
        </is>
      </c>
      <c r="H2433" t="n">
        <v>3</v>
      </c>
      <c r="I2433" t="n">
        <v>3</v>
      </c>
      <c r="J2433" t="n">
        <v>4</v>
      </c>
      <c r="K2433" t="n">
        <v>12</v>
      </c>
      <c r="L2433" t="n">
        <v>12</v>
      </c>
      <c r="M2433" t="n">
        <v>12</v>
      </c>
      <c r="N2433" t="n">
        <v>12</v>
      </c>
      <c r="O2433" t="n">
        <v>20</v>
      </c>
      <c r="P2433" t="n">
        <v>4</v>
      </c>
      <c r="R2433" s="9" t="n">
        <v>0.04</v>
      </c>
      <c r="S2433" s="10" t="inlineStr">
        <is>
          <t>SÍ — integrante</t>
        </is>
      </c>
      <c r="T2433" s="11" t="inlineStr">
        <is>
          <t>B · INTEGRANTE</t>
        </is>
      </c>
      <c r="U2433" s="11" t="inlineStr">
        <is>
          <t>DEL BANCO (se hereda)</t>
        </is>
      </c>
      <c r="V2433" s="11" t="n"/>
      <c r="W2433" s="12" t="n"/>
      <c r="X2433" s="12" t="n"/>
    </row>
    <row r="2434" ht="15" customHeight="1">
      <c r="C2434" t="inlineStr">
        <is>
          <t>PAIS DEL DOMICILIO</t>
        </is>
      </c>
      <c r="D2434" t="inlineStr">
        <is>
          <t>F6</t>
        </is>
      </c>
      <c r="E2434" t="inlineStr">
        <is>
          <t>INHERENTE</t>
        </is>
      </c>
      <c r="F2434" t="inlineStr">
        <is>
          <t>SRI LANKA</t>
        </is>
      </c>
      <c r="G2434" t="inlineStr">
        <is>
          <t>LK</t>
        </is>
      </c>
      <c r="H2434" t="n">
        <v>2</v>
      </c>
      <c r="I2434" t="n">
        <v>2</v>
      </c>
      <c r="J2434" t="n">
        <v>4</v>
      </c>
      <c r="K2434" t="n">
        <v>8</v>
      </c>
      <c r="L2434" t="n">
        <v>8</v>
      </c>
      <c r="M2434" t="n">
        <v>8</v>
      </c>
      <c r="N2434" t="n">
        <v>8</v>
      </c>
      <c r="O2434" t="n">
        <v>20</v>
      </c>
      <c r="P2434" t="n">
        <v>4</v>
      </c>
      <c r="R2434" s="9" t="n">
        <v>0.04</v>
      </c>
      <c r="S2434" s="10" t="inlineStr">
        <is>
          <t>SÍ — integrante</t>
        </is>
      </c>
      <c r="T2434" s="11" t="inlineStr">
        <is>
          <t>B · INTEGRANTE</t>
        </is>
      </c>
      <c r="U2434" s="11" t="inlineStr">
        <is>
          <t>DEL BANCO (se hereda)</t>
        </is>
      </c>
      <c r="V2434" s="11" t="n"/>
      <c r="W2434" s="12" t="n"/>
      <c r="X2434" s="12" t="n"/>
    </row>
    <row r="2435" ht="15" customHeight="1">
      <c r="C2435" t="inlineStr">
        <is>
          <t>PAIS DEL DOMICILIO</t>
        </is>
      </c>
      <c r="D2435" t="inlineStr">
        <is>
          <t>F6</t>
        </is>
      </c>
      <c r="E2435" t="inlineStr">
        <is>
          <t>INHERENTE</t>
        </is>
      </c>
      <c r="F2435" t="inlineStr">
        <is>
          <t>LIBERIA</t>
        </is>
      </c>
      <c r="G2435" t="inlineStr">
        <is>
          <t>LR</t>
        </is>
      </c>
      <c r="H2435" t="n">
        <v>3</v>
      </c>
      <c r="I2435" t="n">
        <v>3</v>
      </c>
      <c r="J2435" t="n">
        <v>4</v>
      </c>
      <c r="K2435" t="n">
        <v>12</v>
      </c>
      <c r="L2435" t="n">
        <v>12</v>
      </c>
      <c r="M2435" t="n">
        <v>12</v>
      </c>
      <c r="N2435" t="n">
        <v>12</v>
      </c>
      <c r="O2435" t="n">
        <v>20</v>
      </c>
      <c r="P2435" t="n">
        <v>4</v>
      </c>
      <c r="R2435" s="9" t="n">
        <v>0.04</v>
      </c>
      <c r="S2435" s="10" t="inlineStr">
        <is>
          <t>SÍ — integrante</t>
        </is>
      </c>
      <c r="T2435" s="11" t="inlineStr">
        <is>
          <t>B · INTEGRANTE</t>
        </is>
      </c>
      <c r="U2435" s="11" t="inlineStr">
        <is>
          <t>DEL BANCO (se hereda)</t>
        </is>
      </c>
      <c r="V2435" s="11" t="n"/>
      <c r="W2435" s="12" t="n"/>
      <c r="X2435" s="12" t="n"/>
    </row>
    <row r="2436" ht="15" customHeight="1">
      <c r="C2436" t="inlineStr">
        <is>
          <t>PAIS DEL DOMICILIO</t>
        </is>
      </c>
      <c r="D2436" t="inlineStr">
        <is>
          <t>F6</t>
        </is>
      </c>
      <c r="E2436" t="inlineStr">
        <is>
          <t>INHERENTE</t>
        </is>
      </c>
      <c r="F2436" t="inlineStr">
        <is>
          <t>LESOTHO</t>
        </is>
      </c>
      <c r="G2436" t="inlineStr">
        <is>
          <t>LS</t>
        </is>
      </c>
      <c r="H2436" t="n">
        <v>3</v>
      </c>
      <c r="I2436" t="n">
        <v>3</v>
      </c>
      <c r="J2436" t="n">
        <v>4</v>
      </c>
      <c r="K2436" t="n">
        <v>12</v>
      </c>
      <c r="L2436" t="n">
        <v>12</v>
      </c>
      <c r="M2436" t="n">
        <v>12</v>
      </c>
      <c r="N2436" t="n">
        <v>12</v>
      </c>
      <c r="O2436" t="n">
        <v>20</v>
      </c>
      <c r="P2436" t="n">
        <v>4</v>
      </c>
      <c r="R2436" s="9" t="n">
        <v>0.04</v>
      </c>
      <c r="S2436" s="10" t="inlineStr">
        <is>
          <t>SÍ — integrante</t>
        </is>
      </c>
      <c r="T2436" s="11" t="inlineStr">
        <is>
          <t>B · INTEGRANTE</t>
        </is>
      </c>
      <c r="U2436" s="11" t="inlineStr">
        <is>
          <t>DEL BANCO (se hereda)</t>
        </is>
      </c>
      <c r="V2436" s="11" t="n"/>
      <c r="W2436" s="12" t="n"/>
      <c r="X2436" s="12" t="n"/>
    </row>
    <row r="2437" ht="15" customHeight="1">
      <c r="C2437" t="inlineStr">
        <is>
          <t>PAIS DEL DOMICILIO</t>
        </is>
      </c>
      <c r="D2437" t="inlineStr">
        <is>
          <t>F6</t>
        </is>
      </c>
      <c r="E2437" t="inlineStr">
        <is>
          <t>INHERENTE</t>
        </is>
      </c>
      <c r="F2437" t="inlineStr">
        <is>
          <t>LITUANIA</t>
        </is>
      </c>
      <c r="G2437" t="inlineStr">
        <is>
          <t>LT</t>
        </is>
      </c>
      <c r="H2437" t="n">
        <v>1</v>
      </c>
      <c r="I2437" t="n">
        <v>1</v>
      </c>
      <c r="J2437" t="n">
        <v>4</v>
      </c>
      <c r="K2437" t="n">
        <v>4</v>
      </c>
      <c r="L2437" t="n">
        <v>4</v>
      </c>
      <c r="M2437" t="n">
        <v>4</v>
      </c>
      <c r="N2437" t="n">
        <v>4</v>
      </c>
      <c r="O2437" t="n">
        <v>20</v>
      </c>
      <c r="P2437" t="n">
        <v>4</v>
      </c>
      <c r="R2437" s="9" t="n">
        <v>0.04</v>
      </c>
      <c r="S2437" s="10" t="inlineStr">
        <is>
          <t>SÍ — integrante</t>
        </is>
      </c>
      <c r="T2437" s="11" t="inlineStr">
        <is>
          <t>B · INTEGRANTE</t>
        </is>
      </c>
      <c r="U2437" s="11" t="inlineStr">
        <is>
          <t>DEL BANCO (se hereda)</t>
        </is>
      </c>
      <c r="V2437" s="11" t="n"/>
      <c r="W2437" s="12" t="n"/>
      <c r="X2437" s="12" t="n"/>
    </row>
    <row r="2438" ht="15" customHeight="1">
      <c r="C2438" t="inlineStr">
        <is>
          <t>PAIS DEL DOMICILIO</t>
        </is>
      </c>
      <c r="D2438" t="inlineStr">
        <is>
          <t>F6</t>
        </is>
      </c>
      <c r="E2438" t="inlineStr">
        <is>
          <t>INHERENTE</t>
        </is>
      </c>
      <c r="F2438" t="inlineStr">
        <is>
          <t>LUXEMBURGO</t>
        </is>
      </c>
      <c r="G2438" t="inlineStr">
        <is>
          <t>LU</t>
        </is>
      </c>
      <c r="H2438" t="n">
        <v>3</v>
      </c>
      <c r="I2438" t="n">
        <v>3</v>
      </c>
      <c r="J2438" t="n">
        <v>4</v>
      </c>
      <c r="K2438" t="n">
        <v>12</v>
      </c>
      <c r="L2438" t="n">
        <v>12</v>
      </c>
      <c r="M2438" t="n">
        <v>12</v>
      </c>
      <c r="N2438" t="n">
        <v>12</v>
      </c>
      <c r="O2438" t="n">
        <v>20</v>
      </c>
      <c r="P2438" t="n">
        <v>4</v>
      </c>
      <c r="R2438" s="9" t="n">
        <v>0.04</v>
      </c>
      <c r="S2438" s="10" t="inlineStr">
        <is>
          <t>SÍ — integrante</t>
        </is>
      </c>
      <c r="T2438" s="11" t="inlineStr">
        <is>
          <t>B · INTEGRANTE</t>
        </is>
      </c>
      <c r="U2438" s="11" t="inlineStr">
        <is>
          <t>DEL BANCO (se hereda)</t>
        </is>
      </c>
      <c r="V2438" s="11" t="n"/>
      <c r="W2438" s="12" t="n"/>
      <c r="X2438" s="12" t="n"/>
    </row>
    <row r="2439" ht="15" customHeight="1">
      <c r="C2439" t="inlineStr">
        <is>
          <t>PAIS DEL DOMICILIO</t>
        </is>
      </c>
      <c r="D2439" t="inlineStr">
        <is>
          <t>F6</t>
        </is>
      </c>
      <c r="E2439" t="inlineStr">
        <is>
          <t>INHERENTE</t>
        </is>
      </c>
      <c r="F2439" t="inlineStr">
        <is>
          <t>LATVIA</t>
        </is>
      </c>
      <c r="G2439" t="inlineStr">
        <is>
          <t>LV</t>
        </is>
      </c>
      <c r="H2439" t="n">
        <v>1</v>
      </c>
      <c r="I2439" t="n">
        <v>1</v>
      </c>
      <c r="J2439" t="n">
        <v>4</v>
      </c>
      <c r="K2439" t="n">
        <v>4</v>
      </c>
      <c r="L2439" t="n">
        <v>4</v>
      </c>
      <c r="M2439" t="n">
        <v>4</v>
      </c>
      <c r="N2439" t="n">
        <v>4</v>
      </c>
      <c r="O2439" t="n">
        <v>20</v>
      </c>
      <c r="P2439" t="n">
        <v>4</v>
      </c>
      <c r="R2439" s="9" t="n">
        <v>0.04</v>
      </c>
      <c r="S2439" s="10" t="inlineStr">
        <is>
          <t>SÍ — integrante</t>
        </is>
      </c>
      <c r="T2439" s="11" t="inlineStr">
        <is>
          <t>B · INTEGRANTE</t>
        </is>
      </c>
      <c r="U2439" s="11" t="inlineStr">
        <is>
          <t>DEL BANCO (se hereda)</t>
        </is>
      </c>
      <c r="V2439" s="11" t="n"/>
      <c r="W2439" s="12" t="n"/>
      <c r="X2439" s="12" t="n"/>
    </row>
    <row r="2440" ht="15" customHeight="1">
      <c r="C2440" t="inlineStr">
        <is>
          <t>PAIS DEL DOMICILIO</t>
        </is>
      </c>
      <c r="D2440" t="inlineStr">
        <is>
          <t>F6</t>
        </is>
      </c>
      <c r="E2440" t="inlineStr">
        <is>
          <t>INHERENTE</t>
        </is>
      </c>
      <c r="F2440" t="inlineStr">
        <is>
          <t>LIBIA</t>
        </is>
      </c>
      <c r="G2440" t="inlineStr">
        <is>
          <t>LY</t>
        </is>
      </c>
      <c r="H2440" t="n">
        <v>4</v>
      </c>
      <c r="I2440" t="n">
        <v>4</v>
      </c>
      <c r="J2440" t="n">
        <v>4</v>
      </c>
      <c r="K2440" t="n">
        <v>16</v>
      </c>
      <c r="L2440" t="n">
        <v>16</v>
      </c>
      <c r="M2440" t="n">
        <v>16</v>
      </c>
      <c r="N2440" t="n">
        <v>16</v>
      </c>
      <c r="O2440" t="n">
        <v>20</v>
      </c>
      <c r="P2440" t="n">
        <v>4</v>
      </c>
      <c r="R2440" s="9" t="n">
        <v>0.04</v>
      </c>
      <c r="S2440" s="10" t="inlineStr">
        <is>
          <t>SÍ — integrante</t>
        </is>
      </c>
      <c r="T2440" s="11" t="inlineStr">
        <is>
          <t>B · INTEGRANTE</t>
        </is>
      </c>
      <c r="U2440" s="11" t="inlineStr">
        <is>
          <t>DEL BANCO (se hereda)</t>
        </is>
      </c>
      <c r="V2440" s="11" t="n"/>
      <c r="W2440" s="12" t="n"/>
      <c r="X2440" s="12" t="n"/>
    </row>
    <row r="2441" ht="15" customHeight="1">
      <c r="C2441" t="inlineStr">
        <is>
          <t>PAIS DEL DOMICILIO</t>
        </is>
      </c>
      <c r="D2441" t="inlineStr">
        <is>
          <t>F6</t>
        </is>
      </c>
      <c r="E2441" t="inlineStr">
        <is>
          <t>INHERENTE</t>
        </is>
      </c>
      <c r="F2441" t="inlineStr">
        <is>
          <t>MARRUECOS</t>
        </is>
      </c>
      <c r="G2441" t="inlineStr">
        <is>
          <t>MA</t>
        </is>
      </c>
      <c r="H2441" t="n">
        <v>2</v>
      </c>
      <c r="I2441" t="n">
        <v>2</v>
      </c>
      <c r="J2441" t="n">
        <v>4</v>
      </c>
      <c r="K2441" t="n">
        <v>8</v>
      </c>
      <c r="L2441" t="n">
        <v>8</v>
      </c>
      <c r="M2441" t="n">
        <v>8</v>
      </c>
      <c r="N2441" t="n">
        <v>8</v>
      </c>
      <c r="O2441" t="n">
        <v>20</v>
      </c>
      <c r="P2441" t="n">
        <v>4</v>
      </c>
      <c r="R2441" s="9" t="n">
        <v>0.04</v>
      </c>
      <c r="S2441" s="10" t="inlineStr">
        <is>
          <t>SÍ — integrante</t>
        </is>
      </c>
      <c r="T2441" s="11" t="inlineStr">
        <is>
          <t>B · INTEGRANTE</t>
        </is>
      </c>
      <c r="U2441" s="11" t="inlineStr">
        <is>
          <t>DEL BANCO (se hereda)</t>
        </is>
      </c>
      <c r="V2441" s="11" t="n"/>
      <c r="W2441" s="12" t="n"/>
      <c r="X2441" s="12" t="n"/>
    </row>
    <row r="2442" ht="15" customHeight="1">
      <c r="C2442" t="inlineStr">
        <is>
          <t>PAIS DEL DOMICILIO</t>
        </is>
      </c>
      <c r="D2442" t="inlineStr">
        <is>
          <t>F6</t>
        </is>
      </c>
      <c r="E2442" t="inlineStr">
        <is>
          <t>INHERENTE</t>
        </is>
      </c>
      <c r="F2442" t="inlineStr">
        <is>
          <t>MONACO</t>
        </is>
      </c>
      <c r="G2442" t="inlineStr">
        <is>
          <t>MC</t>
        </is>
      </c>
      <c r="H2442" t="n">
        <v>4</v>
      </c>
      <c r="I2442" t="n">
        <v>4</v>
      </c>
      <c r="J2442" t="n">
        <v>4</v>
      </c>
      <c r="K2442" t="n">
        <v>16</v>
      </c>
      <c r="L2442" t="n">
        <v>16</v>
      </c>
      <c r="M2442" t="n">
        <v>16</v>
      </c>
      <c r="N2442" t="n">
        <v>16</v>
      </c>
      <c r="O2442" t="n">
        <v>20</v>
      </c>
      <c r="P2442" t="n">
        <v>4</v>
      </c>
      <c r="Q2442" t="inlineStr">
        <is>
          <t>DETERMINANTE</t>
        </is>
      </c>
      <c r="R2442" s="9" t="n">
        <v>0.04</v>
      </c>
      <c r="S2442" s="10" t="inlineStr">
        <is>
          <t>SÍ — integrante</t>
        </is>
      </c>
      <c r="T2442" s="11" t="inlineStr">
        <is>
          <t>B · INTEGRANTE</t>
        </is>
      </c>
      <c r="U2442" s="11" t="inlineStr">
        <is>
          <t>DEL BANCO (se hereda)</t>
        </is>
      </c>
      <c r="V2442" s="11" t="n"/>
      <c r="W2442" s="12" t="n"/>
      <c r="X2442" s="12" t="n"/>
    </row>
    <row r="2443" ht="15" customHeight="1">
      <c r="C2443" t="inlineStr">
        <is>
          <t>PAIS DEL DOMICILIO</t>
        </is>
      </c>
      <c r="D2443" t="inlineStr">
        <is>
          <t>F6</t>
        </is>
      </c>
      <c r="E2443" t="inlineStr">
        <is>
          <t>INHERENTE</t>
        </is>
      </c>
      <c r="F2443" t="inlineStr">
        <is>
          <t>MOLDAVIA, REP.</t>
        </is>
      </c>
      <c r="G2443" t="inlineStr">
        <is>
          <t>MD</t>
        </is>
      </c>
      <c r="H2443" t="n">
        <v>2</v>
      </c>
      <c r="I2443" t="n">
        <v>2</v>
      </c>
      <c r="J2443" t="n">
        <v>4</v>
      </c>
      <c r="K2443" t="n">
        <v>8</v>
      </c>
      <c r="L2443" t="n">
        <v>8</v>
      </c>
      <c r="M2443" t="n">
        <v>8</v>
      </c>
      <c r="N2443" t="n">
        <v>8</v>
      </c>
      <c r="O2443" t="n">
        <v>20</v>
      </c>
      <c r="P2443" t="n">
        <v>4</v>
      </c>
      <c r="R2443" s="9" t="n">
        <v>0.04</v>
      </c>
      <c r="S2443" s="10" t="inlineStr">
        <is>
          <t>SÍ — integrante</t>
        </is>
      </c>
      <c r="T2443" s="11" t="inlineStr">
        <is>
          <t>B · INTEGRANTE</t>
        </is>
      </c>
      <c r="U2443" s="11" t="inlineStr">
        <is>
          <t>DEL BANCO (se hereda)</t>
        </is>
      </c>
      <c r="V2443" s="11" t="n"/>
      <c r="W2443" s="12" t="n"/>
      <c r="X2443" s="12" t="n"/>
    </row>
    <row r="2444" ht="15" customHeight="1">
      <c r="C2444" t="inlineStr">
        <is>
          <t>PAIS DEL DOMICILIO</t>
        </is>
      </c>
      <c r="D2444" t="inlineStr">
        <is>
          <t>F6</t>
        </is>
      </c>
      <c r="E2444" t="inlineStr">
        <is>
          <t>INHERENTE</t>
        </is>
      </c>
      <c r="F2444" t="inlineStr">
        <is>
          <t>MONTENEGRO</t>
        </is>
      </c>
      <c r="G2444" t="inlineStr">
        <is>
          <t>ME</t>
        </is>
      </c>
      <c r="H2444" t="n">
        <v>2</v>
      </c>
      <c r="I2444" t="n">
        <v>2</v>
      </c>
      <c r="J2444" t="n">
        <v>4</v>
      </c>
      <c r="K2444" t="n">
        <v>8</v>
      </c>
      <c r="L2444" t="n">
        <v>8</v>
      </c>
      <c r="M2444" t="n">
        <v>8</v>
      </c>
      <c r="N2444" t="n">
        <v>8</v>
      </c>
      <c r="O2444" t="n">
        <v>20</v>
      </c>
      <c r="P2444" t="n">
        <v>4</v>
      </c>
      <c r="R2444" s="9" t="n">
        <v>0.04</v>
      </c>
      <c r="S2444" s="10" t="inlineStr">
        <is>
          <t>SÍ — integrante</t>
        </is>
      </c>
      <c r="T2444" s="11" t="inlineStr">
        <is>
          <t>B · INTEGRANTE</t>
        </is>
      </c>
      <c r="U2444" s="11" t="inlineStr">
        <is>
          <t>DEL BANCO (se hereda)</t>
        </is>
      </c>
      <c r="V2444" s="11" t="n"/>
      <c r="W2444" s="12" t="n"/>
      <c r="X2444" s="12" t="n"/>
    </row>
    <row r="2445" ht="15" customHeight="1">
      <c r="C2445" t="inlineStr">
        <is>
          <t>PAIS DEL DOMICILIO</t>
        </is>
      </c>
      <c r="D2445" t="inlineStr">
        <is>
          <t>F6</t>
        </is>
      </c>
      <c r="E2445" t="inlineStr">
        <is>
          <t>INHERENTE</t>
        </is>
      </c>
      <c r="F2445" t="inlineStr">
        <is>
          <t>SAN MARTIN</t>
        </is>
      </c>
      <c r="G2445" t="inlineStr">
        <is>
          <t>MF</t>
        </is>
      </c>
      <c r="H2445" t="n">
        <v>1</v>
      </c>
      <c r="I2445" t="n">
        <v>1</v>
      </c>
      <c r="J2445" t="n">
        <v>4</v>
      </c>
      <c r="K2445" t="n">
        <v>4</v>
      </c>
      <c r="L2445" t="n">
        <v>4</v>
      </c>
      <c r="M2445" t="n">
        <v>4</v>
      </c>
      <c r="N2445" t="n">
        <v>4</v>
      </c>
      <c r="O2445" t="n">
        <v>20</v>
      </c>
      <c r="P2445" t="n">
        <v>4</v>
      </c>
      <c r="R2445" s="9" t="n">
        <v>0.04</v>
      </c>
      <c r="S2445" s="10" t="inlineStr">
        <is>
          <t>SÍ — integrante</t>
        </is>
      </c>
      <c r="T2445" s="11" t="inlineStr">
        <is>
          <t>B · INTEGRANTE</t>
        </is>
      </c>
      <c r="U2445" s="11" t="inlineStr">
        <is>
          <t>DEL BANCO (se hereda)</t>
        </is>
      </c>
      <c r="V2445" s="11" t="n"/>
      <c r="W2445" s="12" t="n"/>
      <c r="X2445" s="12" t="n"/>
    </row>
    <row r="2446" ht="15" customHeight="1">
      <c r="C2446" t="inlineStr">
        <is>
          <t>PAIS DEL DOMICILIO</t>
        </is>
      </c>
      <c r="D2446" t="inlineStr">
        <is>
          <t>F6</t>
        </is>
      </c>
      <c r="E2446" t="inlineStr">
        <is>
          <t>INHERENTE</t>
        </is>
      </c>
      <c r="F2446" t="inlineStr">
        <is>
          <t>MADAGASCAR</t>
        </is>
      </c>
      <c r="G2446" t="inlineStr">
        <is>
          <t>MG</t>
        </is>
      </c>
      <c r="H2446" t="n">
        <v>4</v>
      </c>
      <c r="I2446" t="n">
        <v>4</v>
      </c>
      <c r="J2446" t="n">
        <v>4</v>
      </c>
      <c r="K2446" t="n">
        <v>16</v>
      </c>
      <c r="L2446" t="n">
        <v>16</v>
      </c>
      <c r="M2446" t="n">
        <v>16</v>
      </c>
      <c r="N2446" t="n">
        <v>16</v>
      </c>
      <c r="O2446" t="n">
        <v>20</v>
      </c>
      <c r="P2446" t="n">
        <v>4</v>
      </c>
      <c r="R2446" s="9" t="n">
        <v>0.04</v>
      </c>
      <c r="S2446" s="10" t="inlineStr">
        <is>
          <t>SÍ — integrante</t>
        </is>
      </c>
      <c r="T2446" s="11" t="inlineStr">
        <is>
          <t>B · INTEGRANTE</t>
        </is>
      </c>
      <c r="U2446" s="11" t="inlineStr">
        <is>
          <t>DEL BANCO (se hereda)</t>
        </is>
      </c>
      <c r="V2446" s="11" t="n"/>
      <c r="W2446" s="12" t="n"/>
      <c r="X2446" s="12" t="n"/>
    </row>
    <row r="2447" ht="15" customHeight="1">
      <c r="C2447" t="inlineStr">
        <is>
          <t>PAIS DEL DOMICILIO</t>
        </is>
      </c>
      <c r="D2447" t="inlineStr">
        <is>
          <t>F6</t>
        </is>
      </c>
      <c r="E2447" t="inlineStr">
        <is>
          <t>INHERENTE</t>
        </is>
      </c>
      <c r="F2447" t="inlineStr">
        <is>
          <t>ISLAS MARSHALL</t>
        </is>
      </c>
      <c r="G2447" t="inlineStr">
        <is>
          <t>MH</t>
        </is>
      </c>
      <c r="H2447" t="n">
        <v>3</v>
      </c>
      <c r="I2447" t="n">
        <v>3</v>
      </c>
      <c r="J2447" t="n">
        <v>4</v>
      </c>
      <c r="K2447" t="n">
        <v>12</v>
      </c>
      <c r="L2447" t="n">
        <v>12</v>
      </c>
      <c r="M2447" t="n">
        <v>12</v>
      </c>
      <c r="N2447" t="n">
        <v>12</v>
      </c>
      <c r="O2447" t="n">
        <v>20</v>
      </c>
      <c r="P2447" t="n">
        <v>4</v>
      </c>
      <c r="R2447" s="9" t="n">
        <v>0.04</v>
      </c>
      <c r="S2447" s="10" t="inlineStr">
        <is>
          <t>SÍ — integrante</t>
        </is>
      </c>
      <c r="T2447" s="11" t="inlineStr">
        <is>
          <t>B · INTEGRANTE</t>
        </is>
      </c>
      <c r="U2447" s="11" t="inlineStr">
        <is>
          <t>DEL BANCO (se hereda)</t>
        </is>
      </c>
      <c r="V2447" s="11" t="n"/>
      <c r="W2447" s="12" t="n"/>
      <c r="X2447" s="12" t="n"/>
    </row>
    <row r="2448" ht="15" customHeight="1">
      <c r="C2448" t="inlineStr">
        <is>
          <t>PAIS DEL DOMICILIO</t>
        </is>
      </c>
      <c r="D2448" t="inlineStr">
        <is>
          <t>F6</t>
        </is>
      </c>
      <c r="E2448" t="inlineStr">
        <is>
          <t>INHERENTE</t>
        </is>
      </c>
      <c r="F2448" t="inlineStr">
        <is>
          <t>MACEDONIA</t>
        </is>
      </c>
      <c r="G2448" t="inlineStr">
        <is>
          <t>MK</t>
        </is>
      </c>
      <c r="H2448" t="n">
        <v>2</v>
      </c>
      <c r="I2448" t="n">
        <v>2</v>
      </c>
      <c r="J2448" t="n">
        <v>4</v>
      </c>
      <c r="K2448" t="n">
        <v>8</v>
      </c>
      <c r="L2448" t="n">
        <v>8</v>
      </c>
      <c r="M2448" t="n">
        <v>8</v>
      </c>
      <c r="N2448" t="n">
        <v>8</v>
      </c>
      <c r="O2448" t="n">
        <v>20</v>
      </c>
      <c r="P2448" t="n">
        <v>4</v>
      </c>
      <c r="R2448" s="9" t="n">
        <v>0.04</v>
      </c>
      <c r="S2448" s="10" t="inlineStr">
        <is>
          <t>SÍ — integrante</t>
        </is>
      </c>
      <c r="T2448" s="11" t="inlineStr">
        <is>
          <t>B · INTEGRANTE</t>
        </is>
      </c>
      <c r="U2448" s="11" t="inlineStr">
        <is>
          <t>DEL BANCO (se hereda)</t>
        </is>
      </c>
      <c r="V2448" s="11" t="n"/>
      <c r="W2448" s="12" t="n"/>
      <c r="X2448" s="12" t="n"/>
    </row>
    <row r="2449" ht="15" customHeight="1">
      <c r="C2449" t="inlineStr">
        <is>
          <t>PAIS DEL DOMICILIO</t>
        </is>
      </c>
      <c r="D2449" t="inlineStr">
        <is>
          <t>F6</t>
        </is>
      </c>
      <c r="E2449" t="inlineStr">
        <is>
          <t>INHERENTE</t>
        </is>
      </c>
      <c r="F2449" t="inlineStr">
        <is>
          <t>MALI</t>
        </is>
      </c>
      <c r="G2449" t="inlineStr">
        <is>
          <t>ML</t>
        </is>
      </c>
      <c r="H2449" t="n">
        <v>3</v>
      </c>
      <c r="I2449" t="n">
        <v>3</v>
      </c>
      <c r="J2449" t="n">
        <v>4</v>
      </c>
      <c r="K2449" t="n">
        <v>12</v>
      </c>
      <c r="L2449" t="n">
        <v>12</v>
      </c>
      <c r="M2449" t="n">
        <v>12</v>
      </c>
      <c r="N2449" t="n">
        <v>12</v>
      </c>
      <c r="O2449" t="n">
        <v>20</v>
      </c>
      <c r="P2449" t="n">
        <v>4</v>
      </c>
      <c r="R2449" s="9" t="n">
        <v>0.04</v>
      </c>
      <c r="S2449" s="10" t="inlineStr">
        <is>
          <t>SÍ — integrante</t>
        </is>
      </c>
      <c r="T2449" s="11" t="inlineStr">
        <is>
          <t>B · INTEGRANTE</t>
        </is>
      </c>
      <c r="U2449" s="11" t="inlineStr">
        <is>
          <t>DEL BANCO (se hereda)</t>
        </is>
      </c>
      <c r="V2449" s="11" t="n"/>
      <c r="W2449" s="12" t="n"/>
      <c r="X2449" s="12" t="n"/>
    </row>
    <row r="2450" ht="15" customHeight="1">
      <c r="C2450" t="inlineStr">
        <is>
          <t>PAIS DEL DOMICILIO</t>
        </is>
      </c>
      <c r="D2450" t="inlineStr">
        <is>
          <t>F6</t>
        </is>
      </c>
      <c r="E2450" t="inlineStr">
        <is>
          <t>INHERENTE</t>
        </is>
      </c>
      <c r="F2450" t="inlineStr">
        <is>
          <t>MYANMAR</t>
        </is>
      </c>
      <c r="G2450" t="inlineStr">
        <is>
          <t>MM</t>
        </is>
      </c>
      <c r="H2450" t="n">
        <v>5</v>
      </c>
      <c r="I2450" t="n">
        <v>5</v>
      </c>
      <c r="J2450" t="n">
        <v>4</v>
      </c>
      <c r="K2450" t="n">
        <v>20</v>
      </c>
      <c r="L2450" t="n">
        <v>20</v>
      </c>
      <c r="M2450" t="n">
        <v>20</v>
      </c>
      <c r="N2450" t="n">
        <v>20</v>
      </c>
      <c r="O2450" t="n">
        <v>20</v>
      </c>
      <c r="P2450" t="n">
        <v>4</v>
      </c>
      <c r="Q2450" t="inlineStr">
        <is>
          <t>PROHIBITIVO</t>
        </is>
      </c>
      <c r="R2450" s="9" t="n">
        <v>0.04</v>
      </c>
      <c r="S2450" s="10" t="inlineStr">
        <is>
          <t>SÍ — integrante</t>
        </is>
      </c>
      <c r="T2450" s="11" t="inlineStr">
        <is>
          <t>B · INTEGRANTE</t>
        </is>
      </c>
      <c r="U2450" s="11" t="inlineStr">
        <is>
          <t>DEL BANCO (se hereda)</t>
        </is>
      </c>
      <c r="V2450" s="11" t="n"/>
      <c r="W2450" s="12" t="n"/>
      <c r="X2450" s="12" t="n"/>
    </row>
    <row r="2451" ht="15" customHeight="1">
      <c r="C2451" t="inlineStr">
        <is>
          <t>PAIS DEL DOMICILIO</t>
        </is>
      </c>
      <c r="D2451" t="inlineStr">
        <is>
          <t>F6</t>
        </is>
      </c>
      <c r="E2451" t="inlineStr">
        <is>
          <t>INHERENTE</t>
        </is>
      </c>
      <c r="F2451" t="inlineStr">
        <is>
          <t>MONGOLIA</t>
        </is>
      </c>
      <c r="G2451" t="inlineStr">
        <is>
          <t>MN</t>
        </is>
      </c>
      <c r="H2451" t="n">
        <v>2</v>
      </c>
      <c r="I2451" t="n">
        <v>2</v>
      </c>
      <c r="J2451" t="n">
        <v>4</v>
      </c>
      <c r="K2451" t="n">
        <v>8</v>
      </c>
      <c r="L2451" t="n">
        <v>8</v>
      </c>
      <c r="M2451" t="n">
        <v>8</v>
      </c>
      <c r="N2451" t="n">
        <v>8</v>
      </c>
      <c r="O2451" t="n">
        <v>20</v>
      </c>
      <c r="P2451" t="n">
        <v>4</v>
      </c>
      <c r="R2451" s="9" t="n">
        <v>0.04</v>
      </c>
      <c r="S2451" s="10" t="inlineStr">
        <is>
          <t>SÍ — integrante</t>
        </is>
      </c>
      <c r="T2451" s="11" t="inlineStr">
        <is>
          <t>B · INTEGRANTE</t>
        </is>
      </c>
      <c r="U2451" s="11" t="inlineStr">
        <is>
          <t>DEL BANCO (se hereda)</t>
        </is>
      </c>
      <c r="V2451" s="11" t="n"/>
      <c r="W2451" s="12" t="n"/>
      <c r="X2451" s="12" t="n"/>
    </row>
    <row r="2452" ht="15" customHeight="1">
      <c r="C2452" t="inlineStr">
        <is>
          <t>PAIS DEL DOMICILIO</t>
        </is>
      </c>
      <c r="D2452" t="inlineStr">
        <is>
          <t>F6</t>
        </is>
      </c>
      <c r="E2452" t="inlineStr">
        <is>
          <t>INHERENTE</t>
        </is>
      </c>
      <c r="F2452" t="inlineStr">
        <is>
          <t>MACAO</t>
        </is>
      </c>
      <c r="G2452" t="inlineStr">
        <is>
          <t>MO</t>
        </is>
      </c>
      <c r="H2452" t="n">
        <v>3</v>
      </c>
      <c r="I2452" t="n">
        <v>3</v>
      </c>
      <c r="J2452" t="n">
        <v>4</v>
      </c>
      <c r="K2452" t="n">
        <v>12</v>
      </c>
      <c r="L2452" t="n">
        <v>12</v>
      </c>
      <c r="M2452" t="n">
        <v>12</v>
      </c>
      <c r="N2452" t="n">
        <v>12</v>
      </c>
      <c r="O2452" t="n">
        <v>20</v>
      </c>
      <c r="P2452" t="n">
        <v>4</v>
      </c>
      <c r="R2452" s="9" t="n">
        <v>0.04</v>
      </c>
      <c r="S2452" s="10" t="inlineStr">
        <is>
          <t>SÍ — integrante</t>
        </is>
      </c>
      <c r="T2452" s="11" t="inlineStr">
        <is>
          <t>B · INTEGRANTE</t>
        </is>
      </c>
      <c r="U2452" s="11" t="inlineStr">
        <is>
          <t>DEL BANCO (se hereda)</t>
        </is>
      </c>
      <c r="V2452" s="11" t="n"/>
      <c r="W2452" s="12" t="n"/>
      <c r="X2452" s="12" t="n"/>
    </row>
    <row r="2453" ht="15" customHeight="1">
      <c r="C2453" t="inlineStr">
        <is>
          <t>PAIS DEL DOMICILIO</t>
        </is>
      </c>
      <c r="D2453" t="inlineStr">
        <is>
          <t>F6</t>
        </is>
      </c>
      <c r="E2453" t="inlineStr">
        <is>
          <t>INHERENTE</t>
        </is>
      </c>
      <c r="F2453" t="inlineStr">
        <is>
          <t>ISLAS MARIANAS</t>
        </is>
      </c>
      <c r="G2453" t="inlineStr">
        <is>
          <t>MP</t>
        </is>
      </c>
      <c r="H2453" t="n">
        <v>1</v>
      </c>
      <c r="I2453" t="n">
        <v>1</v>
      </c>
      <c r="J2453" t="n">
        <v>4</v>
      </c>
      <c r="K2453" t="n">
        <v>4</v>
      </c>
      <c r="L2453" t="n">
        <v>4</v>
      </c>
      <c r="M2453" t="n">
        <v>4</v>
      </c>
      <c r="N2453" t="n">
        <v>4</v>
      </c>
      <c r="O2453" t="n">
        <v>20</v>
      </c>
      <c r="P2453" t="n">
        <v>4</v>
      </c>
      <c r="R2453" s="9" t="n">
        <v>0.04</v>
      </c>
      <c r="S2453" s="10" t="inlineStr">
        <is>
          <t>SÍ — integrante</t>
        </is>
      </c>
      <c r="T2453" s="11" t="inlineStr">
        <is>
          <t>B · INTEGRANTE</t>
        </is>
      </c>
      <c r="U2453" s="11" t="inlineStr">
        <is>
          <t>DEL BANCO (se hereda)</t>
        </is>
      </c>
      <c r="V2453" s="11" t="n"/>
      <c r="W2453" s="12" t="n"/>
      <c r="X2453" s="12" t="n"/>
    </row>
    <row r="2454" ht="15" customHeight="1">
      <c r="C2454" t="inlineStr">
        <is>
          <t>PAIS DEL DOMICILIO</t>
        </is>
      </c>
      <c r="D2454" t="inlineStr">
        <is>
          <t>F6</t>
        </is>
      </c>
      <c r="E2454" t="inlineStr">
        <is>
          <t>INHERENTE</t>
        </is>
      </c>
      <c r="F2454" t="inlineStr">
        <is>
          <t>MARTINICA</t>
        </is>
      </c>
      <c r="G2454" t="inlineStr">
        <is>
          <t>MQ</t>
        </is>
      </c>
      <c r="H2454" t="n">
        <v>1</v>
      </c>
      <c r="I2454" t="n">
        <v>1</v>
      </c>
      <c r="J2454" t="n">
        <v>4</v>
      </c>
      <c r="K2454" t="n">
        <v>4</v>
      </c>
      <c r="L2454" t="n">
        <v>4</v>
      </c>
      <c r="M2454" t="n">
        <v>4</v>
      </c>
      <c r="N2454" t="n">
        <v>4</v>
      </c>
      <c r="O2454" t="n">
        <v>20</v>
      </c>
      <c r="P2454" t="n">
        <v>4</v>
      </c>
      <c r="R2454" s="9" t="n">
        <v>0.04</v>
      </c>
      <c r="S2454" s="10" t="inlineStr">
        <is>
          <t>SÍ — integrante</t>
        </is>
      </c>
      <c r="T2454" s="11" t="inlineStr">
        <is>
          <t>B · INTEGRANTE</t>
        </is>
      </c>
      <c r="U2454" s="11" t="inlineStr">
        <is>
          <t>DEL BANCO (se hereda)</t>
        </is>
      </c>
      <c r="V2454" s="11" t="n"/>
      <c r="W2454" s="12" t="n"/>
      <c r="X2454" s="12" t="n"/>
    </row>
    <row r="2455" ht="15" customHeight="1">
      <c r="C2455" t="inlineStr">
        <is>
          <t>PAIS DEL DOMICILIO</t>
        </is>
      </c>
      <c r="D2455" t="inlineStr">
        <is>
          <t>F6</t>
        </is>
      </c>
      <c r="E2455" t="inlineStr">
        <is>
          <t>INHERENTE</t>
        </is>
      </c>
      <c r="F2455" t="inlineStr">
        <is>
          <t>MAURITANIA</t>
        </is>
      </c>
      <c r="G2455" t="inlineStr">
        <is>
          <t>MR</t>
        </is>
      </c>
      <c r="H2455" t="n">
        <v>3</v>
      </c>
      <c r="I2455" t="n">
        <v>3</v>
      </c>
      <c r="J2455" t="n">
        <v>4</v>
      </c>
      <c r="K2455" t="n">
        <v>12</v>
      </c>
      <c r="L2455" t="n">
        <v>12</v>
      </c>
      <c r="M2455" t="n">
        <v>12</v>
      </c>
      <c r="N2455" t="n">
        <v>12</v>
      </c>
      <c r="O2455" t="n">
        <v>20</v>
      </c>
      <c r="P2455" t="n">
        <v>4</v>
      </c>
      <c r="R2455" s="9" t="n">
        <v>0.04</v>
      </c>
      <c r="S2455" s="10" t="inlineStr">
        <is>
          <t>SÍ — integrante</t>
        </is>
      </c>
      <c r="T2455" s="11" t="inlineStr">
        <is>
          <t>B · INTEGRANTE</t>
        </is>
      </c>
      <c r="U2455" s="11" t="inlineStr">
        <is>
          <t>DEL BANCO (se hereda)</t>
        </is>
      </c>
      <c r="V2455" s="11" t="n"/>
      <c r="W2455" s="12" t="n"/>
      <c r="X2455" s="12" t="n"/>
    </row>
    <row r="2456" ht="15" customHeight="1">
      <c r="C2456" t="inlineStr">
        <is>
          <t>PAIS DEL DOMICILIO</t>
        </is>
      </c>
      <c r="D2456" t="inlineStr">
        <is>
          <t>F6</t>
        </is>
      </c>
      <c r="E2456" t="inlineStr">
        <is>
          <t>INHERENTE</t>
        </is>
      </c>
      <c r="F2456" t="inlineStr">
        <is>
          <t>MONTSERRAT</t>
        </is>
      </c>
      <c r="G2456" t="inlineStr">
        <is>
          <t>MS</t>
        </is>
      </c>
      <c r="H2456" t="n">
        <v>1</v>
      </c>
      <c r="I2456" t="n">
        <v>1</v>
      </c>
      <c r="J2456" t="n">
        <v>4</v>
      </c>
      <c r="K2456" t="n">
        <v>4</v>
      </c>
      <c r="L2456" t="n">
        <v>4</v>
      </c>
      <c r="M2456" t="n">
        <v>4</v>
      </c>
      <c r="N2456" t="n">
        <v>4</v>
      </c>
      <c r="O2456" t="n">
        <v>20</v>
      </c>
      <c r="P2456" t="n">
        <v>4</v>
      </c>
      <c r="R2456" s="9" t="n">
        <v>0.04</v>
      </c>
      <c r="S2456" s="10" t="inlineStr">
        <is>
          <t>SÍ — integrante</t>
        </is>
      </c>
      <c r="T2456" s="11" t="inlineStr">
        <is>
          <t>B · INTEGRANTE</t>
        </is>
      </c>
      <c r="U2456" s="11" t="inlineStr">
        <is>
          <t>DEL BANCO (se hereda)</t>
        </is>
      </c>
      <c r="V2456" s="11" t="n"/>
      <c r="W2456" s="12" t="n"/>
      <c r="X2456" s="12" t="n"/>
    </row>
    <row r="2457" ht="15" customHeight="1">
      <c r="C2457" t="inlineStr">
        <is>
          <t>PAIS DEL DOMICILIO</t>
        </is>
      </c>
      <c r="D2457" t="inlineStr">
        <is>
          <t>F6</t>
        </is>
      </c>
      <c r="E2457" t="inlineStr">
        <is>
          <t>INHERENTE</t>
        </is>
      </c>
      <c r="F2457" t="inlineStr">
        <is>
          <t>MALTA</t>
        </is>
      </c>
      <c r="G2457" t="inlineStr">
        <is>
          <t>MT</t>
        </is>
      </c>
      <c r="H2457" t="n">
        <v>2</v>
      </c>
      <c r="I2457" t="n">
        <v>2</v>
      </c>
      <c r="J2457" t="n">
        <v>4</v>
      </c>
      <c r="K2457" t="n">
        <v>8</v>
      </c>
      <c r="L2457" t="n">
        <v>8</v>
      </c>
      <c r="M2457" t="n">
        <v>8</v>
      </c>
      <c r="N2457" t="n">
        <v>8</v>
      </c>
      <c r="O2457" t="n">
        <v>20</v>
      </c>
      <c r="P2457" t="n">
        <v>4</v>
      </c>
      <c r="R2457" s="9" t="n">
        <v>0.04</v>
      </c>
      <c r="S2457" s="10" t="inlineStr">
        <is>
          <t>SÍ — integrante</t>
        </is>
      </c>
      <c r="T2457" s="11" t="inlineStr">
        <is>
          <t>B · INTEGRANTE</t>
        </is>
      </c>
      <c r="U2457" s="11" t="inlineStr">
        <is>
          <t>DEL BANCO (se hereda)</t>
        </is>
      </c>
      <c r="V2457" s="11" t="n"/>
      <c r="W2457" s="12" t="n"/>
      <c r="X2457" s="12" t="n"/>
    </row>
    <row r="2458" ht="15" customHeight="1">
      <c r="C2458" t="inlineStr">
        <is>
          <t>PAIS DEL DOMICILIO</t>
        </is>
      </c>
      <c r="D2458" t="inlineStr">
        <is>
          <t>F6</t>
        </is>
      </c>
      <c r="E2458" t="inlineStr">
        <is>
          <t>INHERENTE</t>
        </is>
      </c>
      <c r="F2458" t="inlineStr">
        <is>
          <t>MAURICIO</t>
        </is>
      </c>
      <c r="G2458" t="inlineStr">
        <is>
          <t>MU</t>
        </is>
      </c>
      <c r="H2458" t="n">
        <v>3</v>
      </c>
      <c r="I2458" t="n">
        <v>3</v>
      </c>
      <c r="J2458" t="n">
        <v>4</v>
      </c>
      <c r="K2458" t="n">
        <v>12</v>
      </c>
      <c r="L2458" t="n">
        <v>12</v>
      </c>
      <c r="M2458" t="n">
        <v>12</v>
      </c>
      <c r="N2458" t="n">
        <v>12</v>
      </c>
      <c r="O2458" t="n">
        <v>20</v>
      </c>
      <c r="P2458" t="n">
        <v>4</v>
      </c>
      <c r="R2458" s="9" t="n">
        <v>0.04</v>
      </c>
      <c r="S2458" s="10" t="inlineStr">
        <is>
          <t>SÍ — integrante</t>
        </is>
      </c>
      <c r="T2458" s="11" t="inlineStr">
        <is>
          <t>B · INTEGRANTE</t>
        </is>
      </c>
      <c r="U2458" s="11" t="inlineStr">
        <is>
          <t>DEL BANCO (se hereda)</t>
        </is>
      </c>
      <c r="V2458" s="11" t="n"/>
      <c r="W2458" s="12" t="n"/>
      <c r="X2458" s="12" t="n"/>
    </row>
    <row r="2459" ht="15" customHeight="1">
      <c r="C2459" t="inlineStr">
        <is>
          <t>PAIS DEL DOMICILIO</t>
        </is>
      </c>
      <c r="D2459" t="inlineStr">
        <is>
          <t>F6</t>
        </is>
      </c>
      <c r="E2459" t="inlineStr">
        <is>
          <t>INHERENTE</t>
        </is>
      </c>
      <c r="F2459" t="inlineStr">
        <is>
          <t>MALDIVAS</t>
        </is>
      </c>
      <c r="G2459" t="inlineStr">
        <is>
          <t>MV</t>
        </is>
      </c>
      <c r="H2459" t="n">
        <v>2</v>
      </c>
      <c r="I2459" t="n">
        <v>2</v>
      </c>
      <c r="J2459" t="n">
        <v>4</v>
      </c>
      <c r="K2459" t="n">
        <v>8</v>
      </c>
      <c r="L2459" t="n">
        <v>8</v>
      </c>
      <c r="M2459" t="n">
        <v>8</v>
      </c>
      <c r="N2459" t="n">
        <v>8</v>
      </c>
      <c r="O2459" t="n">
        <v>20</v>
      </c>
      <c r="P2459" t="n">
        <v>4</v>
      </c>
      <c r="R2459" s="9" t="n">
        <v>0.04</v>
      </c>
      <c r="S2459" s="10" t="inlineStr">
        <is>
          <t>SÍ — integrante</t>
        </is>
      </c>
      <c r="T2459" s="11" t="inlineStr">
        <is>
          <t>B · INTEGRANTE</t>
        </is>
      </c>
      <c r="U2459" s="11" t="inlineStr">
        <is>
          <t>DEL BANCO (se hereda)</t>
        </is>
      </c>
      <c r="V2459" s="11" t="n"/>
      <c r="W2459" s="12" t="n"/>
      <c r="X2459" s="12" t="n"/>
    </row>
    <row r="2460" ht="15" customHeight="1">
      <c r="C2460" t="inlineStr">
        <is>
          <t>PAIS DEL DOMICILIO</t>
        </is>
      </c>
      <c r="D2460" t="inlineStr">
        <is>
          <t>F6</t>
        </is>
      </c>
      <c r="E2460" t="inlineStr">
        <is>
          <t>INHERENTE</t>
        </is>
      </c>
      <c r="F2460" t="inlineStr">
        <is>
          <t>MALAWI</t>
        </is>
      </c>
      <c r="G2460" t="inlineStr">
        <is>
          <t>MW</t>
        </is>
      </c>
      <c r="H2460" t="n">
        <v>3</v>
      </c>
      <c r="I2460" t="n">
        <v>3</v>
      </c>
      <c r="J2460" t="n">
        <v>4</v>
      </c>
      <c r="K2460" t="n">
        <v>12</v>
      </c>
      <c r="L2460" t="n">
        <v>12</v>
      </c>
      <c r="M2460" t="n">
        <v>12</v>
      </c>
      <c r="N2460" t="n">
        <v>12</v>
      </c>
      <c r="O2460" t="n">
        <v>20</v>
      </c>
      <c r="P2460" t="n">
        <v>4</v>
      </c>
      <c r="R2460" s="9" t="n">
        <v>0.04</v>
      </c>
      <c r="S2460" s="10" t="inlineStr">
        <is>
          <t>SÍ — integrante</t>
        </is>
      </c>
      <c r="T2460" s="11" t="inlineStr">
        <is>
          <t>B · INTEGRANTE</t>
        </is>
      </c>
      <c r="U2460" s="11" t="inlineStr">
        <is>
          <t>DEL BANCO (se hereda)</t>
        </is>
      </c>
      <c r="V2460" s="11" t="n"/>
      <c r="W2460" s="12" t="n"/>
      <c r="X2460" s="12" t="n"/>
    </row>
    <row r="2461" ht="15" customHeight="1">
      <c r="C2461" t="inlineStr">
        <is>
          <t>PAIS DEL DOMICILIO</t>
        </is>
      </c>
      <c r="D2461" t="inlineStr">
        <is>
          <t>F6</t>
        </is>
      </c>
      <c r="E2461" t="inlineStr">
        <is>
          <t>INHERENTE</t>
        </is>
      </c>
      <c r="F2461" t="inlineStr">
        <is>
          <t>MEXICO</t>
        </is>
      </c>
      <c r="G2461" t="inlineStr">
        <is>
          <t>MX</t>
        </is>
      </c>
      <c r="H2461" t="n">
        <v>3</v>
      </c>
      <c r="I2461" t="n">
        <v>3</v>
      </c>
      <c r="J2461" t="n">
        <v>4</v>
      </c>
      <c r="K2461" t="n">
        <v>12</v>
      </c>
      <c r="L2461" t="n">
        <v>12</v>
      </c>
      <c r="M2461" t="n">
        <v>12</v>
      </c>
      <c r="N2461" t="n">
        <v>12</v>
      </c>
      <c r="O2461" t="n">
        <v>20</v>
      </c>
      <c r="P2461" t="n">
        <v>4</v>
      </c>
      <c r="R2461" s="9" t="n">
        <v>0.04</v>
      </c>
      <c r="S2461" s="10" t="inlineStr">
        <is>
          <t>SÍ — integrante</t>
        </is>
      </c>
      <c r="T2461" s="11" t="inlineStr">
        <is>
          <t>B · INTEGRANTE</t>
        </is>
      </c>
      <c r="U2461" s="11" t="inlineStr">
        <is>
          <t>DEL BANCO (se hereda)</t>
        </is>
      </c>
      <c r="V2461" s="11" t="n"/>
      <c r="W2461" s="12" t="n"/>
      <c r="X2461" s="12" t="n"/>
    </row>
    <row r="2462" ht="15" customHeight="1">
      <c r="C2462" t="inlineStr">
        <is>
          <t>PAIS DEL DOMICILIO</t>
        </is>
      </c>
      <c r="D2462" t="inlineStr">
        <is>
          <t>F6</t>
        </is>
      </c>
      <c r="E2462" t="inlineStr">
        <is>
          <t>INHERENTE</t>
        </is>
      </c>
      <c r="F2462" t="inlineStr">
        <is>
          <t>MALAYSIA, LABUAN</t>
        </is>
      </c>
      <c r="G2462" t="inlineStr">
        <is>
          <t>MY</t>
        </is>
      </c>
      <c r="H2462" t="n">
        <v>3</v>
      </c>
      <c r="I2462" t="n">
        <v>3</v>
      </c>
      <c r="J2462" t="n">
        <v>4</v>
      </c>
      <c r="K2462" t="n">
        <v>12</v>
      </c>
      <c r="L2462" t="n">
        <v>12</v>
      </c>
      <c r="M2462" t="n">
        <v>12</v>
      </c>
      <c r="N2462" t="n">
        <v>12</v>
      </c>
      <c r="O2462" t="n">
        <v>20</v>
      </c>
      <c r="P2462" t="n">
        <v>4</v>
      </c>
      <c r="R2462" s="9" t="n">
        <v>0.04</v>
      </c>
      <c r="S2462" s="10" t="inlineStr">
        <is>
          <t>SÍ — integrante</t>
        </is>
      </c>
      <c r="T2462" s="11" t="inlineStr">
        <is>
          <t>B · INTEGRANTE</t>
        </is>
      </c>
      <c r="U2462" s="11" t="inlineStr">
        <is>
          <t>DEL BANCO (se hereda)</t>
        </is>
      </c>
      <c r="V2462" s="11" t="n"/>
      <c r="W2462" s="12" t="n"/>
      <c r="X2462" s="12" t="n"/>
    </row>
    <row r="2463" ht="15" customHeight="1">
      <c r="C2463" t="inlineStr">
        <is>
          <t>PAIS DEL DOMICILIO</t>
        </is>
      </c>
      <c r="D2463" t="inlineStr">
        <is>
          <t>F6</t>
        </is>
      </c>
      <c r="E2463" t="inlineStr">
        <is>
          <t>INHERENTE</t>
        </is>
      </c>
      <c r="F2463" t="inlineStr">
        <is>
          <t>MOZAMBIQUE</t>
        </is>
      </c>
      <c r="G2463" t="inlineStr">
        <is>
          <t>MZ</t>
        </is>
      </c>
      <c r="H2463" t="n">
        <v>3</v>
      </c>
      <c r="I2463" t="n">
        <v>3</v>
      </c>
      <c r="J2463" t="n">
        <v>4</v>
      </c>
      <c r="K2463" t="n">
        <v>12</v>
      </c>
      <c r="L2463" t="n">
        <v>12</v>
      </c>
      <c r="M2463" t="n">
        <v>12</v>
      </c>
      <c r="N2463" t="n">
        <v>12</v>
      </c>
      <c r="O2463" t="n">
        <v>20</v>
      </c>
      <c r="P2463" t="n">
        <v>4</v>
      </c>
      <c r="R2463" s="9" t="n">
        <v>0.04</v>
      </c>
      <c r="S2463" s="10" t="inlineStr">
        <is>
          <t>SÍ — integrante</t>
        </is>
      </c>
      <c r="T2463" s="11" t="inlineStr">
        <is>
          <t>B · INTEGRANTE</t>
        </is>
      </c>
      <c r="U2463" s="11" t="inlineStr">
        <is>
          <t>DEL BANCO (se hereda)</t>
        </is>
      </c>
      <c r="V2463" s="11" t="n"/>
      <c r="W2463" s="12" t="n"/>
      <c r="X2463" s="12" t="n"/>
    </row>
    <row r="2464" ht="15" customHeight="1">
      <c r="C2464" t="inlineStr">
        <is>
          <t>PAIS DEL DOMICILIO</t>
        </is>
      </c>
      <c r="D2464" t="inlineStr">
        <is>
          <t>F6</t>
        </is>
      </c>
      <c r="E2464" t="inlineStr">
        <is>
          <t>INHERENTE</t>
        </is>
      </c>
      <c r="F2464" t="inlineStr">
        <is>
          <t>NAMIBIA</t>
        </is>
      </c>
      <c r="G2464" t="inlineStr">
        <is>
          <t>NA</t>
        </is>
      </c>
      <c r="H2464" t="n">
        <v>4</v>
      </c>
      <c r="I2464" t="n">
        <v>4</v>
      </c>
      <c r="J2464" t="n">
        <v>4</v>
      </c>
      <c r="K2464" t="n">
        <v>16</v>
      </c>
      <c r="L2464" t="n">
        <v>16</v>
      </c>
      <c r="M2464" t="n">
        <v>16</v>
      </c>
      <c r="N2464" t="n">
        <v>16</v>
      </c>
      <c r="O2464" t="n">
        <v>20</v>
      </c>
      <c r="P2464" t="n">
        <v>4</v>
      </c>
      <c r="Q2464" t="inlineStr">
        <is>
          <t>DETERMINANTE</t>
        </is>
      </c>
      <c r="R2464" s="9" t="n">
        <v>0.04</v>
      </c>
      <c r="S2464" s="10" t="inlineStr">
        <is>
          <t>SÍ — integrante</t>
        </is>
      </c>
      <c r="T2464" s="11" t="inlineStr">
        <is>
          <t>B · INTEGRANTE</t>
        </is>
      </c>
      <c r="U2464" s="11" t="inlineStr">
        <is>
          <t>DEL BANCO (se hereda)</t>
        </is>
      </c>
      <c r="V2464" s="11" t="n"/>
      <c r="W2464" s="12" t="n"/>
      <c r="X2464" s="12" t="n"/>
    </row>
    <row r="2465" ht="15" customHeight="1">
      <c r="C2465" t="inlineStr">
        <is>
          <t>PAIS DEL DOMICILIO</t>
        </is>
      </c>
      <c r="D2465" t="inlineStr">
        <is>
          <t>F6</t>
        </is>
      </c>
      <c r="E2465" t="inlineStr">
        <is>
          <t>INHERENTE</t>
        </is>
      </c>
      <c r="F2465" t="inlineStr">
        <is>
          <t>NUEVA CALEDONIA</t>
        </is>
      </c>
      <c r="G2465" t="inlineStr">
        <is>
          <t>NC</t>
        </is>
      </c>
      <c r="H2465" t="n">
        <v>1</v>
      </c>
      <c r="I2465" t="n">
        <v>1</v>
      </c>
      <c r="J2465" t="n">
        <v>4</v>
      </c>
      <c r="K2465" t="n">
        <v>4</v>
      </c>
      <c r="L2465" t="n">
        <v>4</v>
      </c>
      <c r="M2465" t="n">
        <v>4</v>
      </c>
      <c r="N2465" t="n">
        <v>4</v>
      </c>
      <c r="O2465" t="n">
        <v>20</v>
      </c>
      <c r="P2465" t="n">
        <v>4</v>
      </c>
      <c r="R2465" s="9" t="n">
        <v>0.04</v>
      </c>
      <c r="S2465" s="10" t="inlineStr">
        <is>
          <t>SÍ — integrante</t>
        </is>
      </c>
      <c r="T2465" s="11" t="inlineStr">
        <is>
          <t>B · INTEGRANTE</t>
        </is>
      </c>
      <c r="U2465" s="11" t="inlineStr">
        <is>
          <t>DEL BANCO (se hereda)</t>
        </is>
      </c>
      <c r="V2465" s="11" t="n"/>
      <c r="W2465" s="12" t="n"/>
      <c r="X2465" s="12" t="n"/>
    </row>
    <row r="2466" ht="15" customHeight="1">
      <c r="C2466" t="inlineStr">
        <is>
          <t>PAIS DEL DOMICILIO</t>
        </is>
      </c>
      <c r="D2466" t="inlineStr">
        <is>
          <t>F6</t>
        </is>
      </c>
      <c r="E2466" t="inlineStr">
        <is>
          <t>INHERENTE</t>
        </is>
      </c>
      <c r="F2466" t="inlineStr">
        <is>
          <t>NIGER</t>
        </is>
      </c>
      <c r="G2466" t="inlineStr">
        <is>
          <t>NE</t>
        </is>
      </c>
      <c r="H2466" t="n">
        <v>4</v>
      </c>
      <c r="I2466" t="n">
        <v>4</v>
      </c>
      <c r="J2466" t="n">
        <v>4</v>
      </c>
      <c r="K2466" t="n">
        <v>16</v>
      </c>
      <c r="L2466" t="n">
        <v>16</v>
      </c>
      <c r="M2466" t="n">
        <v>16</v>
      </c>
      <c r="N2466" t="n">
        <v>16</v>
      </c>
      <c r="O2466" t="n">
        <v>20</v>
      </c>
      <c r="P2466" t="n">
        <v>4</v>
      </c>
      <c r="R2466" s="9" t="n">
        <v>0.04</v>
      </c>
      <c r="S2466" s="10" t="inlineStr">
        <is>
          <t>SÍ — integrante</t>
        </is>
      </c>
      <c r="T2466" s="11" t="inlineStr">
        <is>
          <t>B · INTEGRANTE</t>
        </is>
      </c>
      <c r="U2466" s="11" t="inlineStr">
        <is>
          <t>DEL BANCO (se hereda)</t>
        </is>
      </c>
      <c r="V2466" s="11" t="n"/>
      <c r="W2466" s="12" t="n"/>
      <c r="X2466" s="12" t="n"/>
    </row>
    <row r="2467" ht="15" customHeight="1">
      <c r="C2467" t="inlineStr">
        <is>
          <t>PAIS DEL DOMICILIO</t>
        </is>
      </c>
      <c r="D2467" t="inlineStr">
        <is>
          <t>F6</t>
        </is>
      </c>
      <c r="E2467" t="inlineStr">
        <is>
          <t>INHERENTE</t>
        </is>
      </c>
      <c r="F2467" t="inlineStr">
        <is>
          <t>ISLA DE NORFOLK</t>
        </is>
      </c>
      <c r="G2467" t="inlineStr">
        <is>
          <t>NF</t>
        </is>
      </c>
      <c r="H2467" t="n">
        <v>1</v>
      </c>
      <c r="I2467" t="n">
        <v>1</v>
      </c>
      <c r="J2467" t="n">
        <v>4</v>
      </c>
      <c r="K2467" t="n">
        <v>4</v>
      </c>
      <c r="L2467" t="n">
        <v>4</v>
      </c>
      <c r="M2467" t="n">
        <v>4</v>
      </c>
      <c r="N2467" t="n">
        <v>4</v>
      </c>
      <c r="O2467" t="n">
        <v>20</v>
      </c>
      <c r="P2467" t="n">
        <v>4</v>
      </c>
      <c r="R2467" s="9" t="n">
        <v>0.04</v>
      </c>
      <c r="S2467" s="10" t="inlineStr">
        <is>
          <t>SÍ — integrante</t>
        </is>
      </c>
      <c r="T2467" s="11" t="inlineStr">
        <is>
          <t>B · INTEGRANTE</t>
        </is>
      </c>
      <c r="U2467" s="11" t="inlineStr">
        <is>
          <t>DEL BANCO (se hereda)</t>
        </is>
      </c>
      <c r="V2467" s="11" t="n"/>
      <c r="W2467" s="12" t="n"/>
      <c r="X2467" s="12" t="n"/>
    </row>
    <row r="2468" ht="15" customHeight="1">
      <c r="C2468" t="inlineStr">
        <is>
          <t>PAIS DEL DOMICILIO</t>
        </is>
      </c>
      <c r="D2468" t="inlineStr">
        <is>
          <t>F6</t>
        </is>
      </c>
      <c r="E2468" t="inlineStr">
        <is>
          <t>INHERENTE</t>
        </is>
      </c>
      <c r="F2468" t="inlineStr">
        <is>
          <t>NIGERIA</t>
        </is>
      </c>
      <c r="G2468" t="inlineStr">
        <is>
          <t>NG</t>
        </is>
      </c>
      <c r="H2468" t="n">
        <v>3</v>
      </c>
      <c r="I2468" t="n">
        <v>3</v>
      </c>
      <c r="J2468" t="n">
        <v>4</v>
      </c>
      <c r="K2468" t="n">
        <v>12</v>
      </c>
      <c r="L2468" t="n">
        <v>12</v>
      </c>
      <c r="M2468" t="n">
        <v>12</v>
      </c>
      <c r="N2468" t="n">
        <v>12</v>
      </c>
      <c r="O2468" t="n">
        <v>20</v>
      </c>
      <c r="P2468" t="n">
        <v>4</v>
      </c>
      <c r="R2468" s="9" t="n">
        <v>0.04</v>
      </c>
      <c r="S2468" s="10" t="inlineStr">
        <is>
          <t>SÍ — integrante</t>
        </is>
      </c>
      <c r="T2468" s="11" t="inlineStr">
        <is>
          <t>B · INTEGRANTE</t>
        </is>
      </c>
      <c r="U2468" s="11" t="inlineStr">
        <is>
          <t>DEL BANCO (se hereda)</t>
        </is>
      </c>
      <c r="V2468" s="11" t="n"/>
      <c r="W2468" s="12" t="n"/>
      <c r="X2468" s="12" t="n"/>
    </row>
    <row r="2469" ht="15" customHeight="1">
      <c r="C2469" t="inlineStr">
        <is>
          <t>PAIS DEL DOMICILIO</t>
        </is>
      </c>
      <c r="D2469" t="inlineStr">
        <is>
          <t>F6</t>
        </is>
      </c>
      <c r="E2469" t="inlineStr">
        <is>
          <t>INHERENTE</t>
        </is>
      </c>
      <c r="F2469" t="inlineStr">
        <is>
          <t>NICARAGUA</t>
        </is>
      </c>
      <c r="G2469" t="inlineStr">
        <is>
          <t>NI</t>
        </is>
      </c>
      <c r="H2469" t="n">
        <v>4</v>
      </c>
      <c r="I2469" t="n">
        <v>4</v>
      </c>
      <c r="J2469" t="n">
        <v>4</v>
      </c>
      <c r="K2469" t="n">
        <v>16</v>
      </c>
      <c r="L2469" t="n">
        <v>16</v>
      </c>
      <c r="M2469" t="n">
        <v>16</v>
      </c>
      <c r="N2469" t="n">
        <v>16</v>
      </c>
      <c r="O2469" t="n">
        <v>20</v>
      </c>
      <c r="P2469" t="n">
        <v>4</v>
      </c>
      <c r="R2469" s="9" t="n">
        <v>0.04</v>
      </c>
      <c r="S2469" s="10" t="inlineStr">
        <is>
          <t>SÍ — integrante</t>
        </is>
      </c>
      <c r="T2469" s="11" t="inlineStr">
        <is>
          <t>B · INTEGRANTE</t>
        </is>
      </c>
      <c r="U2469" s="11" t="inlineStr">
        <is>
          <t>DEL BANCO (se hereda)</t>
        </is>
      </c>
      <c r="V2469" s="11" t="n"/>
      <c r="W2469" s="12" t="n"/>
      <c r="X2469" s="12" t="n"/>
    </row>
    <row r="2470" ht="15" customHeight="1">
      <c r="C2470" t="inlineStr">
        <is>
          <t>PAIS DEL DOMICILIO</t>
        </is>
      </c>
      <c r="D2470" t="inlineStr">
        <is>
          <t>F6</t>
        </is>
      </c>
      <c r="E2470" t="inlineStr">
        <is>
          <t>INHERENTE</t>
        </is>
      </c>
      <c r="F2470" t="inlineStr">
        <is>
          <t>PAISES BAJOS</t>
        </is>
      </c>
      <c r="G2470" t="inlineStr">
        <is>
          <t>NL</t>
        </is>
      </c>
      <c r="H2470" t="n">
        <v>1</v>
      </c>
      <c r="I2470" t="n">
        <v>1</v>
      </c>
      <c r="J2470" t="n">
        <v>4</v>
      </c>
      <c r="K2470" t="n">
        <v>4</v>
      </c>
      <c r="L2470" t="n">
        <v>4</v>
      </c>
      <c r="M2470" t="n">
        <v>4</v>
      </c>
      <c r="N2470" t="n">
        <v>4</v>
      </c>
      <c r="O2470" t="n">
        <v>20</v>
      </c>
      <c r="P2470" t="n">
        <v>4</v>
      </c>
      <c r="R2470" s="9" t="n">
        <v>0.04</v>
      </c>
      <c r="S2470" s="10" t="inlineStr">
        <is>
          <t>SÍ — integrante</t>
        </is>
      </c>
      <c r="T2470" s="11" t="inlineStr">
        <is>
          <t>B · INTEGRANTE</t>
        </is>
      </c>
      <c r="U2470" s="11" t="inlineStr">
        <is>
          <t>DEL BANCO (se hereda)</t>
        </is>
      </c>
      <c r="V2470" s="11" t="n"/>
      <c r="W2470" s="12" t="n"/>
      <c r="X2470" s="12" t="n"/>
    </row>
    <row r="2471" ht="15" customHeight="1">
      <c r="C2471" t="inlineStr">
        <is>
          <t>PAIS DEL DOMICILIO</t>
        </is>
      </c>
      <c r="D2471" t="inlineStr">
        <is>
          <t>F6</t>
        </is>
      </c>
      <c r="E2471" t="inlineStr">
        <is>
          <t>INHERENTE</t>
        </is>
      </c>
      <c r="F2471" t="inlineStr">
        <is>
          <t>NORUEGA</t>
        </is>
      </c>
      <c r="G2471" t="inlineStr">
        <is>
          <t>NO</t>
        </is>
      </c>
      <c r="H2471" t="n">
        <v>1</v>
      </c>
      <c r="I2471" t="n">
        <v>1</v>
      </c>
      <c r="J2471" t="n">
        <v>4</v>
      </c>
      <c r="K2471" t="n">
        <v>4</v>
      </c>
      <c r="L2471" t="n">
        <v>4</v>
      </c>
      <c r="M2471" t="n">
        <v>4</v>
      </c>
      <c r="N2471" t="n">
        <v>4</v>
      </c>
      <c r="O2471" t="n">
        <v>20</v>
      </c>
      <c r="P2471" t="n">
        <v>4</v>
      </c>
      <c r="R2471" s="9" t="n">
        <v>0.04</v>
      </c>
      <c r="S2471" s="10" t="inlineStr">
        <is>
          <t>SÍ — integrante</t>
        </is>
      </c>
      <c r="T2471" s="11" t="inlineStr">
        <is>
          <t>B · INTEGRANTE</t>
        </is>
      </c>
      <c r="U2471" s="11" t="inlineStr">
        <is>
          <t>DEL BANCO (se hereda)</t>
        </is>
      </c>
      <c r="V2471" s="11" t="n"/>
      <c r="W2471" s="12" t="n"/>
      <c r="X2471" s="12" t="n"/>
    </row>
    <row r="2472" ht="15" customHeight="1">
      <c r="C2472" t="inlineStr">
        <is>
          <t>PAIS DEL DOMICILIO</t>
        </is>
      </c>
      <c r="D2472" t="inlineStr">
        <is>
          <t>F6</t>
        </is>
      </c>
      <c r="E2472" t="inlineStr">
        <is>
          <t>INHERENTE</t>
        </is>
      </c>
      <c r="F2472" t="inlineStr">
        <is>
          <t>NEPAL</t>
        </is>
      </c>
      <c r="G2472" t="inlineStr">
        <is>
          <t>NP</t>
        </is>
      </c>
      <c r="H2472" t="n">
        <v>4</v>
      </c>
      <c r="I2472" t="n">
        <v>4</v>
      </c>
      <c r="J2472" t="n">
        <v>4</v>
      </c>
      <c r="K2472" t="n">
        <v>16</v>
      </c>
      <c r="L2472" t="n">
        <v>16</v>
      </c>
      <c r="M2472" t="n">
        <v>16</v>
      </c>
      <c r="N2472" t="n">
        <v>16</v>
      </c>
      <c r="O2472" t="n">
        <v>20</v>
      </c>
      <c r="P2472" t="n">
        <v>4</v>
      </c>
      <c r="Q2472" t="inlineStr">
        <is>
          <t>DETERMINANTE</t>
        </is>
      </c>
      <c r="R2472" s="9" t="n">
        <v>0.04</v>
      </c>
      <c r="S2472" s="10" t="inlineStr">
        <is>
          <t>SÍ — integrante</t>
        </is>
      </c>
      <c r="T2472" s="11" t="inlineStr">
        <is>
          <t>B · INTEGRANTE</t>
        </is>
      </c>
      <c r="U2472" s="11" t="inlineStr">
        <is>
          <t>DEL BANCO (se hereda)</t>
        </is>
      </c>
      <c r="V2472" s="11" t="n"/>
      <c r="W2472" s="12" t="n"/>
      <c r="X2472" s="12" t="n"/>
    </row>
    <row r="2473" ht="15" customHeight="1">
      <c r="C2473" t="inlineStr">
        <is>
          <t>PAIS DEL DOMICILIO</t>
        </is>
      </c>
      <c r="D2473" t="inlineStr">
        <is>
          <t>F6</t>
        </is>
      </c>
      <c r="E2473" t="inlineStr">
        <is>
          <t>INHERENTE</t>
        </is>
      </c>
      <c r="F2473" t="inlineStr">
        <is>
          <t>NAURU</t>
        </is>
      </c>
      <c r="G2473" t="inlineStr">
        <is>
          <t>NR</t>
        </is>
      </c>
      <c r="H2473" t="n">
        <v>3</v>
      </c>
      <c r="I2473" t="n">
        <v>3</v>
      </c>
      <c r="J2473" t="n">
        <v>4</v>
      </c>
      <c r="K2473" t="n">
        <v>12</v>
      </c>
      <c r="L2473" t="n">
        <v>12</v>
      </c>
      <c r="M2473" t="n">
        <v>12</v>
      </c>
      <c r="N2473" t="n">
        <v>12</v>
      </c>
      <c r="O2473" t="n">
        <v>20</v>
      </c>
      <c r="P2473" t="n">
        <v>4</v>
      </c>
      <c r="R2473" s="9" t="n">
        <v>0.04</v>
      </c>
      <c r="S2473" s="10" t="inlineStr">
        <is>
          <t>SÍ — integrante</t>
        </is>
      </c>
      <c r="T2473" s="11" t="inlineStr">
        <is>
          <t>B · INTEGRANTE</t>
        </is>
      </c>
      <c r="U2473" s="11" t="inlineStr">
        <is>
          <t>DEL BANCO (se hereda)</t>
        </is>
      </c>
      <c r="V2473" s="11" t="n"/>
      <c r="W2473" s="12" t="n"/>
      <c r="X2473" s="12" t="n"/>
    </row>
    <row r="2474" ht="15" customHeight="1">
      <c r="C2474" t="inlineStr">
        <is>
          <t>PAIS DEL DOMICILIO</t>
        </is>
      </c>
      <c r="D2474" t="inlineStr">
        <is>
          <t>F6</t>
        </is>
      </c>
      <c r="E2474" t="inlineStr">
        <is>
          <t>INHERENTE</t>
        </is>
      </c>
      <c r="F2474" t="inlineStr">
        <is>
          <t>NIUE</t>
        </is>
      </c>
      <c r="G2474" t="inlineStr">
        <is>
          <t>NU</t>
        </is>
      </c>
      <c r="H2474" t="n">
        <v>1</v>
      </c>
      <c r="I2474" t="n">
        <v>1</v>
      </c>
      <c r="J2474" t="n">
        <v>4</v>
      </c>
      <c r="K2474" t="n">
        <v>4</v>
      </c>
      <c r="L2474" t="n">
        <v>4</v>
      </c>
      <c r="M2474" t="n">
        <v>4</v>
      </c>
      <c r="N2474" t="n">
        <v>4</v>
      </c>
      <c r="O2474" t="n">
        <v>20</v>
      </c>
      <c r="P2474" t="n">
        <v>4</v>
      </c>
      <c r="R2474" s="9" t="n">
        <v>0.04</v>
      </c>
      <c r="S2474" s="10" t="inlineStr">
        <is>
          <t>SÍ — integrante</t>
        </is>
      </c>
      <c r="T2474" s="11" t="inlineStr">
        <is>
          <t>B · INTEGRANTE</t>
        </is>
      </c>
      <c r="U2474" s="11" t="inlineStr">
        <is>
          <t>DEL BANCO (se hereda)</t>
        </is>
      </c>
      <c r="V2474" s="11" t="n"/>
      <c r="W2474" s="12" t="n"/>
      <c r="X2474" s="12" t="n"/>
    </row>
    <row r="2475" ht="15" customHeight="1">
      <c r="C2475" t="inlineStr">
        <is>
          <t>PAIS DEL DOMICILIO</t>
        </is>
      </c>
      <c r="D2475" t="inlineStr">
        <is>
          <t>F6</t>
        </is>
      </c>
      <c r="E2475" t="inlineStr">
        <is>
          <t>INHERENTE</t>
        </is>
      </c>
      <c r="F2475" t="inlineStr">
        <is>
          <t>NIEVES</t>
        </is>
      </c>
      <c r="G2475" t="inlineStr">
        <is>
          <t>NV</t>
        </is>
      </c>
      <c r="H2475" t="n">
        <v>3</v>
      </c>
      <c r="I2475" t="n">
        <v>3</v>
      </c>
      <c r="J2475" t="n">
        <v>4</v>
      </c>
      <c r="K2475" t="n">
        <v>12</v>
      </c>
      <c r="L2475" t="n">
        <v>12</v>
      </c>
      <c r="M2475" t="n">
        <v>12</v>
      </c>
      <c r="N2475" t="n">
        <v>12</v>
      </c>
      <c r="O2475" t="n">
        <v>20</v>
      </c>
      <c r="P2475" t="n">
        <v>4</v>
      </c>
      <c r="R2475" s="9" t="n">
        <v>0.04</v>
      </c>
      <c r="S2475" s="10" t="inlineStr">
        <is>
          <t>SÍ — integrante</t>
        </is>
      </c>
      <c r="T2475" s="11" t="inlineStr">
        <is>
          <t>B · INTEGRANTE</t>
        </is>
      </c>
      <c r="U2475" s="11" t="inlineStr">
        <is>
          <t>DEL BANCO (se hereda)</t>
        </is>
      </c>
      <c r="V2475" s="11" t="n"/>
      <c r="W2475" s="12" t="n"/>
      <c r="X2475" s="12" t="n"/>
    </row>
    <row r="2476" ht="15" customHeight="1">
      <c r="C2476" t="inlineStr">
        <is>
          <t>PAIS DEL DOMICILIO</t>
        </is>
      </c>
      <c r="D2476" t="inlineStr">
        <is>
          <t>F6</t>
        </is>
      </c>
      <c r="E2476" t="inlineStr">
        <is>
          <t>INHERENTE</t>
        </is>
      </c>
      <c r="F2476" t="inlineStr">
        <is>
          <t>NUEVA ZELANDIA</t>
        </is>
      </c>
      <c r="G2476" t="inlineStr">
        <is>
          <t>NZ</t>
        </is>
      </c>
      <c r="H2476" t="n">
        <v>1</v>
      </c>
      <c r="I2476" t="n">
        <v>1</v>
      </c>
      <c r="J2476" t="n">
        <v>4</v>
      </c>
      <c r="K2476" t="n">
        <v>4</v>
      </c>
      <c r="L2476" t="n">
        <v>4</v>
      </c>
      <c r="M2476" t="n">
        <v>4</v>
      </c>
      <c r="N2476" t="n">
        <v>4</v>
      </c>
      <c r="O2476" t="n">
        <v>20</v>
      </c>
      <c r="P2476" t="n">
        <v>4</v>
      </c>
      <c r="R2476" s="9" t="n">
        <v>0.04</v>
      </c>
      <c r="S2476" s="10" t="inlineStr">
        <is>
          <t>SÍ — integrante</t>
        </is>
      </c>
      <c r="T2476" s="11" t="inlineStr">
        <is>
          <t>B · INTEGRANTE</t>
        </is>
      </c>
      <c r="U2476" s="11" t="inlineStr">
        <is>
          <t>DEL BANCO (se hereda)</t>
        </is>
      </c>
      <c r="V2476" s="11" t="n"/>
      <c r="W2476" s="12" t="n"/>
      <c r="X2476" s="12" t="n"/>
    </row>
    <row r="2477" ht="15" customHeight="1">
      <c r="C2477" t="inlineStr">
        <is>
          <t>PAIS DEL DOMICILIO</t>
        </is>
      </c>
      <c r="D2477" t="inlineStr">
        <is>
          <t>F6</t>
        </is>
      </c>
      <c r="E2477" t="inlineStr">
        <is>
          <t>INHERENTE</t>
        </is>
      </c>
      <c r="F2477" t="inlineStr">
        <is>
          <t>OMAN</t>
        </is>
      </c>
      <c r="G2477" t="inlineStr">
        <is>
          <t>OM</t>
        </is>
      </c>
      <c r="H2477" t="n">
        <v>3</v>
      </c>
      <c r="I2477" t="n">
        <v>3</v>
      </c>
      <c r="J2477" t="n">
        <v>4</v>
      </c>
      <c r="K2477" t="n">
        <v>12</v>
      </c>
      <c r="L2477" t="n">
        <v>12</v>
      </c>
      <c r="M2477" t="n">
        <v>12</v>
      </c>
      <c r="N2477" t="n">
        <v>12</v>
      </c>
      <c r="O2477" t="n">
        <v>20</v>
      </c>
      <c r="P2477" t="n">
        <v>4</v>
      </c>
      <c r="R2477" s="9" t="n">
        <v>0.04</v>
      </c>
      <c r="S2477" s="10" t="inlineStr">
        <is>
          <t>SÍ — integrante</t>
        </is>
      </c>
      <c r="T2477" s="11" t="inlineStr">
        <is>
          <t>B · INTEGRANTE</t>
        </is>
      </c>
      <c r="U2477" s="11" t="inlineStr">
        <is>
          <t>DEL BANCO (se hereda)</t>
        </is>
      </c>
      <c r="V2477" s="11" t="n"/>
      <c r="W2477" s="12" t="n"/>
      <c r="X2477" s="12" t="n"/>
    </row>
    <row r="2478" ht="15" customHeight="1">
      <c r="C2478" t="inlineStr">
        <is>
          <t>PAIS DEL DOMICILIO</t>
        </is>
      </c>
      <c r="D2478" t="inlineStr">
        <is>
          <t>F6</t>
        </is>
      </c>
      <c r="E2478" t="inlineStr">
        <is>
          <t>INHERENTE</t>
        </is>
      </c>
      <c r="F2478" t="inlineStr">
        <is>
          <t>PANAMA</t>
        </is>
      </c>
      <c r="G2478" t="inlineStr">
        <is>
          <t>PA</t>
        </is>
      </c>
      <c r="H2478" t="n">
        <v>3</v>
      </c>
      <c r="I2478" t="n">
        <v>3</v>
      </c>
      <c r="J2478" t="n">
        <v>4</v>
      </c>
      <c r="K2478" t="n">
        <v>12</v>
      </c>
      <c r="L2478" t="n">
        <v>12</v>
      </c>
      <c r="M2478" t="n">
        <v>12</v>
      </c>
      <c r="N2478" t="n">
        <v>12</v>
      </c>
      <c r="O2478" t="n">
        <v>20</v>
      </c>
      <c r="P2478" t="n">
        <v>4</v>
      </c>
      <c r="R2478" s="9" t="n">
        <v>0.04</v>
      </c>
      <c r="S2478" s="10" t="inlineStr">
        <is>
          <t>SÍ — integrante</t>
        </is>
      </c>
      <c r="T2478" s="11" t="inlineStr">
        <is>
          <t>B · INTEGRANTE</t>
        </is>
      </c>
      <c r="U2478" s="11" t="inlineStr">
        <is>
          <t>DEL BANCO (se hereda)</t>
        </is>
      </c>
      <c r="V2478" s="11" t="n"/>
      <c r="W2478" s="12" t="n"/>
      <c r="X2478" s="12" t="n"/>
    </row>
    <row r="2479" ht="15" customHeight="1">
      <c r="C2479" t="inlineStr">
        <is>
          <t>PAIS DEL DOMICILIO</t>
        </is>
      </c>
      <c r="D2479" t="inlineStr">
        <is>
          <t>F6</t>
        </is>
      </c>
      <c r="E2479" t="inlineStr">
        <is>
          <t>INHERENTE</t>
        </is>
      </c>
      <c r="F2479" t="inlineStr">
        <is>
          <t>PERU</t>
        </is>
      </c>
      <c r="G2479" t="inlineStr">
        <is>
          <t>PE</t>
        </is>
      </c>
      <c r="H2479" t="n">
        <v>2</v>
      </c>
      <c r="I2479" t="n">
        <v>2</v>
      </c>
      <c r="J2479" t="n">
        <v>4</v>
      </c>
      <c r="K2479" t="n">
        <v>8</v>
      </c>
      <c r="L2479" t="n">
        <v>8</v>
      </c>
      <c r="M2479" t="n">
        <v>8</v>
      </c>
      <c r="N2479" t="n">
        <v>8</v>
      </c>
      <c r="O2479" t="n">
        <v>20</v>
      </c>
      <c r="P2479" t="n">
        <v>4</v>
      </c>
      <c r="R2479" s="9" t="n">
        <v>0.04</v>
      </c>
      <c r="S2479" s="10" t="inlineStr">
        <is>
          <t>SÍ — integrante</t>
        </is>
      </c>
      <c r="T2479" s="11" t="inlineStr">
        <is>
          <t>B · INTEGRANTE</t>
        </is>
      </c>
      <c r="U2479" s="11" t="inlineStr">
        <is>
          <t>DEL BANCO (se hereda)</t>
        </is>
      </c>
      <c r="V2479" s="11" t="n"/>
      <c r="W2479" s="12" t="n"/>
      <c r="X2479" s="12" t="n"/>
    </row>
    <row r="2480" ht="15" customHeight="1">
      <c r="C2480" t="inlineStr">
        <is>
          <t>PAIS DEL DOMICILIO</t>
        </is>
      </c>
      <c r="D2480" t="inlineStr">
        <is>
          <t>F6</t>
        </is>
      </c>
      <c r="E2480" t="inlineStr">
        <is>
          <t>INHERENTE</t>
        </is>
      </c>
      <c r="F2480" t="inlineStr">
        <is>
          <t>POLINESIA FRANCESA</t>
        </is>
      </c>
      <c r="G2480" t="inlineStr">
        <is>
          <t>PF</t>
        </is>
      </c>
      <c r="H2480" t="n">
        <v>3</v>
      </c>
      <c r="I2480" t="n">
        <v>3</v>
      </c>
      <c r="J2480" t="n">
        <v>4</v>
      </c>
      <c r="K2480" t="n">
        <v>12</v>
      </c>
      <c r="L2480" t="n">
        <v>12</v>
      </c>
      <c r="M2480" t="n">
        <v>12</v>
      </c>
      <c r="N2480" t="n">
        <v>12</v>
      </c>
      <c r="O2480" t="n">
        <v>20</v>
      </c>
      <c r="P2480" t="n">
        <v>4</v>
      </c>
      <c r="R2480" s="9" t="n">
        <v>0.04</v>
      </c>
      <c r="S2480" s="10" t="inlineStr">
        <is>
          <t>SÍ — integrante</t>
        </is>
      </c>
      <c r="T2480" s="11" t="inlineStr">
        <is>
          <t>B · INTEGRANTE</t>
        </is>
      </c>
      <c r="U2480" s="11" t="inlineStr">
        <is>
          <t>DEL BANCO (se hereda)</t>
        </is>
      </c>
      <c r="V2480" s="11" t="n"/>
      <c r="W2480" s="12" t="n"/>
      <c r="X2480" s="12" t="n"/>
    </row>
    <row r="2481" ht="15" customHeight="1">
      <c r="C2481" t="inlineStr">
        <is>
          <t>PAIS DEL DOMICILIO</t>
        </is>
      </c>
      <c r="D2481" t="inlineStr">
        <is>
          <t>F6</t>
        </is>
      </c>
      <c r="E2481" t="inlineStr">
        <is>
          <t>INHERENTE</t>
        </is>
      </c>
      <c r="F2481" t="inlineStr">
        <is>
          <t>PAP NUEVA GUINE</t>
        </is>
      </c>
      <c r="G2481" t="inlineStr">
        <is>
          <t>PG</t>
        </is>
      </c>
      <c r="H2481" t="n">
        <v>4</v>
      </c>
      <c r="I2481" t="n">
        <v>4</v>
      </c>
      <c r="J2481" t="n">
        <v>4</v>
      </c>
      <c r="K2481" t="n">
        <v>16</v>
      </c>
      <c r="L2481" t="n">
        <v>16</v>
      </c>
      <c r="M2481" t="n">
        <v>16</v>
      </c>
      <c r="N2481" t="n">
        <v>16</v>
      </c>
      <c r="O2481" t="n">
        <v>20</v>
      </c>
      <c r="P2481" t="n">
        <v>4</v>
      </c>
      <c r="Q2481" t="inlineStr">
        <is>
          <t>DETERMINANTE</t>
        </is>
      </c>
      <c r="R2481" s="9" t="n">
        <v>0.04</v>
      </c>
      <c r="S2481" s="10" t="inlineStr">
        <is>
          <t>SÍ — integrante</t>
        </is>
      </c>
      <c r="T2481" s="11" t="inlineStr">
        <is>
          <t>B · INTEGRANTE</t>
        </is>
      </c>
      <c r="U2481" s="11" t="inlineStr">
        <is>
          <t>DEL BANCO (se hereda)</t>
        </is>
      </c>
      <c r="V2481" s="11" t="n"/>
      <c r="W2481" s="12" t="n"/>
      <c r="X2481" s="12" t="n"/>
    </row>
    <row r="2482" ht="15" customHeight="1">
      <c r="C2482" t="inlineStr">
        <is>
          <t>PAIS DEL DOMICILIO</t>
        </is>
      </c>
      <c r="D2482" t="inlineStr">
        <is>
          <t>F6</t>
        </is>
      </c>
      <c r="E2482" t="inlineStr">
        <is>
          <t>INHERENTE</t>
        </is>
      </c>
      <c r="F2482" t="inlineStr">
        <is>
          <t>FILIPINAS</t>
        </is>
      </c>
      <c r="G2482" t="inlineStr">
        <is>
          <t>PH</t>
        </is>
      </c>
      <c r="H2482" t="n">
        <v>2</v>
      </c>
      <c r="I2482" t="n">
        <v>2</v>
      </c>
      <c r="J2482" t="n">
        <v>4</v>
      </c>
      <c r="K2482" t="n">
        <v>8</v>
      </c>
      <c r="L2482" t="n">
        <v>8</v>
      </c>
      <c r="M2482" t="n">
        <v>8</v>
      </c>
      <c r="N2482" t="n">
        <v>8</v>
      </c>
      <c r="O2482" t="n">
        <v>20</v>
      </c>
      <c r="P2482" t="n">
        <v>4</v>
      </c>
      <c r="R2482" s="9" t="n">
        <v>0.04</v>
      </c>
      <c r="S2482" s="10" t="inlineStr">
        <is>
          <t>SÍ — integrante</t>
        </is>
      </c>
      <c r="T2482" s="11" t="inlineStr">
        <is>
          <t>B · INTEGRANTE</t>
        </is>
      </c>
      <c r="U2482" s="11" t="inlineStr">
        <is>
          <t>DEL BANCO (se hereda)</t>
        </is>
      </c>
      <c r="V2482" s="11" t="n"/>
      <c r="W2482" s="12" t="n"/>
      <c r="X2482" s="12" t="n"/>
    </row>
    <row r="2483" ht="15" customHeight="1">
      <c r="C2483" t="inlineStr">
        <is>
          <t>PAIS DEL DOMICILIO</t>
        </is>
      </c>
      <c r="D2483" t="inlineStr">
        <is>
          <t>F6</t>
        </is>
      </c>
      <c r="E2483" t="inlineStr">
        <is>
          <t>INHERENTE</t>
        </is>
      </c>
      <c r="F2483" t="inlineStr">
        <is>
          <t>PAKISTAN</t>
        </is>
      </c>
      <c r="G2483" t="inlineStr">
        <is>
          <t>PK</t>
        </is>
      </c>
      <c r="H2483" t="n">
        <v>3</v>
      </c>
      <c r="I2483" t="n">
        <v>3</v>
      </c>
      <c r="J2483" t="n">
        <v>4</v>
      </c>
      <c r="K2483" t="n">
        <v>12</v>
      </c>
      <c r="L2483" t="n">
        <v>12</v>
      </c>
      <c r="M2483" t="n">
        <v>12</v>
      </c>
      <c r="N2483" t="n">
        <v>12</v>
      </c>
      <c r="O2483" t="n">
        <v>20</v>
      </c>
      <c r="P2483" t="n">
        <v>4</v>
      </c>
      <c r="R2483" s="9" t="n">
        <v>0.04</v>
      </c>
      <c r="S2483" s="10" t="inlineStr">
        <is>
          <t>SÍ — integrante</t>
        </is>
      </c>
      <c r="T2483" s="11" t="inlineStr">
        <is>
          <t>B · INTEGRANTE</t>
        </is>
      </c>
      <c r="U2483" s="11" t="inlineStr">
        <is>
          <t>DEL BANCO (se hereda)</t>
        </is>
      </c>
      <c r="V2483" s="11" t="n"/>
      <c r="W2483" s="12" t="n"/>
      <c r="X2483" s="12" t="n"/>
    </row>
    <row r="2484" ht="15" customHeight="1">
      <c r="C2484" t="inlineStr">
        <is>
          <t>PAIS DEL DOMICILIO</t>
        </is>
      </c>
      <c r="D2484" t="inlineStr">
        <is>
          <t>F6</t>
        </is>
      </c>
      <c r="E2484" t="inlineStr">
        <is>
          <t>INHERENTE</t>
        </is>
      </c>
      <c r="F2484" t="inlineStr">
        <is>
          <t>POLONIA</t>
        </is>
      </c>
      <c r="G2484" t="inlineStr">
        <is>
          <t>PL</t>
        </is>
      </c>
      <c r="H2484" t="n">
        <v>1</v>
      </c>
      <c r="I2484" t="n">
        <v>1</v>
      </c>
      <c r="J2484" t="n">
        <v>4</v>
      </c>
      <c r="K2484" t="n">
        <v>4</v>
      </c>
      <c r="L2484" t="n">
        <v>4</v>
      </c>
      <c r="M2484" t="n">
        <v>4</v>
      </c>
      <c r="N2484" t="n">
        <v>4</v>
      </c>
      <c r="O2484" t="n">
        <v>20</v>
      </c>
      <c r="P2484" t="n">
        <v>4</v>
      </c>
      <c r="R2484" s="9" t="n">
        <v>0.04</v>
      </c>
      <c r="S2484" s="10" t="inlineStr">
        <is>
          <t>SÍ — integrante</t>
        </is>
      </c>
      <c r="T2484" s="11" t="inlineStr">
        <is>
          <t>B · INTEGRANTE</t>
        </is>
      </c>
      <c r="U2484" s="11" t="inlineStr">
        <is>
          <t>DEL BANCO (se hereda)</t>
        </is>
      </c>
      <c r="V2484" s="11" t="n"/>
      <c r="W2484" s="12" t="n"/>
      <c r="X2484" s="12" t="n"/>
    </row>
    <row r="2485" ht="15" customHeight="1">
      <c r="C2485" t="inlineStr">
        <is>
          <t>PAIS DEL DOMICILIO</t>
        </is>
      </c>
      <c r="D2485" t="inlineStr">
        <is>
          <t>F6</t>
        </is>
      </c>
      <c r="E2485" t="inlineStr">
        <is>
          <t>INHERENTE</t>
        </is>
      </c>
      <c r="F2485" t="inlineStr">
        <is>
          <t>SAN PEDRO</t>
        </is>
      </c>
      <c r="G2485" t="inlineStr">
        <is>
          <t>PM</t>
        </is>
      </c>
      <c r="H2485" t="n">
        <v>1</v>
      </c>
      <c r="I2485" t="n">
        <v>1</v>
      </c>
      <c r="J2485" t="n">
        <v>4</v>
      </c>
      <c r="K2485" t="n">
        <v>4</v>
      </c>
      <c r="L2485" t="n">
        <v>4</v>
      </c>
      <c r="M2485" t="n">
        <v>4</v>
      </c>
      <c r="N2485" t="n">
        <v>4</v>
      </c>
      <c r="O2485" t="n">
        <v>20</v>
      </c>
      <c r="P2485" t="n">
        <v>4</v>
      </c>
      <c r="R2485" s="9" t="n">
        <v>0.04</v>
      </c>
      <c r="S2485" s="10" t="inlineStr">
        <is>
          <t>SÍ — integrante</t>
        </is>
      </c>
      <c r="T2485" s="11" t="inlineStr">
        <is>
          <t>B · INTEGRANTE</t>
        </is>
      </c>
      <c r="U2485" s="11" t="inlineStr">
        <is>
          <t>DEL BANCO (se hereda)</t>
        </is>
      </c>
      <c r="V2485" s="11" t="n"/>
      <c r="W2485" s="12" t="n"/>
      <c r="X2485" s="12" t="n"/>
    </row>
    <row r="2486" ht="15" customHeight="1">
      <c r="C2486" t="inlineStr">
        <is>
          <t>PAIS DEL DOMICILIO</t>
        </is>
      </c>
      <c r="D2486" t="inlineStr">
        <is>
          <t>F6</t>
        </is>
      </c>
      <c r="E2486" t="inlineStr">
        <is>
          <t>INHERENTE</t>
        </is>
      </c>
      <c r="F2486" t="inlineStr">
        <is>
          <t>PITCAIRN</t>
        </is>
      </c>
      <c r="G2486" t="inlineStr">
        <is>
          <t>PN</t>
        </is>
      </c>
      <c r="H2486" t="n">
        <v>1</v>
      </c>
      <c r="I2486" t="n">
        <v>1</v>
      </c>
      <c r="J2486" t="n">
        <v>4</v>
      </c>
      <c r="K2486" t="n">
        <v>4</v>
      </c>
      <c r="L2486" t="n">
        <v>4</v>
      </c>
      <c r="M2486" t="n">
        <v>4</v>
      </c>
      <c r="N2486" t="n">
        <v>4</v>
      </c>
      <c r="O2486" t="n">
        <v>20</v>
      </c>
      <c r="P2486" t="n">
        <v>4</v>
      </c>
      <c r="R2486" s="9" t="n">
        <v>0.04</v>
      </c>
      <c r="S2486" s="10" t="inlineStr">
        <is>
          <t>SÍ — integrante</t>
        </is>
      </c>
      <c r="T2486" s="11" t="inlineStr">
        <is>
          <t>B · INTEGRANTE</t>
        </is>
      </c>
      <c r="U2486" s="11" t="inlineStr">
        <is>
          <t>DEL BANCO (se hereda)</t>
        </is>
      </c>
      <c r="V2486" s="11" t="n"/>
      <c r="W2486" s="12" t="n"/>
      <c r="X2486" s="12" t="n"/>
    </row>
    <row r="2487" ht="15" customHeight="1">
      <c r="C2487" t="inlineStr">
        <is>
          <t>PAIS DEL DOMICILIO</t>
        </is>
      </c>
      <c r="D2487" t="inlineStr">
        <is>
          <t>F6</t>
        </is>
      </c>
      <c r="E2487" t="inlineStr">
        <is>
          <t>INHERENTE</t>
        </is>
      </c>
      <c r="F2487" t="inlineStr">
        <is>
          <t>PUERTO RICO</t>
        </is>
      </c>
      <c r="G2487" t="inlineStr">
        <is>
          <t>PR</t>
        </is>
      </c>
      <c r="H2487" t="n">
        <v>1</v>
      </c>
      <c r="I2487" t="n">
        <v>1</v>
      </c>
      <c r="J2487" t="n">
        <v>4</v>
      </c>
      <c r="K2487" t="n">
        <v>4</v>
      </c>
      <c r="L2487" t="n">
        <v>4</v>
      </c>
      <c r="M2487" t="n">
        <v>4</v>
      </c>
      <c r="N2487" t="n">
        <v>4</v>
      </c>
      <c r="O2487" t="n">
        <v>20</v>
      </c>
      <c r="P2487" t="n">
        <v>4</v>
      </c>
      <c r="R2487" s="9" t="n">
        <v>0.04</v>
      </c>
      <c r="S2487" s="10" t="inlineStr">
        <is>
          <t>SÍ — integrante</t>
        </is>
      </c>
      <c r="T2487" s="11" t="inlineStr">
        <is>
          <t>B · INTEGRANTE</t>
        </is>
      </c>
      <c r="U2487" s="11" t="inlineStr">
        <is>
          <t>DEL BANCO (se hereda)</t>
        </is>
      </c>
      <c r="V2487" s="11" t="n"/>
      <c r="W2487" s="12" t="n"/>
      <c r="X2487" s="12" t="n"/>
    </row>
    <row r="2488" ht="15" customHeight="1">
      <c r="C2488" t="inlineStr">
        <is>
          <t>PAIS DEL DOMICILIO</t>
        </is>
      </c>
      <c r="D2488" t="inlineStr">
        <is>
          <t>F6</t>
        </is>
      </c>
      <c r="E2488" t="inlineStr">
        <is>
          <t>INHERENTE</t>
        </is>
      </c>
      <c r="F2488" t="inlineStr">
        <is>
          <t>TERRITORIOS PALESTIN</t>
        </is>
      </c>
      <c r="G2488" t="inlineStr">
        <is>
          <t>PS</t>
        </is>
      </c>
      <c r="H2488" t="n">
        <v>4</v>
      </c>
      <c r="I2488" t="n">
        <v>4</v>
      </c>
      <c r="J2488" t="n">
        <v>4</v>
      </c>
      <c r="K2488" t="n">
        <v>16</v>
      </c>
      <c r="L2488" t="n">
        <v>16</v>
      </c>
      <c r="M2488" t="n">
        <v>16</v>
      </c>
      <c r="N2488" t="n">
        <v>16</v>
      </c>
      <c r="O2488" t="n">
        <v>20</v>
      </c>
      <c r="P2488" t="n">
        <v>4</v>
      </c>
      <c r="R2488" s="9" t="n">
        <v>0.04</v>
      </c>
      <c r="S2488" s="10" t="inlineStr">
        <is>
          <t>SÍ — integrante</t>
        </is>
      </c>
      <c r="T2488" s="11" t="inlineStr">
        <is>
          <t>B · INTEGRANTE</t>
        </is>
      </c>
      <c r="U2488" s="11" t="inlineStr">
        <is>
          <t>DEL BANCO (se hereda)</t>
        </is>
      </c>
      <c r="V2488" s="11" t="n"/>
      <c r="W2488" s="12" t="n"/>
      <c r="X2488" s="12" t="n"/>
    </row>
    <row r="2489" ht="15" customHeight="1">
      <c r="C2489" t="inlineStr">
        <is>
          <t>PAIS DEL DOMICILIO</t>
        </is>
      </c>
      <c r="D2489" t="inlineStr">
        <is>
          <t>F6</t>
        </is>
      </c>
      <c r="E2489" t="inlineStr">
        <is>
          <t>INHERENTE</t>
        </is>
      </c>
      <c r="F2489" t="inlineStr">
        <is>
          <t>PORTUGAL</t>
        </is>
      </c>
      <c r="G2489" t="inlineStr">
        <is>
          <t>PT</t>
        </is>
      </c>
      <c r="H2489" t="n">
        <v>1</v>
      </c>
      <c r="I2489" t="n">
        <v>1</v>
      </c>
      <c r="J2489" t="n">
        <v>4</v>
      </c>
      <c r="K2489" t="n">
        <v>4</v>
      </c>
      <c r="L2489" t="n">
        <v>4</v>
      </c>
      <c r="M2489" t="n">
        <v>4</v>
      </c>
      <c r="N2489" t="n">
        <v>4</v>
      </c>
      <c r="O2489" t="n">
        <v>20</v>
      </c>
      <c r="P2489" t="n">
        <v>4</v>
      </c>
      <c r="R2489" s="9" t="n">
        <v>0.04</v>
      </c>
      <c r="S2489" s="10" t="inlineStr">
        <is>
          <t>SÍ — integrante</t>
        </is>
      </c>
      <c r="T2489" s="11" t="inlineStr">
        <is>
          <t>B · INTEGRANTE</t>
        </is>
      </c>
      <c r="U2489" s="11" t="inlineStr">
        <is>
          <t>DEL BANCO (se hereda)</t>
        </is>
      </c>
      <c r="V2489" s="11" t="n"/>
      <c r="W2489" s="12" t="n"/>
      <c r="X2489" s="12" t="n"/>
    </row>
    <row r="2490" ht="15" customHeight="1">
      <c r="C2490" t="inlineStr">
        <is>
          <t>PAIS DEL DOMICILIO</t>
        </is>
      </c>
      <c r="D2490" t="inlineStr">
        <is>
          <t>F6</t>
        </is>
      </c>
      <c r="E2490" t="inlineStr">
        <is>
          <t>INHERENTE</t>
        </is>
      </c>
      <c r="F2490" t="inlineStr">
        <is>
          <t>PATAU</t>
        </is>
      </c>
      <c r="G2490" t="inlineStr">
        <is>
          <t>PW</t>
        </is>
      </c>
      <c r="H2490" t="n">
        <v>1</v>
      </c>
      <c r="I2490" t="n">
        <v>1</v>
      </c>
      <c r="J2490" t="n">
        <v>4</v>
      </c>
      <c r="K2490" t="n">
        <v>4</v>
      </c>
      <c r="L2490" t="n">
        <v>4</v>
      </c>
      <c r="M2490" t="n">
        <v>4</v>
      </c>
      <c r="N2490" t="n">
        <v>4</v>
      </c>
      <c r="O2490" t="n">
        <v>20</v>
      </c>
      <c r="P2490" t="n">
        <v>4</v>
      </c>
      <c r="R2490" s="9" t="n">
        <v>0.04</v>
      </c>
      <c r="S2490" s="10" t="inlineStr">
        <is>
          <t>SÍ — integrante</t>
        </is>
      </c>
      <c r="T2490" s="11" t="inlineStr">
        <is>
          <t>B · INTEGRANTE</t>
        </is>
      </c>
      <c r="U2490" s="11" t="inlineStr">
        <is>
          <t>DEL BANCO (se hereda)</t>
        </is>
      </c>
      <c r="V2490" s="11" t="n"/>
      <c r="W2490" s="12" t="n"/>
      <c r="X2490" s="12" t="n"/>
    </row>
    <row r="2491" ht="15" customHeight="1">
      <c r="C2491" t="inlineStr">
        <is>
          <t>PAIS DEL DOMICILIO</t>
        </is>
      </c>
      <c r="D2491" t="inlineStr">
        <is>
          <t>F6</t>
        </is>
      </c>
      <c r="E2491" t="inlineStr">
        <is>
          <t>INHERENTE</t>
        </is>
      </c>
      <c r="F2491" t="inlineStr">
        <is>
          <t>PARAGUAY</t>
        </is>
      </c>
      <c r="G2491" t="inlineStr">
        <is>
          <t>PY</t>
        </is>
      </c>
      <c r="H2491" t="n">
        <v>3</v>
      </c>
      <c r="I2491" t="n">
        <v>3</v>
      </c>
      <c r="J2491" t="n">
        <v>4</v>
      </c>
      <c r="K2491" t="n">
        <v>12</v>
      </c>
      <c r="L2491" t="n">
        <v>12</v>
      </c>
      <c r="M2491" t="n">
        <v>12</v>
      </c>
      <c r="N2491" t="n">
        <v>12</v>
      </c>
      <c r="O2491" t="n">
        <v>20</v>
      </c>
      <c r="P2491" t="n">
        <v>4</v>
      </c>
      <c r="R2491" s="9" t="n">
        <v>0.04</v>
      </c>
      <c r="S2491" s="10" t="inlineStr">
        <is>
          <t>SÍ — integrante</t>
        </is>
      </c>
      <c r="T2491" s="11" t="inlineStr">
        <is>
          <t>B · INTEGRANTE</t>
        </is>
      </c>
      <c r="U2491" s="11" t="inlineStr">
        <is>
          <t>DEL BANCO (se hereda)</t>
        </is>
      </c>
      <c r="V2491" s="11" t="n"/>
      <c r="W2491" s="12" t="n"/>
      <c r="X2491" s="12" t="n"/>
    </row>
    <row r="2492" ht="15" customHeight="1">
      <c r="C2492" t="inlineStr">
        <is>
          <t>PAIS DEL DOMICILIO</t>
        </is>
      </c>
      <c r="D2492" t="inlineStr">
        <is>
          <t>F6</t>
        </is>
      </c>
      <c r="E2492" t="inlineStr">
        <is>
          <t>INHERENTE</t>
        </is>
      </c>
      <c r="F2492" t="inlineStr">
        <is>
          <t>QATAR</t>
        </is>
      </c>
      <c r="G2492" t="inlineStr">
        <is>
          <t>QA</t>
        </is>
      </c>
      <c r="H2492" t="n">
        <v>3</v>
      </c>
      <c r="I2492" t="n">
        <v>3</v>
      </c>
      <c r="J2492" t="n">
        <v>4</v>
      </c>
      <c r="K2492" t="n">
        <v>12</v>
      </c>
      <c r="L2492" t="n">
        <v>12</v>
      </c>
      <c r="M2492" t="n">
        <v>12</v>
      </c>
      <c r="N2492" t="n">
        <v>12</v>
      </c>
      <c r="O2492" t="n">
        <v>20</v>
      </c>
      <c r="P2492" t="n">
        <v>4</v>
      </c>
      <c r="R2492" s="9" t="n">
        <v>0.04</v>
      </c>
      <c r="S2492" s="10" t="inlineStr">
        <is>
          <t>SÍ — integrante</t>
        </is>
      </c>
      <c r="T2492" s="11" t="inlineStr">
        <is>
          <t>B · INTEGRANTE</t>
        </is>
      </c>
      <c r="U2492" s="11" t="inlineStr">
        <is>
          <t>DEL BANCO (se hereda)</t>
        </is>
      </c>
      <c r="V2492" s="11" t="n"/>
      <c r="W2492" s="12" t="n"/>
      <c r="X2492" s="12" t="n"/>
    </row>
    <row r="2493" ht="15" customHeight="1">
      <c r="C2493" t="inlineStr">
        <is>
          <t>PAIS DEL DOMICILIO</t>
        </is>
      </c>
      <c r="D2493" t="inlineStr">
        <is>
          <t>F6</t>
        </is>
      </c>
      <c r="E2493" t="inlineStr">
        <is>
          <t>INHERENTE</t>
        </is>
      </c>
      <c r="F2493" t="inlineStr">
        <is>
          <t>REUNION</t>
        </is>
      </c>
      <c r="G2493" t="inlineStr">
        <is>
          <t>RE</t>
        </is>
      </c>
      <c r="H2493" t="n">
        <v>1</v>
      </c>
      <c r="I2493" t="n">
        <v>1</v>
      </c>
      <c r="J2493" t="n">
        <v>4</v>
      </c>
      <c r="K2493" t="n">
        <v>4</v>
      </c>
      <c r="L2493" t="n">
        <v>4</v>
      </c>
      <c r="M2493" t="n">
        <v>4</v>
      </c>
      <c r="N2493" t="n">
        <v>4</v>
      </c>
      <c r="O2493" t="n">
        <v>20</v>
      </c>
      <c r="P2493" t="n">
        <v>4</v>
      </c>
      <c r="R2493" s="9" t="n">
        <v>0.04</v>
      </c>
      <c r="S2493" s="10" t="inlineStr">
        <is>
          <t>SÍ — integrante</t>
        </is>
      </c>
      <c r="T2493" s="11" t="inlineStr">
        <is>
          <t>B · INTEGRANTE</t>
        </is>
      </c>
      <c r="U2493" s="11" t="inlineStr">
        <is>
          <t>DEL BANCO (se hereda)</t>
        </is>
      </c>
      <c r="V2493" s="11" t="n"/>
      <c r="W2493" s="12" t="n"/>
      <c r="X2493" s="12" t="n"/>
    </row>
    <row r="2494" ht="15" customHeight="1">
      <c r="C2494" t="inlineStr">
        <is>
          <t>PAIS DEL DOMICILIO</t>
        </is>
      </c>
      <c r="D2494" t="inlineStr">
        <is>
          <t>F6</t>
        </is>
      </c>
      <c r="E2494" t="inlineStr">
        <is>
          <t>INHERENTE</t>
        </is>
      </c>
      <c r="F2494" t="inlineStr">
        <is>
          <t>RUMANIA</t>
        </is>
      </c>
      <c r="G2494" t="inlineStr">
        <is>
          <t>RO</t>
        </is>
      </c>
      <c r="H2494" t="n">
        <v>1</v>
      </c>
      <c r="I2494" t="n">
        <v>1</v>
      </c>
      <c r="J2494" t="n">
        <v>4</v>
      </c>
      <c r="K2494" t="n">
        <v>4</v>
      </c>
      <c r="L2494" t="n">
        <v>4</v>
      </c>
      <c r="M2494" t="n">
        <v>4</v>
      </c>
      <c r="N2494" t="n">
        <v>4</v>
      </c>
      <c r="O2494" t="n">
        <v>20</v>
      </c>
      <c r="P2494" t="n">
        <v>4</v>
      </c>
      <c r="R2494" s="9" t="n">
        <v>0.04</v>
      </c>
      <c r="S2494" s="10" t="inlineStr">
        <is>
          <t>SÍ — integrante</t>
        </is>
      </c>
      <c r="T2494" s="11" t="inlineStr">
        <is>
          <t>B · INTEGRANTE</t>
        </is>
      </c>
      <c r="U2494" s="11" t="inlineStr">
        <is>
          <t>DEL BANCO (se hereda)</t>
        </is>
      </c>
      <c r="V2494" s="11" t="n"/>
      <c r="W2494" s="12" t="n"/>
      <c r="X2494" s="12" t="n"/>
    </row>
    <row r="2495" ht="15" customHeight="1">
      <c r="C2495" t="inlineStr">
        <is>
          <t>PAIS DEL DOMICILIO</t>
        </is>
      </c>
      <c r="D2495" t="inlineStr">
        <is>
          <t>F6</t>
        </is>
      </c>
      <c r="E2495" t="inlineStr">
        <is>
          <t>INHERENTE</t>
        </is>
      </c>
      <c r="F2495" t="inlineStr">
        <is>
          <t>SERBIA</t>
        </is>
      </c>
      <c r="G2495" t="inlineStr">
        <is>
          <t>RS</t>
        </is>
      </c>
      <c r="H2495" t="n">
        <v>2</v>
      </c>
      <c r="I2495" t="n">
        <v>2</v>
      </c>
      <c r="J2495" t="n">
        <v>4</v>
      </c>
      <c r="K2495" t="n">
        <v>8</v>
      </c>
      <c r="L2495" t="n">
        <v>8</v>
      </c>
      <c r="M2495" t="n">
        <v>8</v>
      </c>
      <c r="N2495" t="n">
        <v>8</v>
      </c>
      <c r="O2495" t="n">
        <v>20</v>
      </c>
      <c r="P2495" t="n">
        <v>4</v>
      </c>
      <c r="R2495" s="9" t="n">
        <v>0.04</v>
      </c>
      <c r="S2495" s="10" t="inlineStr">
        <is>
          <t>SÍ — integrante</t>
        </is>
      </c>
      <c r="T2495" s="11" t="inlineStr">
        <is>
          <t>B · INTEGRANTE</t>
        </is>
      </c>
      <c r="U2495" s="11" t="inlineStr">
        <is>
          <t>DEL BANCO (se hereda)</t>
        </is>
      </c>
      <c r="V2495" s="11" t="n"/>
      <c r="W2495" s="12" t="n"/>
      <c r="X2495" s="12" t="n"/>
    </row>
    <row r="2496" ht="15" customHeight="1">
      <c r="C2496" t="inlineStr">
        <is>
          <t>PAIS DEL DOMICILIO</t>
        </is>
      </c>
      <c r="D2496" t="inlineStr">
        <is>
          <t>F6</t>
        </is>
      </c>
      <c r="E2496" t="inlineStr">
        <is>
          <t>INHERENTE</t>
        </is>
      </c>
      <c r="F2496" t="inlineStr">
        <is>
          <t>FEDERACION RUSA</t>
        </is>
      </c>
      <c r="G2496" t="inlineStr">
        <is>
          <t>RU</t>
        </is>
      </c>
      <c r="H2496" t="n">
        <v>4</v>
      </c>
      <c r="I2496" t="n">
        <v>4</v>
      </c>
      <c r="J2496" t="n">
        <v>4</v>
      </c>
      <c r="K2496" t="n">
        <v>16</v>
      </c>
      <c r="L2496" t="n">
        <v>16</v>
      </c>
      <c r="M2496" t="n">
        <v>16</v>
      </c>
      <c r="N2496" t="n">
        <v>16</v>
      </c>
      <c r="O2496" t="n">
        <v>20</v>
      </c>
      <c r="P2496" t="n">
        <v>4</v>
      </c>
      <c r="R2496" s="9" t="n">
        <v>0.04</v>
      </c>
      <c r="S2496" s="10" t="inlineStr">
        <is>
          <t>SÍ — integrante</t>
        </is>
      </c>
      <c r="T2496" s="11" t="inlineStr">
        <is>
          <t>B · INTEGRANTE</t>
        </is>
      </c>
      <c r="U2496" s="11" t="inlineStr">
        <is>
          <t>DEL BANCO (se hereda)</t>
        </is>
      </c>
      <c r="V2496" s="11" t="n"/>
      <c r="W2496" s="12" t="n"/>
      <c r="X2496" s="12" t="n"/>
    </row>
    <row r="2497" ht="15" customHeight="1">
      <c r="C2497" t="inlineStr">
        <is>
          <t>PAIS DEL DOMICILIO</t>
        </is>
      </c>
      <c r="D2497" t="inlineStr">
        <is>
          <t>F6</t>
        </is>
      </c>
      <c r="E2497" t="inlineStr">
        <is>
          <t>INHERENTE</t>
        </is>
      </c>
      <c r="F2497" t="inlineStr">
        <is>
          <t>RWANDA</t>
        </is>
      </c>
      <c r="G2497" t="inlineStr">
        <is>
          <t>RW</t>
        </is>
      </c>
      <c r="H2497" t="n">
        <v>3</v>
      </c>
      <c r="I2497" t="n">
        <v>3</v>
      </c>
      <c r="J2497" t="n">
        <v>4</v>
      </c>
      <c r="K2497" t="n">
        <v>12</v>
      </c>
      <c r="L2497" t="n">
        <v>12</v>
      </c>
      <c r="M2497" t="n">
        <v>12</v>
      </c>
      <c r="N2497" t="n">
        <v>12</v>
      </c>
      <c r="O2497" t="n">
        <v>20</v>
      </c>
      <c r="P2497" t="n">
        <v>4</v>
      </c>
      <c r="R2497" s="9" t="n">
        <v>0.04</v>
      </c>
      <c r="S2497" s="10" t="inlineStr">
        <is>
          <t>SÍ — integrante</t>
        </is>
      </c>
      <c r="T2497" s="11" t="inlineStr">
        <is>
          <t>B · INTEGRANTE</t>
        </is>
      </c>
      <c r="U2497" s="11" t="inlineStr">
        <is>
          <t>DEL BANCO (se hereda)</t>
        </is>
      </c>
      <c r="V2497" s="11" t="n"/>
      <c r="W2497" s="12" t="n"/>
      <c r="X2497" s="12" t="n"/>
    </row>
    <row r="2498" ht="15" customHeight="1">
      <c r="C2498" t="inlineStr">
        <is>
          <t>PAIS DEL DOMICILIO</t>
        </is>
      </c>
      <c r="D2498" t="inlineStr">
        <is>
          <t>F6</t>
        </is>
      </c>
      <c r="E2498" t="inlineStr">
        <is>
          <t>INHERENTE</t>
        </is>
      </c>
      <c r="F2498" t="inlineStr">
        <is>
          <t>ARABIA SAUDI</t>
        </is>
      </c>
      <c r="G2498" t="inlineStr">
        <is>
          <t>SA</t>
        </is>
      </c>
      <c r="H2498" t="n">
        <v>3</v>
      </c>
      <c r="I2498" t="n">
        <v>3</v>
      </c>
      <c r="J2498" t="n">
        <v>4</v>
      </c>
      <c r="K2498" t="n">
        <v>12</v>
      </c>
      <c r="L2498" t="n">
        <v>12</v>
      </c>
      <c r="M2498" t="n">
        <v>12</v>
      </c>
      <c r="N2498" t="n">
        <v>12</v>
      </c>
      <c r="O2498" t="n">
        <v>20</v>
      </c>
      <c r="P2498" t="n">
        <v>4</v>
      </c>
      <c r="R2498" s="9" t="n">
        <v>0.04</v>
      </c>
      <c r="S2498" s="10" t="inlineStr">
        <is>
          <t>SÍ — integrante</t>
        </is>
      </c>
      <c r="T2498" s="11" t="inlineStr">
        <is>
          <t>B · INTEGRANTE</t>
        </is>
      </c>
      <c r="U2498" s="11" t="inlineStr">
        <is>
          <t>DEL BANCO (se hereda)</t>
        </is>
      </c>
      <c r="V2498" s="11" t="n"/>
      <c r="W2498" s="12" t="n"/>
      <c r="X2498" s="12" t="n"/>
    </row>
    <row r="2499" ht="15" customHeight="1">
      <c r="C2499" t="inlineStr">
        <is>
          <t>PAIS DEL DOMICILIO</t>
        </is>
      </c>
      <c r="D2499" t="inlineStr">
        <is>
          <t>F6</t>
        </is>
      </c>
      <c r="E2499" t="inlineStr">
        <is>
          <t>INHERENTE</t>
        </is>
      </c>
      <c r="F2499" t="inlineStr">
        <is>
          <t>ISLAS SOLOMON</t>
        </is>
      </c>
      <c r="G2499" t="inlineStr">
        <is>
          <t>SB</t>
        </is>
      </c>
      <c r="H2499" t="n">
        <v>3</v>
      </c>
      <c r="I2499" t="n">
        <v>3</v>
      </c>
      <c r="J2499" t="n">
        <v>4</v>
      </c>
      <c r="K2499" t="n">
        <v>12</v>
      </c>
      <c r="L2499" t="n">
        <v>12</v>
      </c>
      <c r="M2499" t="n">
        <v>12</v>
      </c>
      <c r="N2499" t="n">
        <v>12</v>
      </c>
      <c r="O2499" t="n">
        <v>20</v>
      </c>
      <c r="P2499" t="n">
        <v>4</v>
      </c>
      <c r="R2499" s="9" t="n">
        <v>0.04</v>
      </c>
      <c r="S2499" s="10" t="inlineStr">
        <is>
          <t>SÍ — integrante</t>
        </is>
      </c>
      <c r="T2499" s="11" t="inlineStr">
        <is>
          <t>B · INTEGRANTE</t>
        </is>
      </c>
      <c r="U2499" s="11" t="inlineStr">
        <is>
          <t>DEL BANCO (se hereda)</t>
        </is>
      </c>
      <c r="V2499" s="11" t="n"/>
      <c r="W2499" s="12" t="n"/>
      <c r="X2499" s="12" t="n"/>
    </row>
    <row r="2500" ht="15" customHeight="1">
      <c r="C2500" t="inlineStr">
        <is>
          <t>PAIS DEL DOMICILIO</t>
        </is>
      </c>
      <c r="D2500" t="inlineStr">
        <is>
          <t>F6</t>
        </is>
      </c>
      <c r="E2500" t="inlineStr">
        <is>
          <t>INHERENTE</t>
        </is>
      </c>
      <c r="F2500" t="inlineStr">
        <is>
          <t>SEYCHELLES</t>
        </is>
      </c>
      <c r="G2500" t="inlineStr">
        <is>
          <t>SC</t>
        </is>
      </c>
      <c r="H2500" t="n">
        <v>3</v>
      </c>
      <c r="I2500" t="n">
        <v>3</v>
      </c>
      <c r="J2500" t="n">
        <v>4</v>
      </c>
      <c r="K2500" t="n">
        <v>12</v>
      </c>
      <c r="L2500" t="n">
        <v>12</v>
      </c>
      <c r="M2500" t="n">
        <v>12</v>
      </c>
      <c r="N2500" t="n">
        <v>12</v>
      </c>
      <c r="O2500" t="n">
        <v>20</v>
      </c>
      <c r="P2500" t="n">
        <v>4</v>
      </c>
      <c r="R2500" s="9" t="n">
        <v>0.04</v>
      </c>
      <c r="S2500" s="10" t="inlineStr">
        <is>
          <t>SÍ — integrante</t>
        </is>
      </c>
      <c r="T2500" s="11" t="inlineStr">
        <is>
          <t>B · INTEGRANTE</t>
        </is>
      </c>
      <c r="U2500" s="11" t="inlineStr">
        <is>
          <t>DEL BANCO (se hereda)</t>
        </is>
      </c>
      <c r="V2500" s="11" t="n"/>
      <c r="W2500" s="12" t="n"/>
      <c r="X2500" s="12" t="n"/>
    </row>
    <row r="2501" ht="15" customHeight="1">
      <c r="C2501" t="inlineStr">
        <is>
          <t>PAIS DEL DOMICILIO</t>
        </is>
      </c>
      <c r="D2501" t="inlineStr">
        <is>
          <t>F6</t>
        </is>
      </c>
      <c r="E2501" t="inlineStr">
        <is>
          <t>INHERENTE</t>
        </is>
      </c>
      <c r="F2501" t="inlineStr">
        <is>
          <t>SUDAN</t>
        </is>
      </c>
      <c r="G2501" t="inlineStr">
        <is>
          <t>SD</t>
        </is>
      </c>
      <c r="H2501" t="n">
        <v>4</v>
      </c>
      <c r="I2501" t="n">
        <v>4</v>
      </c>
      <c r="J2501" t="n">
        <v>4</v>
      </c>
      <c r="K2501" t="n">
        <v>16</v>
      </c>
      <c r="L2501" t="n">
        <v>16</v>
      </c>
      <c r="M2501" t="n">
        <v>16</v>
      </c>
      <c r="N2501" t="n">
        <v>16</v>
      </c>
      <c r="O2501" t="n">
        <v>20</v>
      </c>
      <c r="P2501" t="n">
        <v>4</v>
      </c>
      <c r="R2501" s="9" t="n">
        <v>0.04</v>
      </c>
      <c r="S2501" s="10" t="inlineStr">
        <is>
          <t>SÍ — integrante</t>
        </is>
      </c>
      <c r="T2501" s="11" t="inlineStr">
        <is>
          <t>B · INTEGRANTE</t>
        </is>
      </c>
      <c r="U2501" s="11" t="inlineStr">
        <is>
          <t>DEL BANCO (se hereda)</t>
        </is>
      </c>
      <c r="V2501" s="11" t="n"/>
      <c r="W2501" s="12" t="n"/>
      <c r="X2501" s="12" t="n"/>
    </row>
    <row r="2502" ht="15" customHeight="1">
      <c r="C2502" t="inlineStr">
        <is>
          <t>PAIS DEL DOMICILIO</t>
        </is>
      </c>
      <c r="D2502" t="inlineStr">
        <is>
          <t>F6</t>
        </is>
      </c>
      <c r="E2502" t="inlineStr">
        <is>
          <t>INHERENTE</t>
        </is>
      </c>
      <c r="F2502" t="inlineStr">
        <is>
          <t>SUECIA</t>
        </is>
      </c>
      <c r="G2502" t="inlineStr">
        <is>
          <t>SE</t>
        </is>
      </c>
      <c r="H2502" t="n">
        <v>1</v>
      </c>
      <c r="I2502" t="n">
        <v>1</v>
      </c>
      <c r="J2502" t="n">
        <v>4</v>
      </c>
      <c r="K2502" t="n">
        <v>4</v>
      </c>
      <c r="L2502" t="n">
        <v>4</v>
      </c>
      <c r="M2502" t="n">
        <v>4</v>
      </c>
      <c r="N2502" t="n">
        <v>4</v>
      </c>
      <c r="O2502" t="n">
        <v>20</v>
      </c>
      <c r="P2502" t="n">
        <v>4</v>
      </c>
      <c r="R2502" s="9" t="n">
        <v>0.04</v>
      </c>
      <c r="S2502" s="10" t="inlineStr">
        <is>
          <t>SÍ — integrante</t>
        </is>
      </c>
      <c r="T2502" s="11" t="inlineStr">
        <is>
          <t>B · INTEGRANTE</t>
        </is>
      </c>
      <c r="U2502" s="11" t="inlineStr">
        <is>
          <t>DEL BANCO (se hereda)</t>
        </is>
      </c>
      <c r="V2502" s="11" t="n"/>
      <c r="W2502" s="12" t="n"/>
      <c r="X2502" s="12" t="n"/>
    </row>
    <row r="2503" ht="15" customHeight="1">
      <c r="C2503" t="inlineStr">
        <is>
          <t>PAIS DEL DOMICILIO</t>
        </is>
      </c>
      <c r="D2503" t="inlineStr">
        <is>
          <t>F6</t>
        </is>
      </c>
      <c r="E2503" t="inlineStr">
        <is>
          <t>INHERENTE</t>
        </is>
      </c>
      <c r="F2503" t="inlineStr">
        <is>
          <t>SINGAPUR</t>
        </is>
      </c>
      <c r="G2503" t="inlineStr">
        <is>
          <t>SG</t>
        </is>
      </c>
      <c r="H2503" t="n">
        <v>3</v>
      </c>
      <c r="I2503" t="n">
        <v>3</v>
      </c>
      <c r="J2503" t="n">
        <v>4</v>
      </c>
      <c r="K2503" t="n">
        <v>12</v>
      </c>
      <c r="L2503" t="n">
        <v>12</v>
      </c>
      <c r="M2503" t="n">
        <v>12</v>
      </c>
      <c r="N2503" t="n">
        <v>12</v>
      </c>
      <c r="O2503" t="n">
        <v>20</v>
      </c>
      <c r="P2503" t="n">
        <v>4</v>
      </c>
      <c r="R2503" s="9" t="n">
        <v>0.04</v>
      </c>
      <c r="S2503" s="10" t="inlineStr">
        <is>
          <t>SÍ — integrante</t>
        </is>
      </c>
      <c r="T2503" s="11" t="inlineStr">
        <is>
          <t>B · INTEGRANTE</t>
        </is>
      </c>
      <c r="U2503" s="11" t="inlineStr">
        <is>
          <t>DEL BANCO (se hereda)</t>
        </is>
      </c>
      <c r="V2503" s="11" t="n"/>
      <c r="W2503" s="12" t="n"/>
      <c r="X2503" s="12" t="n"/>
    </row>
    <row r="2504" ht="15" customHeight="1">
      <c r="C2504" t="inlineStr">
        <is>
          <t>PAIS DEL DOMICILIO</t>
        </is>
      </c>
      <c r="D2504" t="inlineStr">
        <is>
          <t>F6</t>
        </is>
      </c>
      <c r="E2504" t="inlineStr">
        <is>
          <t>INHERENTE</t>
        </is>
      </c>
      <c r="F2504" t="inlineStr">
        <is>
          <t>ST ELENA, ASCENSION</t>
        </is>
      </c>
      <c r="G2504" t="inlineStr">
        <is>
          <t>SH</t>
        </is>
      </c>
      <c r="H2504" t="n">
        <v>1</v>
      </c>
      <c r="I2504" t="n">
        <v>1</v>
      </c>
      <c r="J2504" t="n">
        <v>4</v>
      </c>
      <c r="K2504" t="n">
        <v>4</v>
      </c>
      <c r="L2504" t="n">
        <v>4</v>
      </c>
      <c r="M2504" t="n">
        <v>4</v>
      </c>
      <c r="N2504" t="n">
        <v>4</v>
      </c>
      <c r="O2504" t="n">
        <v>20</v>
      </c>
      <c r="P2504" t="n">
        <v>4</v>
      </c>
      <c r="R2504" s="9" t="n">
        <v>0.04</v>
      </c>
      <c r="S2504" s="10" t="inlineStr">
        <is>
          <t>SÍ — integrante</t>
        </is>
      </c>
      <c r="T2504" s="11" t="inlineStr">
        <is>
          <t>B · INTEGRANTE</t>
        </is>
      </c>
      <c r="U2504" s="11" t="inlineStr">
        <is>
          <t>DEL BANCO (se hereda)</t>
        </is>
      </c>
      <c r="V2504" s="11" t="n"/>
      <c r="W2504" s="12" t="n"/>
      <c r="X2504" s="12" t="n"/>
    </row>
    <row r="2505" ht="15" customHeight="1">
      <c r="C2505" t="inlineStr">
        <is>
          <t>PAIS DEL DOMICILIO</t>
        </is>
      </c>
      <c r="D2505" t="inlineStr">
        <is>
          <t>F6</t>
        </is>
      </c>
      <c r="E2505" t="inlineStr">
        <is>
          <t>INHERENTE</t>
        </is>
      </c>
      <c r="F2505" t="inlineStr">
        <is>
          <t>SLOVENIA</t>
        </is>
      </c>
      <c r="G2505" t="inlineStr">
        <is>
          <t>SI</t>
        </is>
      </c>
      <c r="H2505" t="n">
        <v>1</v>
      </c>
      <c r="I2505" t="n">
        <v>1</v>
      </c>
      <c r="J2505" t="n">
        <v>4</v>
      </c>
      <c r="K2505" t="n">
        <v>4</v>
      </c>
      <c r="L2505" t="n">
        <v>4</v>
      </c>
      <c r="M2505" t="n">
        <v>4</v>
      </c>
      <c r="N2505" t="n">
        <v>4</v>
      </c>
      <c r="O2505" t="n">
        <v>20</v>
      </c>
      <c r="P2505" t="n">
        <v>4</v>
      </c>
      <c r="R2505" s="9" t="n">
        <v>0.04</v>
      </c>
      <c r="S2505" s="10" t="inlineStr">
        <is>
          <t>SÍ — integrante</t>
        </is>
      </c>
      <c r="T2505" s="11" t="inlineStr">
        <is>
          <t>B · INTEGRANTE</t>
        </is>
      </c>
      <c r="U2505" s="11" t="inlineStr">
        <is>
          <t>DEL BANCO (se hereda)</t>
        </is>
      </c>
      <c r="V2505" s="11" t="n"/>
      <c r="W2505" s="12" t="n"/>
      <c r="X2505" s="12" t="n"/>
    </row>
    <row r="2506" ht="15" customHeight="1">
      <c r="C2506" t="inlineStr">
        <is>
          <t>PAIS DEL DOMICILIO</t>
        </is>
      </c>
      <c r="D2506" t="inlineStr">
        <is>
          <t>F6</t>
        </is>
      </c>
      <c r="E2506" t="inlineStr">
        <is>
          <t>INHERENTE</t>
        </is>
      </c>
      <c r="F2506" t="inlineStr">
        <is>
          <t>SVALBARD</t>
        </is>
      </c>
      <c r="G2506" t="inlineStr">
        <is>
          <t>SJ</t>
        </is>
      </c>
      <c r="H2506" t="n">
        <v>1</v>
      </c>
      <c r="I2506" t="n">
        <v>1</v>
      </c>
      <c r="J2506" t="n">
        <v>4</v>
      </c>
      <c r="K2506" t="n">
        <v>4</v>
      </c>
      <c r="L2506" t="n">
        <v>4</v>
      </c>
      <c r="M2506" t="n">
        <v>4</v>
      </c>
      <c r="N2506" t="n">
        <v>4</v>
      </c>
      <c r="O2506" t="n">
        <v>20</v>
      </c>
      <c r="P2506" t="n">
        <v>4</v>
      </c>
      <c r="R2506" s="9" t="n">
        <v>0.04</v>
      </c>
      <c r="S2506" s="10" t="inlineStr">
        <is>
          <t>SÍ — integrante</t>
        </is>
      </c>
      <c r="T2506" s="11" t="inlineStr">
        <is>
          <t>B · INTEGRANTE</t>
        </is>
      </c>
      <c r="U2506" s="11" t="inlineStr">
        <is>
          <t>DEL BANCO (se hereda)</t>
        </is>
      </c>
      <c r="V2506" s="11" t="n"/>
      <c r="W2506" s="12" t="n"/>
      <c r="X2506" s="12" t="n"/>
    </row>
    <row r="2507" ht="15" customHeight="1">
      <c r="C2507" t="inlineStr">
        <is>
          <t>PAIS DEL DOMICILIO</t>
        </is>
      </c>
      <c r="D2507" t="inlineStr">
        <is>
          <t>F6</t>
        </is>
      </c>
      <c r="E2507" t="inlineStr">
        <is>
          <t>INHERENTE</t>
        </is>
      </c>
      <c r="F2507" t="inlineStr">
        <is>
          <t>SLOVAKIA</t>
        </is>
      </c>
      <c r="G2507" t="inlineStr">
        <is>
          <t>SK</t>
        </is>
      </c>
      <c r="H2507" t="n">
        <v>1</v>
      </c>
      <c r="I2507" t="n">
        <v>1</v>
      </c>
      <c r="J2507" t="n">
        <v>4</v>
      </c>
      <c r="K2507" t="n">
        <v>4</v>
      </c>
      <c r="L2507" t="n">
        <v>4</v>
      </c>
      <c r="M2507" t="n">
        <v>4</v>
      </c>
      <c r="N2507" t="n">
        <v>4</v>
      </c>
      <c r="O2507" t="n">
        <v>20</v>
      </c>
      <c r="P2507" t="n">
        <v>4</v>
      </c>
      <c r="R2507" s="9" t="n">
        <v>0.04</v>
      </c>
      <c r="S2507" s="10" t="inlineStr">
        <is>
          <t>SÍ — integrante</t>
        </is>
      </c>
      <c r="T2507" s="11" t="inlineStr">
        <is>
          <t>B · INTEGRANTE</t>
        </is>
      </c>
      <c r="U2507" s="11" t="inlineStr">
        <is>
          <t>DEL BANCO (se hereda)</t>
        </is>
      </c>
      <c r="V2507" s="11" t="n"/>
      <c r="W2507" s="12" t="n"/>
      <c r="X2507" s="12" t="n"/>
    </row>
    <row r="2508" ht="15" customHeight="1">
      <c r="C2508" t="inlineStr">
        <is>
          <t>PAIS DEL DOMICILIO</t>
        </is>
      </c>
      <c r="D2508" t="inlineStr">
        <is>
          <t>F6</t>
        </is>
      </c>
      <c r="E2508" t="inlineStr">
        <is>
          <t>INHERENTE</t>
        </is>
      </c>
      <c r="F2508" t="inlineStr">
        <is>
          <t>SIERRA LEONA</t>
        </is>
      </c>
      <c r="G2508" t="inlineStr">
        <is>
          <t>SL</t>
        </is>
      </c>
      <c r="H2508" t="n">
        <v>3</v>
      </c>
      <c r="I2508" t="n">
        <v>3</v>
      </c>
      <c r="J2508" t="n">
        <v>4</v>
      </c>
      <c r="K2508" t="n">
        <v>12</v>
      </c>
      <c r="L2508" t="n">
        <v>12</v>
      </c>
      <c r="M2508" t="n">
        <v>12</v>
      </c>
      <c r="N2508" t="n">
        <v>12</v>
      </c>
      <c r="O2508" t="n">
        <v>20</v>
      </c>
      <c r="P2508" t="n">
        <v>4</v>
      </c>
      <c r="R2508" s="9" t="n">
        <v>0.04</v>
      </c>
      <c r="S2508" s="10" t="inlineStr">
        <is>
          <t>SÍ — integrante</t>
        </is>
      </c>
      <c r="T2508" s="11" t="inlineStr">
        <is>
          <t>B · INTEGRANTE</t>
        </is>
      </c>
      <c r="U2508" s="11" t="inlineStr">
        <is>
          <t>DEL BANCO (se hereda)</t>
        </is>
      </c>
      <c r="V2508" s="11" t="n"/>
      <c r="W2508" s="12" t="n"/>
      <c r="X2508" s="12" t="n"/>
    </row>
    <row r="2509" ht="15" customHeight="1">
      <c r="C2509" t="inlineStr">
        <is>
          <t>PAIS DEL DOMICILIO</t>
        </is>
      </c>
      <c r="D2509" t="inlineStr">
        <is>
          <t>F6</t>
        </is>
      </c>
      <c r="E2509" t="inlineStr">
        <is>
          <t>INHERENTE</t>
        </is>
      </c>
      <c r="F2509" t="inlineStr">
        <is>
          <t>SAN MARINO</t>
        </is>
      </c>
      <c r="G2509" t="inlineStr">
        <is>
          <t>SM</t>
        </is>
      </c>
      <c r="H2509" t="n">
        <v>1</v>
      </c>
      <c r="I2509" t="n">
        <v>1</v>
      </c>
      <c r="J2509" t="n">
        <v>4</v>
      </c>
      <c r="K2509" t="n">
        <v>4</v>
      </c>
      <c r="L2509" t="n">
        <v>4</v>
      </c>
      <c r="M2509" t="n">
        <v>4</v>
      </c>
      <c r="N2509" t="n">
        <v>4</v>
      </c>
      <c r="O2509" t="n">
        <v>20</v>
      </c>
      <c r="P2509" t="n">
        <v>4</v>
      </c>
      <c r="R2509" s="9" t="n">
        <v>0.04</v>
      </c>
      <c r="S2509" s="10" t="inlineStr">
        <is>
          <t>SÍ — integrante</t>
        </is>
      </c>
      <c r="T2509" s="11" t="inlineStr">
        <is>
          <t>B · INTEGRANTE</t>
        </is>
      </c>
      <c r="U2509" s="11" t="inlineStr">
        <is>
          <t>DEL BANCO (se hereda)</t>
        </is>
      </c>
      <c r="V2509" s="11" t="n"/>
      <c r="W2509" s="12" t="n"/>
      <c r="X2509" s="12" t="n"/>
    </row>
    <row r="2510" ht="15" customHeight="1">
      <c r="C2510" t="inlineStr">
        <is>
          <t>PAIS DEL DOMICILIO</t>
        </is>
      </c>
      <c r="D2510" t="inlineStr">
        <is>
          <t>F6</t>
        </is>
      </c>
      <c r="E2510" t="inlineStr">
        <is>
          <t>INHERENTE</t>
        </is>
      </c>
      <c r="F2510" t="inlineStr">
        <is>
          <t>SENEGAL</t>
        </is>
      </c>
      <c r="G2510" t="inlineStr">
        <is>
          <t>SN</t>
        </is>
      </c>
      <c r="H2510" t="n">
        <v>2</v>
      </c>
      <c r="I2510" t="n">
        <v>2</v>
      </c>
      <c r="J2510" t="n">
        <v>4</v>
      </c>
      <c r="K2510" t="n">
        <v>8</v>
      </c>
      <c r="L2510" t="n">
        <v>8</v>
      </c>
      <c r="M2510" t="n">
        <v>8</v>
      </c>
      <c r="N2510" t="n">
        <v>8</v>
      </c>
      <c r="O2510" t="n">
        <v>20</v>
      </c>
      <c r="P2510" t="n">
        <v>4</v>
      </c>
      <c r="R2510" s="9" t="n">
        <v>0.04</v>
      </c>
      <c r="S2510" s="10" t="inlineStr">
        <is>
          <t>SÍ — integrante</t>
        </is>
      </c>
      <c r="T2510" s="11" t="inlineStr">
        <is>
          <t>B · INTEGRANTE</t>
        </is>
      </c>
      <c r="U2510" s="11" t="inlineStr">
        <is>
          <t>DEL BANCO (se hereda)</t>
        </is>
      </c>
      <c r="V2510" s="11" t="n"/>
      <c r="W2510" s="12" t="n"/>
      <c r="X2510" s="12" t="n"/>
    </row>
    <row r="2511" ht="15" customHeight="1">
      <c r="C2511" t="inlineStr">
        <is>
          <t>PAIS DEL DOMICILIO</t>
        </is>
      </c>
      <c r="D2511" t="inlineStr">
        <is>
          <t>F6</t>
        </is>
      </c>
      <c r="E2511" t="inlineStr">
        <is>
          <t>INHERENTE</t>
        </is>
      </c>
      <c r="F2511" t="inlineStr">
        <is>
          <t>SOMALIA</t>
        </is>
      </c>
      <c r="G2511" t="inlineStr">
        <is>
          <t>SO</t>
        </is>
      </c>
      <c r="H2511" t="n">
        <v>4</v>
      </c>
      <c r="I2511" t="n">
        <v>4</v>
      </c>
      <c r="J2511" t="n">
        <v>4</v>
      </c>
      <c r="K2511" t="n">
        <v>16</v>
      </c>
      <c r="L2511" t="n">
        <v>16</v>
      </c>
      <c r="M2511" t="n">
        <v>16</v>
      </c>
      <c r="N2511" t="n">
        <v>16</v>
      </c>
      <c r="O2511" t="n">
        <v>20</v>
      </c>
      <c r="P2511" t="n">
        <v>4</v>
      </c>
      <c r="R2511" s="9" t="n">
        <v>0.04</v>
      </c>
      <c r="S2511" s="10" t="inlineStr">
        <is>
          <t>SÍ — integrante</t>
        </is>
      </c>
      <c r="T2511" s="11" t="inlineStr">
        <is>
          <t>B · INTEGRANTE</t>
        </is>
      </c>
      <c r="U2511" s="11" t="inlineStr">
        <is>
          <t>DEL BANCO (se hereda)</t>
        </is>
      </c>
      <c r="V2511" s="11" t="n"/>
      <c r="W2511" s="12" t="n"/>
      <c r="X2511" s="12" t="n"/>
    </row>
    <row r="2512" ht="15" customHeight="1">
      <c r="C2512" t="inlineStr">
        <is>
          <t>PAIS DEL DOMICILIO</t>
        </is>
      </c>
      <c r="D2512" t="inlineStr">
        <is>
          <t>F6</t>
        </is>
      </c>
      <c r="E2512" t="inlineStr">
        <is>
          <t>INHERENTE</t>
        </is>
      </c>
      <c r="F2512" t="inlineStr">
        <is>
          <t>SURINAM</t>
        </is>
      </c>
      <c r="G2512" t="inlineStr">
        <is>
          <t>SR</t>
        </is>
      </c>
      <c r="H2512" t="n">
        <v>3</v>
      </c>
      <c r="I2512" t="n">
        <v>3</v>
      </c>
      <c r="J2512" t="n">
        <v>4</v>
      </c>
      <c r="K2512" t="n">
        <v>12</v>
      </c>
      <c r="L2512" t="n">
        <v>12</v>
      </c>
      <c r="M2512" t="n">
        <v>12</v>
      </c>
      <c r="N2512" t="n">
        <v>12</v>
      </c>
      <c r="O2512" t="n">
        <v>20</v>
      </c>
      <c r="P2512" t="n">
        <v>4</v>
      </c>
      <c r="R2512" s="9" t="n">
        <v>0.04</v>
      </c>
      <c r="S2512" s="10" t="inlineStr">
        <is>
          <t>SÍ — integrante</t>
        </is>
      </c>
      <c r="T2512" s="11" t="inlineStr">
        <is>
          <t>B · INTEGRANTE</t>
        </is>
      </c>
      <c r="U2512" s="11" t="inlineStr">
        <is>
          <t>DEL BANCO (se hereda)</t>
        </is>
      </c>
      <c r="V2512" s="11" t="n"/>
      <c r="W2512" s="12" t="n"/>
      <c r="X2512" s="12" t="n"/>
    </row>
    <row r="2513" ht="15" customHeight="1">
      <c r="C2513" t="inlineStr">
        <is>
          <t>PAIS DEL DOMICILIO</t>
        </is>
      </c>
      <c r="D2513" t="inlineStr">
        <is>
          <t>F6</t>
        </is>
      </c>
      <c r="E2513" t="inlineStr">
        <is>
          <t>INHERENTE</t>
        </is>
      </c>
      <c r="F2513" t="inlineStr">
        <is>
          <t>SANTO TOME</t>
        </is>
      </c>
      <c r="G2513" t="inlineStr">
        <is>
          <t>ST</t>
        </is>
      </c>
      <c r="H2513" t="n">
        <v>2</v>
      </c>
      <c r="I2513" t="n">
        <v>2</v>
      </c>
      <c r="J2513" t="n">
        <v>4</v>
      </c>
      <c r="K2513" t="n">
        <v>8</v>
      </c>
      <c r="L2513" t="n">
        <v>8</v>
      </c>
      <c r="M2513" t="n">
        <v>8</v>
      </c>
      <c r="N2513" t="n">
        <v>8</v>
      </c>
      <c r="O2513" t="n">
        <v>20</v>
      </c>
      <c r="P2513" t="n">
        <v>4</v>
      </c>
      <c r="R2513" s="9" t="n">
        <v>0.04</v>
      </c>
      <c r="S2513" s="10" t="inlineStr">
        <is>
          <t>SÍ — integrante</t>
        </is>
      </c>
      <c r="T2513" s="11" t="inlineStr">
        <is>
          <t>B · INTEGRANTE</t>
        </is>
      </c>
      <c r="U2513" s="11" t="inlineStr">
        <is>
          <t>DEL BANCO (se hereda)</t>
        </is>
      </c>
      <c r="V2513" s="11" t="n"/>
      <c r="W2513" s="12" t="n"/>
      <c r="X2513" s="12" t="n"/>
    </row>
    <row r="2514" ht="15" customHeight="1">
      <c r="C2514" t="inlineStr">
        <is>
          <t>PAIS DEL DOMICILIO</t>
        </is>
      </c>
      <c r="D2514" t="inlineStr">
        <is>
          <t>F6</t>
        </is>
      </c>
      <c r="E2514" t="inlineStr">
        <is>
          <t>INHERENTE</t>
        </is>
      </c>
      <c r="F2514" t="inlineStr">
        <is>
          <t>EL SALVADOR</t>
        </is>
      </c>
      <c r="G2514" t="inlineStr">
        <is>
          <t>SV</t>
        </is>
      </c>
      <c r="H2514" t="n">
        <v>3</v>
      </c>
      <c r="I2514" t="n">
        <v>3</v>
      </c>
      <c r="J2514" t="n">
        <v>4</v>
      </c>
      <c r="K2514" t="n">
        <v>12</v>
      </c>
      <c r="L2514" t="n">
        <v>12</v>
      </c>
      <c r="M2514" t="n">
        <v>12</v>
      </c>
      <c r="N2514" t="n">
        <v>12</v>
      </c>
      <c r="O2514" t="n">
        <v>20</v>
      </c>
      <c r="P2514" t="n">
        <v>4</v>
      </c>
      <c r="R2514" s="9" t="n">
        <v>0.04</v>
      </c>
      <c r="S2514" s="10" t="inlineStr">
        <is>
          <t>SÍ — integrante</t>
        </is>
      </c>
      <c r="T2514" s="11" t="inlineStr">
        <is>
          <t>B · INTEGRANTE</t>
        </is>
      </c>
      <c r="U2514" s="11" t="inlineStr">
        <is>
          <t>DEL BANCO (se hereda)</t>
        </is>
      </c>
      <c r="V2514" s="11" t="n"/>
      <c r="W2514" s="12" t="n"/>
      <c r="X2514" s="12" t="n"/>
    </row>
    <row r="2515" ht="15" customHeight="1">
      <c r="C2515" t="inlineStr">
        <is>
          <t>PAIS DEL DOMICILIO</t>
        </is>
      </c>
      <c r="D2515" t="inlineStr">
        <is>
          <t>F6</t>
        </is>
      </c>
      <c r="E2515" t="inlineStr">
        <is>
          <t>INHERENTE</t>
        </is>
      </c>
      <c r="F2515" t="inlineStr">
        <is>
          <t>SIRIA</t>
        </is>
      </c>
      <c r="G2515" t="inlineStr">
        <is>
          <t>SY</t>
        </is>
      </c>
      <c r="H2515" t="n">
        <v>4</v>
      </c>
      <c r="I2515" t="n">
        <v>4</v>
      </c>
      <c r="J2515" t="n">
        <v>4</v>
      </c>
      <c r="K2515" t="n">
        <v>16</v>
      </c>
      <c r="L2515" t="n">
        <v>16</v>
      </c>
      <c r="M2515" t="n">
        <v>16</v>
      </c>
      <c r="N2515" t="n">
        <v>16</v>
      </c>
      <c r="O2515" t="n">
        <v>20</v>
      </c>
      <c r="P2515" t="n">
        <v>4</v>
      </c>
      <c r="Q2515" t="inlineStr">
        <is>
          <t>DETERMINANTE</t>
        </is>
      </c>
      <c r="R2515" s="9" t="n">
        <v>0.04</v>
      </c>
      <c r="S2515" s="10" t="inlineStr">
        <is>
          <t>SÍ — integrante</t>
        </is>
      </c>
      <c r="T2515" s="11" t="inlineStr">
        <is>
          <t>B · INTEGRANTE</t>
        </is>
      </c>
      <c r="U2515" s="11" t="inlineStr">
        <is>
          <t>DEL BANCO (se hereda)</t>
        </is>
      </c>
      <c r="V2515" s="11" t="n"/>
      <c r="W2515" s="12" t="n"/>
      <c r="X2515" s="12" t="n"/>
    </row>
    <row r="2516" ht="15" customHeight="1">
      <c r="C2516" t="inlineStr">
        <is>
          <t>PAIS DEL DOMICILIO</t>
        </is>
      </c>
      <c r="D2516" t="inlineStr">
        <is>
          <t>F6</t>
        </is>
      </c>
      <c r="E2516" t="inlineStr">
        <is>
          <t>INHERENTE</t>
        </is>
      </c>
      <c r="F2516" t="inlineStr">
        <is>
          <t>SWAZILANDIA</t>
        </is>
      </c>
      <c r="G2516" t="inlineStr">
        <is>
          <t>SZ</t>
        </is>
      </c>
      <c r="H2516" t="n">
        <v>4</v>
      </c>
      <c r="I2516" t="n">
        <v>4</v>
      </c>
      <c r="J2516" t="n">
        <v>4</v>
      </c>
      <c r="K2516" t="n">
        <v>16</v>
      </c>
      <c r="L2516" t="n">
        <v>16</v>
      </c>
      <c r="M2516" t="n">
        <v>16</v>
      </c>
      <c r="N2516" t="n">
        <v>16</v>
      </c>
      <c r="O2516" t="n">
        <v>20</v>
      </c>
      <c r="P2516" t="n">
        <v>4</v>
      </c>
      <c r="R2516" s="9" t="n">
        <v>0.04</v>
      </c>
      <c r="S2516" s="10" t="inlineStr">
        <is>
          <t>SÍ — integrante</t>
        </is>
      </c>
      <c r="T2516" s="11" t="inlineStr">
        <is>
          <t>B · INTEGRANTE</t>
        </is>
      </c>
      <c r="U2516" s="11" t="inlineStr">
        <is>
          <t>DEL BANCO (se hereda)</t>
        </is>
      </c>
      <c r="V2516" s="11" t="n"/>
      <c r="W2516" s="12" t="n"/>
      <c r="X2516" s="12" t="n"/>
    </row>
    <row r="2517" ht="15" customHeight="1">
      <c r="C2517" t="inlineStr">
        <is>
          <t>PAIS DEL DOMICILIO</t>
        </is>
      </c>
      <c r="D2517" t="inlineStr">
        <is>
          <t>F6</t>
        </is>
      </c>
      <c r="E2517" t="inlineStr">
        <is>
          <t>INHERENTE</t>
        </is>
      </c>
      <c r="F2517" t="inlineStr">
        <is>
          <t>ISLAS TURCAS Y CAICO</t>
        </is>
      </c>
      <c r="G2517" t="inlineStr">
        <is>
          <t>TC</t>
        </is>
      </c>
      <c r="H2517" t="n">
        <v>3</v>
      </c>
      <c r="I2517" t="n">
        <v>3</v>
      </c>
      <c r="J2517" t="n">
        <v>4</v>
      </c>
      <c r="K2517" t="n">
        <v>12</v>
      </c>
      <c r="L2517" t="n">
        <v>12</v>
      </c>
      <c r="M2517" t="n">
        <v>12</v>
      </c>
      <c r="N2517" t="n">
        <v>12</v>
      </c>
      <c r="O2517" t="n">
        <v>20</v>
      </c>
      <c r="P2517" t="n">
        <v>4</v>
      </c>
      <c r="R2517" s="9" t="n">
        <v>0.04</v>
      </c>
      <c r="S2517" s="10" t="inlineStr">
        <is>
          <t>SÍ — integrante</t>
        </is>
      </c>
      <c r="T2517" s="11" t="inlineStr">
        <is>
          <t>B · INTEGRANTE</t>
        </is>
      </c>
      <c r="U2517" s="11" t="inlineStr">
        <is>
          <t>DEL BANCO (se hereda)</t>
        </is>
      </c>
      <c r="V2517" s="11" t="n"/>
      <c r="W2517" s="12" t="n"/>
      <c r="X2517" s="12" t="n"/>
    </row>
    <row r="2518" ht="15" customHeight="1">
      <c r="C2518" t="inlineStr">
        <is>
          <t>PAIS DEL DOMICILIO</t>
        </is>
      </c>
      <c r="D2518" t="inlineStr">
        <is>
          <t>F6</t>
        </is>
      </c>
      <c r="E2518" t="inlineStr">
        <is>
          <t>INHERENTE</t>
        </is>
      </c>
      <c r="F2518" t="inlineStr">
        <is>
          <t>CHAD</t>
        </is>
      </c>
      <c r="G2518" t="inlineStr">
        <is>
          <t>TD</t>
        </is>
      </c>
      <c r="H2518" t="n">
        <v>4</v>
      </c>
      <c r="I2518" t="n">
        <v>4</v>
      </c>
      <c r="J2518" t="n">
        <v>4</v>
      </c>
      <c r="K2518" t="n">
        <v>16</v>
      </c>
      <c r="L2518" t="n">
        <v>16</v>
      </c>
      <c r="M2518" t="n">
        <v>16</v>
      </c>
      <c r="N2518" t="n">
        <v>16</v>
      </c>
      <c r="O2518" t="n">
        <v>20</v>
      </c>
      <c r="P2518" t="n">
        <v>4</v>
      </c>
      <c r="R2518" s="9" t="n">
        <v>0.04</v>
      </c>
      <c r="S2518" s="10" t="inlineStr">
        <is>
          <t>SÍ — integrante</t>
        </is>
      </c>
      <c r="T2518" s="11" t="inlineStr">
        <is>
          <t>B · INTEGRANTE</t>
        </is>
      </c>
      <c r="U2518" s="11" t="inlineStr">
        <is>
          <t>DEL BANCO (se hereda)</t>
        </is>
      </c>
      <c r="V2518" s="11" t="n"/>
      <c r="W2518" s="12" t="n"/>
      <c r="X2518" s="12" t="n"/>
    </row>
    <row r="2519" ht="15" customHeight="1">
      <c r="C2519" t="inlineStr">
        <is>
          <t>PAIS DEL DOMICILIO</t>
        </is>
      </c>
      <c r="D2519" t="inlineStr">
        <is>
          <t>F6</t>
        </is>
      </c>
      <c r="E2519" t="inlineStr">
        <is>
          <t>INHERENTE</t>
        </is>
      </c>
      <c r="F2519" t="inlineStr">
        <is>
          <t>TERRIT AUS FRAN</t>
        </is>
      </c>
      <c r="G2519" t="inlineStr">
        <is>
          <t>TF</t>
        </is>
      </c>
      <c r="H2519" t="n">
        <v>1</v>
      </c>
      <c r="I2519" t="n">
        <v>1</v>
      </c>
      <c r="J2519" t="n">
        <v>4</v>
      </c>
      <c r="K2519" t="n">
        <v>4</v>
      </c>
      <c r="L2519" t="n">
        <v>4</v>
      </c>
      <c r="M2519" t="n">
        <v>4</v>
      </c>
      <c r="N2519" t="n">
        <v>4</v>
      </c>
      <c r="O2519" t="n">
        <v>20</v>
      </c>
      <c r="P2519" t="n">
        <v>4</v>
      </c>
      <c r="R2519" s="9" t="n">
        <v>0.04</v>
      </c>
      <c r="S2519" s="10" t="inlineStr">
        <is>
          <t>SÍ — integrante</t>
        </is>
      </c>
      <c r="T2519" s="11" t="inlineStr">
        <is>
          <t>B · INTEGRANTE</t>
        </is>
      </c>
      <c r="U2519" s="11" t="inlineStr">
        <is>
          <t>DEL BANCO (se hereda)</t>
        </is>
      </c>
      <c r="V2519" s="11" t="n"/>
      <c r="W2519" s="12" t="n"/>
      <c r="X2519" s="12" t="n"/>
    </row>
    <row r="2520" ht="15" customHeight="1">
      <c r="C2520" t="inlineStr">
        <is>
          <t>PAIS DEL DOMICILIO</t>
        </is>
      </c>
      <c r="D2520" t="inlineStr">
        <is>
          <t>F6</t>
        </is>
      </c>
      <c r="E2520" t="inlineStr">
        <is>
          <t>INHERENTE</t>
        </is>
      </c>
      <c r="F2520" t="inlineStr">
        <is>
          <t>TOGO</t>
        </is>
      </c>
      <c r="G2520" t="inlineStr">
        <is>
          <t>TG</t>
        </is>
      </c>
      <c r="H2520" t="n">
        <v>3</v>
      </c>
      <c r="I2520" t="n">
        <v>3</v>
      </c>
      <c r="J2520" t="n">
        <v>4</v>
      </c>
      <c r="K2520" t="n">
        <v>12</v>
      </c>
      <c r="L2520" t="n">
        <v>12</v>
      </c>
      <c r="M2520" t="n">
        <v>12</v>
      </c>
      <c r="N2520" t="n">
        <v>12</v>
      </c>
      <c r="O2520" t="n">
        <v>20</v>
      </c>
      <c r="P2520" t="n">
        <v>4</v>
      </c>
      <c r="R2520" s="9" t="n">
        <v>0.04</v>
      </c>
      <c r="S2520" s="10" t="inlineStr">
        <is>
          <t>SÍ — integrante</t>
        </is>
      </c>
      <c r="T2520" s="11" t="inlineStr">
        <is>
          <t>B · INTEGRANTE</t>
        </is>
      </c>
      <c r="U2520" s="11" t="inlineStr">
        <is>
          <t>DEL BANCO (se hereda)</t>
        </is>
      </c>
      <c r="V2520" s="11" t="n"/>
      <c r="W2520" s="12" t="n"/>
      <c r="X2520" s="12" t="n"/>
    </row>
    <row r="2521" ht="15" customHeight="1">
      <c r="C2521" t="inlineStr">
        <is>
          <t>PAIS DEL DOMICILIO</t>
        </is>
      </c>
      <c r="D2521" t="inlineStr">
        <is>
          <t>F6</t>
        </is>
      </c>
      <c r="E2521" t="inlineStr">
        <is>
          <t>INHERENTE</t>
        </is>
      </c>
      <c r="F2521" t="inlineStr">
        <is>
          <t>TAILANDIA</t>
        </is>
      </c>
      <c r="G2521" t="inlineStr">
        <is>
          <t>TH</t>
        </is>
      </c>
      <c r="H2521" t="n">
        <v>3</v>
      </c>
      <c r="I2521" t="n">
        <v>3</v>
      </c>
      <c r="J2521" t="n">
        <v>4</v>
      </c>
      <c r="K2521" t="n">
        <v>12</v>
      </c>
      <c r="L2521" t="n">
        <v>12</v>
      </c>
      <c r="M2521" t="n">
        <v>12</v>
      </c>
      <c r="N2521" t="n">
        <v>12</v>
      </c>
      <c r="O2521" t="n">
        <v>20</v>
      </c>
      <c r="P2521" t="n">
        <v>4</v>
      </c>
      <c r="R2521" s="9" t="n">
        <v>0.04</v>
      </c>
      <c r="S2521" s="10" t="inlineStr">
        <is>
          <t>SÍ — integrante</t>
        </is>
      </c>
      <c r="T2521" s="11" t="inlineStr">
        <is>
          <t>B · INTEGRANTE</t>
        </is>
      </c>
      <c r="U2521" s="11" t="inlineStr">
        <is>
          <t>DEL BANCO (se hereda)</t>
        </is>
      </c>
      <c r="V2521" s="11" t="n"/>
      <c r="W2521" s="12" t="n"/>
      <c r="X2521" s="12" t="n"/>
    </row>
    <row r="2522" ht="15" customHeight="1">
      <c r="C2522" t="inlineStr">
        <is>
          <t>PAIS DEL DOMICILIO</t>
        </is>
      </c>
      <c r="D2522" t="inlineStr">
        <is>
          <t>F6</t>
        </is>
      </c>
      <c r="E2522" t="inlineStr">
        <is>
          <t>INHERENTE</t>
        </is>
      </c>
      <c r="F2522" t="inlineStr">
        <is>
          <t>TAJIKISTAN</t>
        </is>
      </c>
      <c r="G2522" t="inlineStr">
        <is>
          <t>TJ</t>
        </is>
      </c>
      <c r="H2522" t="n">
        <v>3</v>
      </c>
      <c r="I2522" t="n">
        <v>3</v>
      </c>
      <c r="J2522" t="n">
        <v>4</v>
      </c>
      <c r="K2522" t="n">
        <v>12</v>
      </c>
      <c r="L2522" t="n">
        <v>12</v>
      </c>
      <c r="M2522" t="n">
        <v>12</v>
      </c>
      <c r="N2522" t="n">
        <v>12</v>
      </c>
      <c r="O2522" t="n">
        <v>20</v>
      </c>
      <c r="P2522" t="n">
        <v>4</v>
      </c>
      <c r="R2522" s="9" t="n">
        <v>0.04</v>
      </c>
      <c r="S2522" s="10" t="inlineStr">
        <is>
          <t>SÍ — integrante</t>
        </is>
      </c>
      <c r="T2522" s="11" t="inlineStr">
        <is>
          <t>B · INTEGRANTE</t>
        </is>
      </c>
      <c r="U2522" s="11" t="inlineStr">
        <is>
          <t>DEL BANCO (se hereda)</t>
        </is>
      </c>
      <c r="V2522" s="11" t="n"/>
      <c r="W2522" s="12" t="n"/>
      <c r="X2522" s="12" t="n"/>
    </row>
    <row r="2523" ht="15" customHeight="1">
      <c r="C2523" t="inlineStr">
        <is>
          <t>PAIS DEL DOMICILIO</t>
        </is>
      </c>
      <c r="D2523" t="inlineStr">
        <is>
          <t>F6</t>
        </is>
      </c>
      <c r="E2523" t="inlineStr">
        <is>
          <t>INHERENTE</t>
        </is>
      </c>
      <c r="F2523" t="inlineStr">
        <is>
          <t>TOKELAU</t>
        </is>
      </c>
      <c r="G2523" t="inlineStr">
        <is>
          <t>TK</t>
        </is>
      </c>
      <c r="H2523" t="n">
        <v>1</v>
      </c>
      <c r="I2523" t="n">
        <v>1</v>
      </c>
      <c r="J2523" t="n">
        <v>4</v>
      </c>
      <c r="K2523" t="n">
        <v>4</v>
      </c>
      <c r="L2523" t="n">
        <v>4</v>
      </c>
      <c r="M2523" t="n">
        <v>4</v>
      </c>
      <c r="N2523" t="n">
        <v>4</v>
      </c>
      <c r="O2523" t="n">
        <v>20</v>
      </c>
      <c r="P2523" t="n">
        <v>4</v>
      </c>
      <c r="R2523" s="9" t="n">
        <v>0.04</v>
      </c>
      <c r="S2523" s="10" t="inlineStr">
        <is>
          <t>SÍ — integrante</t>
        </is>
      </c>
      <c r="T2523" s="11" t="inlineStr">
        <is>
          <t>B · INTEGRANTE</t>
        </is>
      </c>
      <c r="U2523" s="11" t="inlineStr">
        <is>
          <t>DEL BANCO (se hereda)</t>
        </is>
      </c>
      <c r="V2523" s="11" t="n"/>
      <c r="W2523" s="12" t="n"/>
      <c r="X2523" s="12" t="n"/>
    </row>
    <row r="2524" ht="15" customHeight="1">
      <c r="C2524" t="inlineStr">
        <is>
          <t>PAIS DEL DOMICILIO</t>
        </is>
      </c>
      <c r="D2524" t="inlineStr">
        <is>
          <t>F6</t>
        </is>
      </c>
      <c r="E2524" t="inlineStr">
        <is>
          <t>INHERENTE</t>
        </is>
      </c>
      <c r="F2524" t="inlineStr">
        <is>
          <t>TIMOR ORIENTAL</t>
        </is>
      </c>
      <c r="G2524" t="inlineStr">
        <is>
          <t>TL</t>
        </is>
      </c>
      <c r="H2524" t="n">
        <v>3</v>
      </c>
      <c r="I2524" t="n">
        <v>3</v>
      </c>
      <c r="J2524" t="n">
        <v>4</v>
      </c>
      <c r="K2524" t="n">
        <v>12</v>
      </c>
      <c r="L2524" t="n">
        <v>12</v>
      </c>
      <c r="M2524" t="n">
        <v>12</v>
      </c>
      <c r="N2524" t="n">
        <v>12</v>
      </c>
      <c r="O2524" t="n">
        <v>20</v>
      </c>
      <c r="P2524" t="n">
        <v>4</v>
      </c>
      <c r="R2524" s="9" t="n">
        <v>0.04</v>
      </c>
      <c r="S2524" s="10" t="inlineStr">
        <is>
          <t>SÍ — integrante</t>
        </is>
      </c>
      <c r="T2524" s="11" t="inlineStr">
        <is>
          <t>B · INTEGRANTE</t>
        </is>
      </c>
      <c r="U2524" s="11" t="inlineStr">
        <is>
          <t>DEL BANCO (se hereda)</t>
        </is>
      </c>
      <c r="V2524" s="11" t="n"/>
      <c r="W2524" s="12" t="n"/>
      <c r="X2524" s="12" t="n"/>
    </row>
    <row r="2525" ht="15" customHeight="1">
      <c r="C2525" t="inlineStr">
        <is>
          <t>PAIS DEL DOMICILIO</t>
        </is>
      </c>
      <c r="D2525" t="inlineStr">
        <is>
          <t>F6</t>
        </is>
      </c>
      <c r="E2525" t="inlineStr">
        <is>
          <t>INHERENTE</t>
        </is>
      </c>
      <c r="F2525" t="inlineStr">
        <is>
          <t>TURKMENISTAN</t>
        </is>
      </c>
      <c r="G2525" t="inlineStr">
        <is>
          <t>TM</t>
        </is>
      </c>
      <c r="H2525" t="n">
        <v>4</v>
      </c>
      <c r="I2525" t="n">
        <v>4</v>
      </c>
      <c r="J2525" t="n">
        <v>4</v>
      </c>
      <c r="K2525" t="n">
        <v>16</v>
      </c>
      <c r="L2525" t="n">
        <v>16</v>
      </c>
      <c r="M2525" t="n">
        <v>16</v>
      </c>
      <c r="N2525" t="n">
        <v>16</v>
      </c>
      <c r="O2525" t="n">
        <v>20</v>
      </c>
      <c r="P2525" t="n">
        <v>4</v>
      </c>
      <c r="R2525" s="9" t="n">
        <v>0.04</v>
      </c>
      <c r="S2525" s="10" t="inlineStr">
        <is>
          <t>SÍ — integrante</t>
        </is>
      </c>
      <c r="T2525" s="11" t="inlineStr">
        <is>
          <t>B · INTEGRANTE</t>
        </is>
      </c>
      <c r="U2525" s="11" t="inlineStr">
        <is>
          <t>DEL BANCO (se hereda)</t>
        </is>
      </c>
      <c r="V2525" s="11" t="n"/>
      <c r="W2525" s="12" t="n"/>
      <c r="X2525" s="12" t="n"/>
    </row>
    <row r="2526" ht="15" customHeight="1">
      <c r="C2526" t="inlineStr">
        <is>
          <t>PAIS DEL DOMICILIO</t>
        </is>
      </c>
      <c r="D2526" t="inlineStr">
        <is>
          <t>F6</t>
        </is>
      </c>
      <c r="E2526" t="inlineStr">
        <is>
          <t>INHERENTE</t>
        </is>
      </c>
      <c r="F2526" t="inlineStr">
        <is>
          <t>TUNEZ</t>
        </is>
      </c>
      <c r="G2526" t="inlineStr">
        <is>
          <t>TN</t>
        </is>
      </c>
      <c r="H2526" t="n">
        <v>2</v>
      </c>
      <c r="I2526" t="n">
        <v>2</v>
      </c>
      <c r="J2526" t="n">
        <v>4</v>
      </c>
      <c r="K2526" t="n">
        <v>8</v>
      </c>
      <c r="L2526" t="n">
        <v>8</v>
      </c>
      <c r="M2526" t="n">
        <v>8</v>
      </c>
      <c r="N2526" t="n">
        <v>8</v>
      </c>
      <c r="O2526" t="n">
        <v>20</v>
      </c>
      <c r="P2526" t="n">
        <v>4</v>
      </c>
      <c r="R2526" s="9" t="n">
        <v>0.04</v>
      </c>
      <c r="S2526" s="10" t="inlineStr">
        <is>
          <t>SÍ — integrante</t>
        </is>
      </c>
      <c r="T2526" s="11" t="inlineStr">
        <is>
          <t>B · INTEGRANTE</t>
        </is>
      </c>
      <c r="U2526" s="11" t="inlineStr">
        <is>
          <t>DEL BANCO (se hereda)</t>
        </is>
      </c>
      <c r="V2526" s="11" t="n"/>
      <c r="W2526" s="12" t="n"/>
      <c r="X2526" s="12" t="n"/>
    </row>
    <row r="2527" ht="15" customHeight="1">
      <c r="C2527" t="inlineStr">
        <is>
          <t>PAIS DEL DOMICILIO</t>
        </is>
      </c>
      <c r="D2527" t="inlineStr">
        <is>
          <t>F6</t>
        </is>
      </c>
      <c r="E2527" t="inlineStr">
        <is>
          <t>INHERENTE</t>
        </is>
      </c>
      <c r="F2527" t="inlineStr">
        <is>
          <t>TONGA</t>
        </is>
      </c>
      <c r="G2527" t="inlineStr">
        <is>
          <t>TO</t>
        </is>
      </c>
      <c r="H2527" t="n">
        <v>3</v>
      </c>
      <c r="I2527" t="n">
        <v>3</v>
      </c>
      <c r="J2527" t="n">
        <v>4</v>
      </c>
      <c r="K2527" t="n">
        <v>12</v>
      </c>
      <c r="L2527" t="n">
        <v>12</v>
      </c>
      <c r="M2527" t="n">
        <v>12</v>
      </c>
      <c r="N2527" t="n">
        <v>12</v>
      </c>
      <c r="O2527" t="n">
        <v>20</v>
      </c>
      <c r="P2527" t="n">
        <v>4</v>
      </c>
      <c r="R2527" s="9" t="n">
        <v>0.04</v>
      </c>
      <c r="S2527" s="10" t="inlineStr">
        <is>
          <t>SÍ — integrante</t>
        </is>
      </c>
      <c r="T2527" s="11" t="inlineStr">
        <is>
          <t>B · INTEGRANTE</t>
        </is>
      </c>
      <c r="U2527" s="11" t="inlineStr">
        <is>
          <t>DEL BANCO (se hereda)</t>
        </is>
      </c>
      <c r="V2527" s="11" t="n"/>
      <c r="W2527" s="12" t="n"/>
      <c r="X2527" s="12" t="n"/>
    </row>
    <row r="2528" ht="15" customHeight="1">
      <c r="C2528" t="inlineStr">
        <is>
          <t>PAIS DEL DOMICILIO</t>
        </is>
      </c>
      <c r="D2528" t="inlineStr">
        <is>
          <t>F6</t>
        </is>
      </c>
      <c r="E2528" t="inlineStr">
        <is>
          <t>INHERENTE</t>
        </is>
      </c>
      <c r="F2528" t="inlineStr">
        <is>
          <t>TIMOR</t>
        </is>
      </c>
      <c r="G2528" t="inlineStr">
        <is>
          <t>TP</t>
        </is>
      </c>
      <c r="H2528" t="n">
        <v>3</v>
      </c>
      <c r="I2528" t="n">
        <v>3</v>
      </c>
      <c r="J2528" t="n">
        <v>4</v>
      </c>
      <c r="K2528" t="n">
        <v>12</v>
      </c>
      <c r="L2528" t="n">
        <v>12</v>
      </c>
      <c r="M2528" t="n">
        <v>12</v>
      </c>
      <c r="N2528" t="n">
        <v>12</v>
      </c>
      <c r="O2528" t="n">
        <v>20</v>
      </c>
      <c r="P2528" t="n">
        <v>4</v>
      </c>
      <c r="R2528" s="9" t="n">
        <v>0.04</v>
      </c>
      <c r="S2528" s="10" t="inlineStr">
        <is>
          <t>SÍ — integrante</t>
        </is>
      </c>
      <c r="T2528" s="11" t="inlineStr">
        <is>
          <t>B · INTEGRANTE</t>
        </is>
      </c>
      <c r="U2528" s="11" t="inlineStr">
        <is>
          <t>DEL BANCO (se hereda)</t>
        </is>
      </c>
      <c r="V2528" s="11" t="n"/>
      <c r="W2528" s="12" t="n"/>
      <c r="X2528" s="12" t="n"/>
    </row>
    <row r="2529" ht="15" customHeight="1">
      <c r="C2529" t="inlineStr">
        <is>
          <t>PAIS DEL DOMICILIO</t>
        </is>
      </c>
      <c r="D2529" t="inlineStr">
        <is>
          <t>F6</t>
        </is>
      </c>
      <c r="E2529" t="inlineStr">
        <is>
          <t>INHERENTE</t>
        </is>
      </c>
      <c r="F2529" t="inlineStr">
        <is>
          <t>TURQUIA</t>
        </is>
      </c>
      <c r="G2529" t="inlineStr">
        <is>
          <t>TR</t>
        </is>
      </c>
      <c r="H2529" t="n">
        <v>3</v>
      </c>
      <c r="I2529" t="n">
        <v>3</v>
      </c>
      <c r="J2529" t="n">
        <v>4</v>
      </c>
      <c r="K2529" t="n">
        <v>12</v>
      </c>
      <c r="L2529" t="n">
        <v>12</v>
      </c>
      <c r="M2529" t="n">
        <v>12</v>
      </c>
      <c r="N2529" t="n">
        <v>12</v>
      </c>
      <c r="O2529" t="n">
        <v>20</v>
      </c>
      <c r="P2529" t="n">
        <v>4</v>
      </c>
      <c r="R2529" s="9" t="n">
        <v>0.04</v>
      </c>
      <c r="S2529" s="10" t="inlineStr">
        <is>
          <t>SÍ — integrante</t>
        </is>
      </c>
      <c r="T2529" s="11" t="inlineStr">
        <is>
          <t>B · INTEGRANTE</t>
        </is>
      </c>
      <c r="U2529" s="11" t="inlineStr">
        <is>
          <t>DEL BANCO (se hereda)</t>
        </is>
      </c>
      <c r="V2529" s="11" t="n"/>
      <c r="W2529" s="12" t="n"/>
      <c r="X2529" s="12" t="n"/>
    </row>
    <row r="2530" ht="15" customHeight="1">
      <c r="C2530" t="inlineStr">
        <is>
          <t>PAIS DEL DOMICILIO</t>
        </is>
      </c>
      <c r="D2530" t="inlineStr">
        <is>
          <t>F6</t>
        </is>
      </c>
      <c r="E2530" t="inlineStr">
        <is>
          <t>INHERENTE</t>
        </is>
      </c>
      <c r="F2530" t="inlineStr">
        <is>
          <t>TRIESTE ITALIA</t>
        </is>
      </c>
      <c r="G2530" t="inlineStr">
        <is>
          <t>TS</t>
        </is>
      </c>
      <c r="H2530" t="n">
        <v>1</v>
      </c>
      <c r="I2530" t="n">
        <v>1</v>
      </c>
      <c r="J2530" t="n">
        <v>4</v>
      </c>
      <c r="K2530" t="n">
        <v>4</v>
      </c>
      <c r="L2530" t="n">
        <v>4</v>
      </c>
      <c r="M2530" t="n">
        <v>4</v>
      </c>
      <c r="N2530" t="n">
        <v>4</v>
      </c>
      <c r="O2530" t="n">
        <v>20</v>
      </c>
      <c r="P2530" t="n">
        <v>4</v>
      </c>
      <c r="R2530" s="9" t="n">
        <v>0.04</v>
      </c>
      <c r="S2530" s="10" t="inlineStr">
        <is>
          <t>SÍ — integrante</t>
        </is>
      </c>
      <c r="T2530" s="11" t="inlineStr">
        <is>
          <t>B · INTEGRANTE</t>
        </is>
      </c>
      <c r="U2530" s="11" t="inlineStr">
        <is>
          <t>DEL BANCO (se hereda)</t>
        </is>
      </c>
      <c r="V2530" s="11" t="n"/>
      <c r="W2530" s="12" t="n"/>
      <c r="X2530" s="12" t="n"/>
    </row>
    <row r="2531" ht="15" customHeight="1">
      <c r="C2531" t="inlineStr">
        <is>
          <t>PAIS DEL DOMICILIO</t>
        </is>
      </c>
      <c r="D2531" t="inlineStr">
        <is>
          <t>F6</t>
        </is>
      </c>
      <c r="E2531" t="inlineStr">
        <is>
          <t>INHERENTE</t>
        </is>
      </c>
      <c r="F2531" t="inlineStr">
        <is>
          <t>TRINIDAD TOBAGO</t>
        </is>
      </c>
      <c r="G2531" t="inlineStr">
        <is>
          <t>TT</t>
        </is>
      </c>
      <c r="H2531" t="n">
        <v>3</v>
      </c>
      <c r="I2531" t="n">
        <v>3</v>
      </c>
      <c r="J2531" t="n">
        <v>4</v>
      </c>
      <c r="K2531" t="n">
        <v>12</v>
      </c>
      <c r="L2531" t="n">
        <v>12</v>
      </c>
      <c r="M2531" t="n">
        <v>12</v>
      </c>
      <c r="N2531" t="n">
        <v>12</v>
      </c>
      <c r="O2531" t="n">
        <v>20</v>
      </c>
      <c r="P2531" t="n">
        <v>4</v>
      </c>
      <c r="R2531" s="9" t="n">
        <v>0.04</v>
      </c>
      <c r="S2531" s="10" t="inlineStr">
        <is>
          <t>SÍ — integrante</t>
        </is>
      </c>
      <c r="T2531" s="11" t="inlineStr">
        <is>
          <t>B · INTEGRANTE</t>
        </is>
      </c>
      <c r="U2531" s="11" t="inlineStr">
        <is>
          <t>DEL BANCO (se hereda)</t>
        </is>
      </c>
      <c r="V2531" s="11" t="n"/>
      <c r="W2531" s="12" t="n"/>
      <c r="X2531" s="12" t="n"/>
    </row>
    <row r="2532" ht="15" customHeight="1">
      <c r="C2532" t="inlineStr">
        <is>
          <t>PAIS DEL DOMICILIO</t>
        </is>
      </c>
      <c r="D2532" t="inlineStr">
        <is>
          <t>F6</t>
        </is>
      </c>
      <c r="E2532" t="inlineStr">
        <is>
          <t>INHERENTE</t>
        </is>
      </c>
      <c r="F2532" t="inlineStr">
        <is>
          <t>TUVALU</t>
        </is>
      </c>
      <c r="G2532" t="inlineStr">
        <is>
          <t>TV</t>
        </is>
      </c>
      <c r="H2532" t="n">
        <v>1</v>
      </c>
      <c r="I2532" t="n">
        <v>1</v>
      </c>
      <c r="J2532" t="n">
        <v>4</v>
      </c>
      <c r="K2532" t="n">
        <v>4</v>
      </c>
      <c r="L2532" t="n">
        <v>4</v>
      </c>
      <c r="M2532" t="n">
        <v>4</v>
      </c>
      <c r="N2532" t="n">
        <v>4</v>
      </c>
      <c r="O2532" t="n">
        <v>20</v>
      </c>
      <c r="P2532" t="n">
        <v>4</v>
      </c>
      <c r="R2532" s="9" t="n">
        <v>0.04</v>
      </c>
      <c r="S2532" s="10" t="inlineStr">
        <is>
          <t>SÍ — integrante</t>
        </is>
      </c>
      <c r="T2532" s="11" t="inlineStr">
        <is>
          <t>B · INTEGRANTE</t>
        </is>
      </c>
      <c r="U2532" s="11" t="inlineStr">
        <is>
          <t>DEL BANCO (se hereda)</t>
        </is>
      </c>
      <c r="V2532" s="11" t="n"/>
      <c r="W2532" s="12" t="n"/>
      <c r="X2532" s="12" t="n"/>
    </row>
    <row r="2533" ht="15" customHeight="1">
      <c r="C2533" t="inlineStr">
        <is>
          <t>PAIS DEL DOMICILIO</t>
        </is>
      </c>
      <c r="D2533" t="inlineStr">
        <is>
          <t>F6</t>
        </is>
      </c>
      <c r="E2533" t="inlineStr">
        <is>
          <t>INHERENTE</t>
        </is>
      </c>
      <c r="F2533" t="inlineStr">
        <is>
          <t>TAIWAN</t>
        </is>
      </c>
      <c r="G2533" t="inlineStr">
        <is>
          <t>TW</t>
        </is>
      </c>
      <c r="H2533" t="n">
        <v>1</v>
      </c>
      <c r="I2533" t="n">
        <v>1</v>
      </c>
      <c r="J2533" t="n">
        <v>4</v>
      </c>
      <c r="K2533" t="n">
        <v>4</v>
      </c>
      <c r="L2533" t="n">
        <v>4</v>
      </c>
      <c r="M2533" t="n">
        <v>4</v>
      </c>
      <c r="N2533" t="n">
        <v>4</v>
      </c>
      <c r="O2533" t="n">
        <v>20</v>
      </c>
      <c r="P2533" t="n">
        <v>4</v>
      </c>
      <c r="R2533" s="9" t="n">
        <v>0.04</v>
      </c>
      <c r="S2533" s="10" t="inlineStr">
        <is>
          <t>SÍ — integrante</t>
        </is>
      </c>
      <c r="T2533" s="11" t="inlineStr">
        <is>
          <t>B · INTEGRANTE</t>
        </is>
      </c>
      <c r="U2533" s="11" t="inlineStr">
        <is>
          <t>DEL BANCO (se hereda)</t>
        </is>
      </c>
      <c r="V2533" s="11" t="n"/>
      <c r="W2533" s="12" t="n"/>
      <c r="X2533" s="12" t="n"/>
    </row>
    <row r="2534" ht="15" customHeight="1">
      <c r="C2534" t="inlineStr">
        <is>
          <t>PAIS DEL DOMICILIO</t>
        </is>
      </c>
      <c r="D2534" t="inlineStr">
        <is>
          <t>F6</t>
        </is>
      </c>
      <c r="E2534" t="inlineStr">
        <is>
          <t>INHERENTE</t>
        </is>
      </c>
      <c r="F2534" t="inlineStr">
        <is>
          <t>TANZANIA</t>
        </is>
      </c>
      <c r="G2534" t="inlineStr">
        <is>
          <t>TZ</t>
        </is>
      </c>
      <c r="H2534" t="n">
        <v>3</v>
      </c>
      <c r="I2534" t="n">
        <v>3</v>
      </c>
      <c r="J2534" t="n">
        <v>4</v>
      </c>
      <c r="K2534" t="n">
        <v>12</v>
      </c>
      <c r="L2534" t="n">
        <v>12</v>
      </c>
      <c r="M2534" t="n">
        <v>12</v>
      </c>
      <c r="N2534" t="n">
        <v>12</v>
      </c>
      <c r="O2534" t="n">
        <v>20</v>
      </c>
      <c r="P2534" t="n">
        <v>4</v>
      </c>
      <c r="R2534" s="9" t="n">
        <v>0.04</v>
      </c>
      <c r="S2534" s="10" t="inlineStr">
        <is>
          <t>SÍ — integrante</t>
        </is>
      </c>
      <c r="T2534" s="11" t="inlineStr">
        <is>
          <t>B · INTEGRANTE</t>
        </is>
      </c>
      <c r="U2534" s="11" t="inlineStr">
        <is>
          <t>DEL BANCO (se hereda)</t>
        </is>
      </c>
      <c r="V2534" s="11" t="n"/>
      <c r="W2534" s="12" t="n"/>
      <c r="X2534" s="12" t="n"/>
    </row>
    <row r="2535" ht="15" customHeight="1">
      <c r="C2535" t="inlineStr">
        <is>
          <t>PAIS DEL DOMICILIO</t>
        </is>
      </c>
      <c r="D2535" t="inlineStr">
        <is>
          <t>F6</t>
        </is>
      </c>
      <c r="E2535" t="inlineStr">
        <is>
          <t>INHERENTE</t>
        </is>
      </c>
      <c r="F2535" t="inlineStr">
        <is>
          <t>UCRANIA</t>
        </is>
      </c>
      <c r="G2535" t="inlineStr">
        <is>
          <t>UA</t>
        </is>
      </c>
      <c r="H2535" t="n">
        <v>2</v>
      </c>
      <c r="I2535" t="n">
        <v>2</v>
      </c>
      <c r="J2535" t="n">
        <v>4</v>
      </c>
      <c r="K2535" t="n">
        <v>8</v>
      </c>
      <c r="L2535" t="n">
        <v>8</v>
      </c>
      <c r="M2535" t="n">
        <v>8</v>
      </c>
      <c r="N2535" t="n">
        <v>8</v>
      </c>
      <c r="O2535" t="n">
        <v>20</v>
      </c>
      <c r="P2535" t="n">
        <v>4</v>
      </c>
      <c r="R2535" s="9" t="n">
        <v>0.04</v>
      </c>
      <c r="S2535" s="10" t="inlineStr">
        <is>
          <t>SÍ — integrante</t>
        </is>
      </c>
      <c r="T2535" s="11" t="inlineStr">
        <is>
          <t>B · INTEGRANTE</t>
        </is>
      </c>
      <c r="U2535" s="11" t="inlineStr">
        <is>
          <t>DEL BANCO (se hereda)</t>
        </is>
      </c>
      <c r="V2535" s="11" t="n"/>
      <c r="W2535" s="12" t="n"/>
      <c r="X2535" s="12" t="n"/>
    </row>
    <row r="2536" ht="15" customHeight="1">
      <c r="C2536" t="inlineStr">
        <is>
          <t>PAIS DEL DOMICILIO</t>
        </is>
      </c>
      <c r="D2536" t="inlineStr">
        <is>
          <t>F6</t>
        </is>
      </c>
      <c r="E2536" t="inlineStr">
        <is>
          <t>INHERENTE</t>
        </is>
      </c>
      <c r="F2536" t="inlineStr">
        <is>
          <t>UGANDA</t>
        </is>
      </c>
      <c r="G2536" t="inlineStr">
        <is>
          <t>UG</t>
        </is>
      </c>
      <c r="H2536" t="n">
        <v>3</v>
      </c>
      <c r="I2536" t="n">
        <v>3</v>
      </c>
      <c r="J2536" t="n">
        <v>4</v>
      </c>
      <c r="K2536" t="n">
        <v>12</v>
      </c>
      <c r="L2536" t="n">
        <v>12</v>
      </c>
      <c r="M2536" t="n">
        <v>12</v>
      </c>
      <c r="N2536" t="n">
        <v>12</v>
      </c>
      <c r="O2536" t="n">
        <v>20</v>
      </c>
      <c r="P2536" t="n">
        <v>4</v>
      </c>
      <c r="R2536" s="9" t="n">
        <v>0.04</v>
      </c>
      <c r="S2536" s="10" t="inlineStr">
        <is>
          <t>SÍ — integrante</t>
        </is>
      </c>
      <c r="T2536" s="11" t="inlineStr">
        <is>
          <t>B · INTEGRANTE</t>
        </is>
      </c>
      <c r="U2536" s="11" t="inlineStr">
        <is>
          <t>DEL BANCO (se hereda)</t>
        </is>
      </c>
      <c r="V2536" s="11" t="n"/>
      <c r="W2536" s="12" t="n"/>
      <c r="X2536" s="12" t="n"/>
    </row>
    <row r="2537" ht="15" customHeight="1">
      <c r="C2537" t="inlineStr">
        <is>
          <t>PAIS DEL DOMICILIO</t>
        </is>
      </c>
      <c r="D2537" t="inlineStr">
        <is>
          <t>F6</t>
        </is>
      </c>
      <c r="E2537" t="inlineStr">
        <is>
          <t>INHERENTE</t>
        </is>
      </c>
      <c r="F2537" t="inlineStr">
        <is>
          <t>REINO UNIDO</t>
        </is>
      </c>
      <c r="G2537" t="inlineStr">
        <is>
          <t>UK</t>
        </is>
      </c>
      <c r="H2537" t="n">
        <v>1</v>
      </c>
      <c r="I2537" t="n">
        <v>1</v>
      </c>
      <c r="J2537" t="n">
        <v>4</v>
      </c>
      <c r="K2537" t="n">
        <v>4</v>
      </c>
      <c r="L2537" t="n">
        <v>4</v>
      </c>
      <c r="M2537" t="n">
        <v>4</v>
      </c>
      <c r="N2537" t="n">
        <v>4</v>
      </c>
      <c r="O2537" t="n">
        <v>20</v>
      </c>
      <c r="P2537" t="n">
        <v>4</v>
      </c>
      <c r="R2537" s="9" t="n">
        <v>0.04</v>
      </c>
      <c r="S2537" s="10" t="inlineStr">
        <is>
          <t>SÍ — integrante</t>
        </is>
      </c>
      <c r="T2537" s="11" t="inlineStr">
        <is>
          <t>B · INTEGRANTE</t>
        </is>
      </c>
      <c r="U2537" s="11" t="inlineStr">
        <is>
          <t>DEL BANCO (se hereda)</t>
        </is>
      </c>
      <c r="V2537" s="11" t="n"/>
      <c r="W2537" s="12" t="n"/>
      <c r="X2537" s="12" t="n"/>
    </row>
    <row r="2538" ht="15" customHeight="1">
      <c r="C2538" t="inlineStr">
        <is>
          <t>PAIS DEL DOMICILIO</t>
        </is>
      </c>
      <c r="D2538" t="inlineStr">
        <is>
          <t>F6</t>
        </is>
      </c>
      <c r="E2538" t="inlineStr">
        <is>
          <t>INHERENTE</t>
        </is>
      </c>
      <c r="F2538" t="inlineStr">
        <is>
          <t>ISLAS REMOT. US</t>
        </is>
      </c>
      <c r="G2538" t="inlineStr">
        <is>
          <t>UM</t>
        </is>
      </c>
      <c r="H2538" t="n">
        <v>1</v>
      </c>
      <c r="I2538" t="n">
        <v>1</v>
      </c>
      <c r="J2538" t="n">
        <v>4</v>
      </c>
      <c r="K2538" t="n">
        <v>4</v>
      </c>
      <c r="L2538" t="n">
        <v>4</v>
      </c>
      <c r="M2538" t="n">
        <v>4</v>
      </c>
      <c r="N2538" t="n">
        <v>4</v>
      </c>
      <c r="O2538" t="n">
        <v>20</v>
      </c>
      <c r="P2538" t="n">
        <v>4</v>
      </c>
      <c r="R2538" s="9" t="n">
        <v>0.04</v>
      </c>
      <c r="S2538" s="10" t="inlineStr">
        <is>
          <t>SÍ — integrante</t>
        </is>
      </c>
      <c r="T2538" s="11" t="inlineStr">
        <is>
          <t>B · INTEGRANTE</t>
        </is>
      </c>
      <c r="U2538" s="11" t="inlineStr">
        <is>
          <t>DEL BANCO (se hereda)</t>
        </is>
      </c>
      <c r="V2538" s="11" t="n"/>
      <c r="W2538" s="12" t="n"/>
      <c r="X2538" s="12" t="n"/>
    </row>
    <row r="2539" ht="15" customHeight="1">
      <c r="C2539" t="inlineStr">
        <is>
          <t>PAIS DEL DOMICILIO</t>
        </is>
      </c>
      <c r="D2539" t="inlineStr">
        <is>
          <t>F6</t>
        </is>
      </c>
      <c r="E2539" t="inlineStr">
        <is>
          <t>INHERENTE</t>
        </is>
      </c>
      <c r="F2539" t="inlineStr">
        <is>
          <t>ESTADOS UNIDOS DE AM</t>
        </is>
      </c>
      <c r="G2539" t="inlineStr">
        <is>
          <t>US</t>
        </is>
      </c>
      <c r="H2539" t="n">
        <v>1</v>
      </c>
      <c r="I2539" t="n">
        <v>1</v>
      </c>
      <c r="J2539" t="n">
        <v>4</v>
      </c>
      <c r="K2539" t="n">
        <v>4</v>
      </c>
      <c r="L2539" t="n">
        <v>4</v>
      </c>
      <c r="M2539" t="n">
        <v>4</v>
      </c>
      <c r="N2539" t="n">
        <v>4</v>
      </c>
      <c r="O2539" t="n">
        <v>20</v>
      </c>
      <c r="P2539" t="n">
        <v>4</v>
      </c>
      <c r="R2539" s="9" t="n">
        <v>0.04</v>
      </c>
      <c r="S2539" s="10" t="inlineStr">
        <is>
          <t>SÍ — integrante</t>
        </is>
      </c>
      <c r="T2539" s="11" t="inlineStr">
        <is>
          <t>B · INTEGRANTE</t>
        </is>
      </c>
      <c r="U2539" s="11" t="inlineStr">
        <is>
          <t>DEL BANCO (se hereda)</t>
        </is>
      </c>
      <c r="V2539" s="11" t="n"/>
      <c r="W2539" s="12" t="n"/>
      <c r="X2539" s="12" t="n"/>
    </row>
    <row r="2540" ht="15" customHeight="1">
      <c r="C2540" t="inlineStr">
        <is>
          <t>PAIS DEL DOMICILIO</t>
        </is>
      </c>
      <c r="D2540" t="inlineStr">
        <is>
          <t>F6</t>
        </is>
      </c>
      <c r="E2540" t="inlineStr">
        <is>
          <t>INHERENTE</t>
        </is>
      </c>
      <c r="F2540" t="inlineStr">
        <is>
          <t>URUGUAY</t>
        </is>
      </c>
      <c r="G2540" t="inlineStr">
        <is>
          <t>UY</t>
        </is>
      </c>
      <c r="H2540" t="n">
        <v>1</v>
      </c>
      <c r="I2540" t="n">
        <v>1</v>
      </c>
      <c r="J2540" t="n">
        <v>4</v>
      </c>
      <c r="K2540" t="n">
        <v>4</v>
      </c>
      <c r="L2540" t="n">
        <v>4</v>
      </c>
      <c r="M2540" t="n">
        <v>4</v>
      </c>
      <c r="N2540" t="n">
        <v>4</v>
      </c>
      <c r="O2540" t="n">
        <v>20</v>
      </c>
      <c r="P2540" t="n">
        <v>4</v>
      </c>
      <c r="R2540" s="9" t="n">
        <v>0.04</v>
      </c>
      <c r="S2540" s="10" t="inlineStr">
        <is>
          <t>SÍ — integrante</t>
        </is>
      </c>
      <c r="T2540" s="11" t="inlineStr">
        <is>
          <t>B · INTEGRANTE</t>
        </is>
      </c>
      <c r="U2540" s="11" t="inlineStr">
        <is>
          <t>DEL BANCO (se hereda)</t>
        </is>
      </c>
      <c r="V2540" s="11" t="n"/>
      <c r="W2540" s="12" t="n"/>
      <c r="X2540" s="12" t="n"/>
    </row>
    <row r="2541" ht="15" customHeight="1">
      <c r="C2541" t="inlineStr">
        <is>
          <t>PAIS DEL DOMICILIO</t>
        </is>
      </c>
      <c r="D2541" t="inlineStr">
        <is>
          <t>F6</t>
        </is>
      </c>
      <c r="E2541" t="inlineStr">
        <is>
          <t>INHERENTE</t>
        </is>
      </c>
      <c r="F2541" t="inlineStr">
        <is>
          <t>UZBEKISTAN</t>
        </is>
      </c>
      <c r="G2541" t="inlineStr">
        <is>
          <t>UZ</t>
        </is>
      </c>
      <c r="H2541" t="n">
        <v>2</v>
      </c>
      <c r="I2541" t="n">
        <v>2</v>
      </c>
      <c r="J2541" t="n">
        <v>4</v>
      </c>
      <c r="K2541" t="n">
        <v>8</v>
      </c>
      <c r="L2541" t="n">
        <v>8</v>
      </c>
      <c r="M2541" t="n">
        <v>8</v>
      </c>
      <c r="N2541" t="n">
        <v>8</v>
      </c>
      <c r="O2541" t="n">
        <v>20</v>
      </c>
      <c r="P2541" t="n">
        <v>4</v>
      </c>
      <c r="R2541" s="9" t="n">
        <v>0.04</v>
      </c>
      <c r="S2541" s="10" t="inlineStr">
        <is>
          <t>SÍ — integrante</t>
        </is>
      </c>
      <c r="T2541" s="11" t="inlineStr">
        <is>
          <t>B · INTEGRANTE</t>
        </is>
      </c>
      <c r="U2541" s="11" t="inlineStr">
        <is>
          <t>DEL BANCO (se hereda)</t>
        </is>
      </c>
      <c r="V2541" s="11" t="n"/>
      <c r="W2541" s="12" t="n"/>
      <c r="X2541" s="12" t="n"/>
    </row>
    <row r="2542" ht="15" customHeight="1">
      <c r="C2542" t="inlineStr">
        <is>
          <t>PAIS DEL DOMICILIO</t>
        </is>
      </c>
      <c r="D2542" t="inlineStr">
        <is>
          <t>F6</t>
        </is>
      </c>
      <c r="E2542" t="inlineStr">
        <is>
          <t>INHERENTE</t>
        </is>
      </c>
      <c r="F2542" t="inlineStr">
        <is>
          <t>ISLA DE MARGARITA</t>
        </is>
      </c>
      <c r="G2542" t="inlineStr">
        <is>
          <t>VA</t>
        </is>
      </c>
      <c r="H2542" t="n">
        <v>1</v>
      </c>
      <c r="I2542" t="n">
        <v>1</v>
      </c>
      <c r="J2542" t="n">
        <v>4</v>
      </c>
      <c r="K2542" t="n">
        <v>4</v>
      </c>
      <c r="L2542" t="n">
        <v>4</v>
      </c>
      <c r="M2542" t="n">
        <v>4</v>
      </c>
      <c r="N2542" t="n">
        <v>4</v>
      </c>
      <c r="O2542" t="n">
        <v>20</v>
      </c>
      <c r="P2542" t="n">
        <v>4</v>
      </c>
      <c r="R2542" s="9" t="n">
        <v>0.04</v>
      </c>
      <c r="S2542" s="10" t="inlineStr">
        <is>
          <t>SÍ — integrante</t>
        </is>
      </c>
      <c r="T2542" s="11" t="inlineStr">
        <is>
          <t>B · INTEGRANTE</t>
        </is>
      </c>
      <c r="U2542" s="11" t="inlineStr">
        <is>
          <t>DEL BANCO (se hereda)</t>
        </is>
      </c>
      <c r="V2542" s="11" t="n"/>
      <c r="W2542" s="12" t="n"/>
      <c r="X2542" s="12" t="n"/>
    </row>
    <row r="2543" ht="15" customHeight="1">
      <c r="C2543" t="inlineStr">
        <is>
          <t>PAIS DEL DOMICILIO</t>
        </is>
      </c>
      <c r="D2543" t="inlineStr">
        <is>
          <t>F6</t>
        </is>
      </c>
      <c r="E2543" t="inlineStr">
        <is>
          <t>INHERENTE</t>
        </is>
      </c>
      <c r="F2543" t="inlineStr">
        <is>
          <t>SAN VINCENTE Y LAS G</t>
        </is>
      </c>
      <c r="G2543" t="inlineStr">
        <is>
          <t>VC</t>
        </is>
      </c>
      <c r="H2543" t="n">
        <v>3</v>
      </c>
      <c r="I2543" t="n">
        <v>3</v>
      </c>
      <c r="J2543" t="n">
        <v>4</v>
      </c>
      <c r="K2543" t="n">
        <v>12</v>
      </c>
      <c r="L2543" t="n">
        <v>12</v>
      </c>
      <c r="M2543" t="n">
        <v>12</v>
      </c>
      <c r="N2543" t="n">
        <v>12</v>
      </c>
      <c r="O2543" t="n">
        <v>20</v>
      </c>
      <c r="P2543" t="n">
        <v>4</v>
      </c>
      <c r="R2543" s="9" t="n">
        <v>0.04</v>
      </c>
      <c r="S2543" s="10" t="inlineStr">
        <is>
          <t>SÍ — integrante</t>
        </is>
      </c>
      <c r="T2543" s="11" t="inlineStr">
        <is>
          <t>B · INTEGRANTE</t>
        </is>
      </c>
      <c r="U2543" s="11" t="inlineStr">
        <is>
          <t>DEL BANCO (se hereda)</t>
        </is>
      </c>
      <c r="V2543" s="11" t="n"/>
      <c r="W2543" s="12" t="n"/>
      <c r="X2543" s="12" t="n"/>
    </row>
    <row r="2544" ht="15" customHeight="1">
      <c r="C2544" t="inlineStr">
        <is>
          <t>PAIS DEL DOMICILIO</t>
        </is>
      </c>
      <c r="D2544" t="inlineStr">
        <is>
          <t>F6</t>
        </is>
      </c>
      <c r="E2544" t="inlineStr">
        <is>
          <t>INHERENTE</t>
        </is>
      </c>
      <c r="F2544" t="inlineStr">
        <is>
          <t>VENEZUELA</t>
        </is>
      </c>
      <c r="G2544" t="inlineStr">
        <is>
          <t>VE</t>
        </is>
      </c>
      <c r="H2544" t="n">
        <v>4</v>
      </c>
      <c r="I2544" t="n">
        <v>4</v>
      </c>
      <c r="J2544" t="n">
        <v>4</v>
      </c>
      <c r="K2544" t="n">
        <v>16</v>
      </c>
      <c r="L2544" t="n">
        <v>16</v>
      </c>
      <c r="M2544" t="n">
        <v>16</v>
      </c>
      <c r="N2544" t="n">
        <v>16</v>
      </c>
      <c r="O2544" t="n">
        <v>20</v>
      </c>
      <c r="P2544" t="n">
        <v>4</v>
      </c>
      <c r="Q2544" t="inlineStr">
        <is>
          <t>DETERMINANTE</t>
        </is>
      </c>
      <c r="R2544" s="9" t="n">
        <v>0.04</v>
      </c>
      <c r="S2544" s="10" t="inlineStr">
        <is>
          <t>SÍ — integrante</t>
        </is>
      </c>
      <c r="T2544" s="11" t="inlineStr">
        <is>
          <t>B · INTEGRANTE</t>
        </is>
      </c>
      <c r="U2544" s="11" t="inlineStr">
        <is>
          <t>DEL BANCO (se hereda)</t>
        </is>
      </c>
      <c r="V2544" s="11" t="n"/>
      <c r="W2544" s="12" t="n"/>
      <c r="X2544" s="12" t="n"/>
    </row>
    <row r="2545" ht="15" customHeight="1">
      <c r="C2545" t="inlineStr">
        <is>
          <t>PAIS DEL DOMICILIO</t>
        </is>
      </c>
      <c r="D2545" t="inlineStr">
        <is>
          <t>F6</t>
        </is>
      </c>
      <c r="E2545" t="inlineStr">
        <is>
          <t>INHERENTE</t>
        </is>
      </c>
      <c r="F2545" t="inlineStr">
        <is>
          <t>ISLAS VIRGENES DE EU</t>
        </is>
      </c>
      <c r="G2545" t="inlineStr">
        <is>
          <t>VG</t>
        </is>
      </c>
      <c r="H2545" t="n">
        <v>3</v>
      </c>
      <c r="I2545" t="n">
        <v>3</v>
      </c>
      <c r="J2545" t="n">
        <v>4</v>
      </c>
      <c r="K2545" t="n">
        <v>12</v>
      </c>
      <c r="L2545" t="n">
        <v>12</v>
      </c>
      <c r="M2545" t="n">
        <v>12</v>
      </c>
      <c r="N2545" t="n">
        <v>12</v>
      </c>
      <c r="O2545" t="n">
        <v>20</v>
      </c>
      <c r="P2545" t="n">
        <v>4</v>
      </c>
      <c r="R2545" s="9" t="n">
        <v>0.04</v>
      </c>
      <c r="S2545" s="10" t="inlineStr">
        <is>
          <t>SÍ — integrante</t>
        </is>
      </c>
      <c r="T2545" s="11" t="inlineStr">
        <is>
          <t>B · INTEGRANTE</t>
        </is>
      </c>
      <c r="U2545" s="11" t="inlineStr">
        <is>
          <t>DEL BANCO (se hereda)</t>
        </is>
      </c>
      <c r="V2545" s="11" t="n"/>
      <c r="W2545" s="12" t="n"/>
      <c r="X2545" s="12" t="n"/>
    </row>
    <row r="2546" ht="15" customHeight="1">
      <c r="C2546" t="inlineStr">
        <is>
          <t>PAIS DEL DOMICILIO</t>
        </is>
      </c>
      <c r="D2546" t="inlineStr">
        <is>
          <t>F6</t>
        </is>
      </c>
      <c r="E2546" t="inlineStr">
        <is>
          <t>INHERENTE</t>
        </is>
      </c>
      <c r="F2546" t="inlineStr">
        <is>
          <t>VIETNAM</t>
        </is>
      </c>
      <c r="G2546" t="inlineStr">
        <is>
          <t>VI</t>
        </is>
      </c>
      <c r="H2546" t="n">
        <v>4</v>
      </c>
      <c r="I2546" t="n">
        <v>4</v>
      </c>
      <c r="J2546" t="n">
        <v>4</v>
      </c>
      <c r="K2546" t="n">
        <v>16</v>
      </c>
      <c r="L2546" t="n">
        <v>16</v>
      </c>
      <c r="M2546" t="n">
        <v>16</v>
      </c>
      <c r="N2546" t="n">
        <v>16</v>
      </c>
      <c r="O2546" t="n">
        <v>20</v>
      </c>
      <c r="P2546" t="n">
        <v>4</v>
      </c>
      <c r="Q2546" t="inlineStr">
        <is>
          <t>DETERMINANTE</t>
        </is>
      </c>
      <c r="R2546" s="9" t="n">
        <v>0.04</v>
      </c>
      <c r="S2546" s="10" t="inlineStr">
        <is>
          <t>SÍ — integrante</t>
        </is>
      </c>
      <c r="T2546" s="11" t="inlineStr">
        <is>
          <t>B · INTEGRANTE</t>
        </is>
      </c>
      <c r="U2546" s="11" t="inlineStr">
        <is>
          <t>DEL BANCO (se hereda)</t>
        </is>
      </c>
      <c r="V2546" s="11" t="n"/>
      <c r="W2546" s="12" t="n"/>
      <c r="X2546" s="12" t="n"/>
    </row>
    <row r="2547" ht="15" customHeight="1">
      <c r="C2547" t="inlineStr">
        <is>
          <t>PAIS DEL DOMICILIO</t>
        </is>
      </c>
      <c r="D2547" t="inlineStr">
        <is>
          <t>F6</t>
        </is>
      </c>
      <c r="E2547" t="inlineStr">
        <is>
          <t>INHERENTE</t>
        </is>
      </c>
      <c r="F2547" t="inlineStr">
        <is>
          <t>VANUATU</t>
        </is>
      </c>
      <c r="G2547" t="inlineStr">
        <is>
          <t>VN</t>
        </is>
      </c>
      <c r="H2547" t="n">
        <v>2</v>
      </c>
      <c r="I2547" t="n">
        <v>2</v>
      </c>
      <c r="J2547" t="n">
        <v>4</v>
      </c>
      <c r="K2547" t="n">
        <v>8</v>
      </c>
      <c r="L2547" t="n">
        <v>8</v>
      </c>
      <c r="M2547" t="n">
        <v>8</v>
      </c>
      <c r="N2547" t="n">
        <v>8</v>
      </c>
      <c r="O2547" t="n">
        <v>20</v>
      </c>
      <c r="P2547" t="n">
        <v>4</v>
      </c>
      <c r="R2547" s="9" t="n">
        <v>0.04</v>
      </c>
      <c r="S2547" s="10" t="inlineStr">
        <is>
          <t>SÍ — integrante</t>
        </is>
      </c>
      <c r="T2547" s="11" t="inlineStr">
        <is>
          <t>B · INTEGRANTE</t>
        </is>
      </c>
      <c r="U2547" s="11" t="inlineStr">
        <is>
          <t>DEL BANCO (se hereda)</t>
        </is>
      </c>
      <c r="V2547" s="11" t="n"/>
      <c r="W2547" s="12" t="n"/>
      <c r="X2547" s="12" t="n"/>
    </row>
    <row r="2548" ht="15" customHeight="1">
      <c r="C2548" t="inlineStr">
        <is>
          <t>PAIS DEL DOMICILIO</t>
        </is>
      </c>
      <c r="D2548" t="inlineStr">
        <is>
          <t>F6</t>
        </is>
      </c>
      <c r="E2548" t="inlineStr">
        <is>
          <t>INHERENTE</t>
        </is>
      </c>
      <c r="F2548" t="inlineStr">
        <is>
          <t>MADEIRA</t>
        </is>
      </c>
      <c r="G2548" t="inlineStr">
        <is>
          <t>VU</t>
        </is>
      </c>
      <c r="H2548" t="n">
        <v>3</v>
      </c>
      <c r="I2548" t="n">
        <v>3</v>
      </c>
      <c r="J2548" t="n">
        <v>4</v>
      </c>
      <c r="K2548" t="n">
        <v>12</v>
      </c>
      <c r="L2548" t="n">
        <v>12</v>
      </c>
      <c r="M2548" t="n">
        <v>12</v>
      </c>
      <c r="N2548" t="n">
        <v>12</v>
      </c>
      <c r="O2548" t="n">
        <v>20</v>
      </c>
      <c r="P2548" t="n">
        <v>4</v>
      </c>
      <c r="R2548" s="9" t="n">
        <v>0.04</v>
      </c>
      <c r="S2548" s="10" t="inlineStr">
        <is>
          <t>SÍ — integrante</t>
        </is>
      </c>
      <c r="T2548" s="11" t="inlineStr">
        <is>
          <t>B · INTEGRANTE</t>
        </is>
      </c>
      <c r="U2548" s="11" t="inlineStr">
        <is>
          <t>DEL BANCO (se hereda)</t>
        </is>
      </c>
      <c r="V2548" s="11" t="n"/>
      <c r="W2548" s="12" t="n"/>
      <c r="X2548" s="12" t="n"/>
    </row>
    <row r="2549" ht="15" customHeight="1">
      <c r="C2549" t="inlineStr">
        <is>
          <t>PAIS DEL DOMICILIO</t>
        </is>
      </c>
      <c r="D2549" t="inlineStr">
        <is>
          <t>F6</t>
        </is>
      </c>
      <c r="E2549" t="inlineStr">
        <is>
          <t>INHERENTE</t>
        </is>
      </c>
      <c r="F2549" t="inlineStr">
        <is>
          <t>ISLA DE SAN PEDRO Y</t>
        </is>
      </c>
      <c r="G2549" t="inlineStr">
        <is>
          <t>WF</t>
        </is>
      </c>
      <c r="H2549" t="n">
        <v>1</v>
      </c>
      <c r="I2549" t="n">
        <v>1</v>
      </c>
      <c r="J2549" t="n">
        <v>4</v>
      </c>
      <c r="K2549" t="n">
        <v>4</v>
      </c>
      <c r="L2549" t="n">
        <v>4</v>
      </c>
      <c r="M2549" t="n">
        <v>4</v>
      </c>
      <c r="N2549" t="n">
        <v>4</v>
      </c>
      <c r="O2549" t="n">
        <v>20</v>
      </c>
      <c r="P2549" t="n">
        <v>4</v>
      </c>
      <c r="R2549" s="9" t="n">
        <v>0.04</v>
      </c>
      <c r="S2549" s="10" t="inlineStr">
        <is>
          <t>SÍ — integrante</t>
        </is>
      </c>
      <c r="T2549" s="11" t="inlineStr">
        <is>
          <t>B · INTEGRANTE</t>
        </is>
      </c>
      <c r="U2549" s="11" t="inlineStr">
        <is>
          <t>DEL BANCO (se hereda)</t>
        </is>
      </c>
      <c r="V2549" s="11" t="n"/>
      <c r="W2549" s="12" t="n"/>
      <c r="X2549" s="12" t="n"/>
    </row>
    <row r="2550" ht="15" customHeight="1">
      <c r="C2550" t="inlineStr">
        <is>
          <t>PAIS DEL DOMICILIO</t>
        </is>
      </c>
      <c r="D2550" t="inlineStr">
        <is>
          <t>F6</t>
        </is>
      </c>
      <c r="E2550" t="inlineStr">
        <is>
          <t>INHERENTE</t>
        </is>
      </c>
      <c r="F2550" t="inlineStr">
        <is>
          <t>SAMOA AMERICANA</t>
        </is>
      </c>
      <c r="G2550" t="inlineStr">
        <is>
          <t>WS</t>
        </is>
      </c>
      <c r="H2550" t="n">
        <v>1</v>
      </c>
      <c r="I2550" t="n">
        <v>1</v>
      </c>
      <c r="J2550" t="n">
        <v>4</v>
      </c>
      <c r="K2550" t="n">
        <v>4</v>
      </c>
      <c r="L2550" t="n">
        <v>4</v>
      </c>
      <c r="M2550" t="n">
        <v>4</v>
      </c>
      <c r="N2550" t="n">
        <v>4</v>
      </c>
      <c r="O2550" t="n">
        <v>20</v>
      </c>
      <c r="P2550" t="n">
        <v>4</v>
      </c>
      <c r="R2550" s="9" t="n">
        <v>0.04</v>
      </c>
      <c r="S2550" s="10" t="inlineStr">
        <is>
          <t>SÍ — integrante</t>
        </is>
      </c>
      <c r="T2550" s="11" t="inlineStr">
        <is>
          <t>B · INTEGRANTE</t>
        </is>
      </c>
      <c r="U2550" s="11" t="inlineStr">
        <is>
          <t>DEL BANCO (se hereda)</t>
        </is>
      </c>
      <c r="V2550" s="11" t="n"/>
      <c r="W2550" s="12" t="n"/>
      <c r="X2550" s="12" t="n"/>
    </row>
    <row r="2551" ht="15" customHeight="1">
      <c r="C2551" t="inlineStr">
        <is>
          <t>PAIS DEL DOMICILIO</t>
        </is>
      </c>
      <c r="D2551" t="inlineStr">
        <is>
          <t>F6</t>
        </is>
      </c>
      <c r="E2551" t="inlineStr">
        <is>
          <t>INHERENTE</t>
        </is>
      </c>
      <c r="F2551" t="inlineStr">
        <is>
          <t>ISLAS CANARIAS</t>
        </is>
      </c>
      <c r="G2551" t="inlineStr">
        <is>
          <t>XE</t>
        </is>
      </c>
      <c r="H2551" t="n">
        <v>1</v>
      </c>
      <c r="I2551" t="n">
        <v>1</v>
      </c>
      <c r="J2551" t="n">
        <v>4</v>
      </c>
      <c r="K2551" t="n">
        <v>4</v>
      </c>
      <c r="L2551" t="n">
        <v>4</v>
      </c>
      <c r="M2551" t="n">
        <v>4</v>
      </c>
      <c r="N2551" t="n">
        <v>4</v>
      </c>
      <c r="O2551" t="n">
        <v>20</v>
      </c>
      <c r="P2551" t="n">
        <v>4</v>
      </c>
      <c r="R2551" s="9" t="n">
        <v>0.04</v>
      </c>
      <c r="S2551" s="10" t="inlineStr">
        <is>
          <t>SÍ — integrante</t>
        </is>
      </c>
      <c r="T2551" s="11" t="inlineStr">
        <is>
          <t>B · INTEGRANTE</t>
        </is>
      </c>
      <c r="U2551" s="11" t="inlineStr">
        <is>
          <t>DEL BANCO (se hereda)</t>
        </is>
      </c>
      <c r="V2551" s="11" t="n"/>
      <c r="W2551" s="12" t="n"/>
      <c r="X2551" s="12" t="n"/>
    </row>
    <row r="2552" ht="15" customHeight="1">
      <c r="C2552" t="inlineStr">
        <is>
          <t>PAIS DEL DOMICILIO</t>
        </is>
      </c>
      <c r="D2552" t="inlineStr">
        <is>
          <t>F6</t>
        </is>
      </c>
      <c r="E2552" t="inlineStr">
        <is>
          <t>INHERENTE</t>
        </is>
      </c>
      <c r="F2552" t="inlineStr">
        <is>
          <t>ISLAS AZORES PORTUGA</t>
        </is>
      </c>
      <c r="G2552" t="inlineStr">
        <is>
          <t>XG</t>
        </is>
      </c>
      <c r="H2552" t="n">
        <v>1</v>
      </c>
      <c r="I2552" t="n">
        <v>1</v>
      </c>
      <c r="J2552" t="n">
        <v>4</v>
      </c>
      <c r="K2552" t="n">
        <v>4</v>
      </c>
      <c r="L2552" t="n">
        <v>4</v>
      </c>
      <c r="M2552" t="n">
        <v>4</v>
      </c>
      <c r="N2552" t="n">
        <v>4</v>
      </c>
      <c r="O2552" t="n">
        <v>20</v>
      </c>
      <c r="P2552" t="n">
        <v>4</v>
      </c>
      <c r="R2552" s="9" t="n">
        <v>0.04</v>
      </c>
      <c r="S2552" s="10" t="inlineStr">
        <is>
          <t>SÍ — integrante</t>
        </is>
      </c>
      <c r="T2552" s="11" t="inlineStr">
        <is>
          <t>B · INTEGRANTE</t>
        </is>
      </c>
      <c r="U2552" s="11" t="inlineStr">
        <is>
          <t>DEL BANCO (se hereda)</t>
        </is>
      </c>
      <c r="V2552" s="11" t="n"/>
      <c r="W2552" s="12" t="n"/>
      <c r="X2552" s="12" t="n"/>
    </row>
    <row r="2553" ht="15" customHeight="1">
      <c r="C2553" t="inlineStr">
        <is>
          <t>PAIS DEL DOMICILIO</t>
        </is>
      </c>
      <c r="D2553" t="inlineStr">
        <is>
          <t>F6</t>
        </is>
      </c>
      <c r="E2553" t="inlineStr">
        <is>
          <t>INHERENTE</t>
        </is>
      </c>
      <c r="F2553" t="inlineStr">
        <is>
          <t>LABUAN MALAYSIA</t>
        </is>
      </c>
      <c r="G2553" t="inlineStr">
        <is>
          <t>XS</t>
        </is>
      </c>
      <c r="H2553" t="n">
        <v>3</v>
      </c>
      <c r="I2553" t="n">
        <v>3</v>
      </c>
      <c r="J2553" t="n">
        <v>4</v>
      </c>
      <c r="K2553" t="n">
        <v>12</v>
      </c>
      <c r="L2553" t="n">
        <v>12</v>
      </c>
      <c r="M2553" t="n">
        <v>12</v>
      </c>
      <c r="N2553" t="n">
        <v>12</v>
      </c>
      <c r="O2553" t="n">
        <v>20</v>
      </c>
      <c r="P2553" t="n">
        <v>4</v>
      </c>
      <c r="R2553" s="9" t="n">
        <v>0.04</v>
      </c>
      <c r="S2553" s="10" t="inlineStr">
        <is>
          <t>SÍ — integrante</t>
        </is>
      </c>
      <c r="T2553" s="11" t="inlineStr">
        <is>
          <t>B · INTEGRANTE</t>
        </is>
      </c>
      <c r="U2553" s="11" t="inlineStr">
        <is>
          <t>DEL BANCO (se hereda)</t>
        </is>
      </c>
      <c r="V2553" s="11" t="n"/>
      <c r="W2553" s="12" t="n"/>
      <c r="X2553" s="12" t="n"/>
    </row>
    <row r="2554" ht="15" customHeight="1">
      <c r="C2554" t="inlineStr">
        <is>
          <t>PAIS DEL DOMICILIO</t>
        </is>
      </c>
      <c r="D2554" t="inlineStr">
        <is>
          <t>F6</t>
        </is>
      </c>
      <c r="E2554" t="inlineStr">
        <is>
          <t>INHERENTE</t>
        </is>
      </c>
      <c r="F2554" t="inlineStr">
        <is>
          <t>YEMEN</t>
        </is>
      </c>
      <c r="G2554" t="inlineStr">
        <is>
          <t>YE</t>
        </is>
      </c>
      <c r="H2554" t="n">
        <v>4</v>
      </c>
      <c r="I2554" t="n">
        <v>4</v>
      </c>
      <c r="J2554" t="n">
        <v>4</v>
      </c>
      <c r="K2554" t="n">
        <v>16</v>
      </c>
      <c r="L2554" t="n">
        <v>16</v>
      </c>
      <c r="M2554" t="n">
        <v>16</v>
      </c>
      <c r="N2554" t="n">
        <v>16</v>
      </c>
      <c r="O2554" t="n">
        <v>20</v>
      </c>
      <c r="P2554" t="n">
        <v>4</v>
      </c>
      <c r="Q2554" t="inlineStr">
        <is>
          <t>DETERMINANTE</t>
        </is>
      </c>
      <c r="R2554" s="9" t="n">
        <v>0.04</v>
      </c>
      <c r="S2554" s="10" t="inlineStr">
        <is>
          <t>SÍ — integrante</t>
        </is>
      </c>
      <c r="T2554" s="11" t="inlineStr">
        <is>
          <t>B · INTEGRANTE</t>
        </is>
      </c>
      <c r="U2554" s="11" t="inlineStr">
        <is>
          <t>DEL BANCO (se hereda)</t>
        </is>
      </c>
      <c r="V2554" s="11" t="n"/>
      <c r="W2554" s="12" t="n"/>
      <c r="X2554" s="12" t="n"/>
    </row>
    <row r="2555" ht="15" customHeight="1">
      <c r="C2555" t="inlineStr">
        <is>
          <t>PAIS DEL DOMICILIO</t>
        </is>
      </c>
      <c r="D2555" t="inlineStr">
        <is>
          <t>F6</t>
        </is>
      </c>
      <c r="E2555" t="inlineStr">
        <is>
          <t>INHERENTE</t>
        </is>
      </c>
      <c r="F2555" t="inlineStr">
        <is>
          <t>MAYOTTE</t>
        </is>
      </c>
      <c r="G2555" t="inlineStr">
        <is>
          <t>YT</t>
        </is>
      </c>
      <c r="H2555" t="n">
        <v>1</v>
      </c>
      <c r="I2555" t="n">
        <v>1</v>
      </c>
      <c r="J2555" t="n">
        <v>4</v>
      </c>
      <c r="K2555" t="n">
        <v>4</v>
      </c>
      <c r="L2555" t="n">
        <v>4</v>
      </c>
      <c r="M2555" t="n">
        <v>4</v>
      </c>
      <c r="N2555" t="n">
        <v>4</v>
      </c>
      <c r="O2555" t="n">
        <v>20</v>
      </c>
      <c r="P2555" t="n">
        <v>4</v>
      </c>
      <c r="R2555" s="9" t="n">
        <v>0.04</v>
      </c>
      <c r="S2555" s="10" t="inlineStr">
        <is>
          <t>SÍ — integrante</t>
        </is>
      </c>
      <c r="T2555" s="11" t="inlineStr">
        <is>
          <t>B · INTEGRANTE</t>
        </is>
      </c>
      <c r="U2555" s="11" t="inlineStr">
        <is>
          <t>DEL BANCO (se hereda)</t>
        </is>
      </c>
      <c r="V2555" s="11" t="n"/>
      <c r="W2555" s="12" t="n"/>
      <c r="X2555" s="12" t="n"/>
    </row>
    <row r="2556" ht="15" customHeight="1">
      <c r="C2556" t="inlineStr">
        <is>
          <t>PAIS DEL DOMICILIO</t>
        </is>
      </c>
      <c r="D2556" t="inlineStr">
        <is>
          <t>F6</t>
        </is>
      </c>
      <c r="E2556" t="inlineStr">
        <is>
          <t>INHERENTE</t>
        </is>
      </c>
      <c r="F2556" t="inlineStr">
        <is>
          <t>ISLA QESHM, IRAN</t>
        </is>
      </c>
      <c r="G2556" t="inlineStr">
        <is>
          <t>YU</t>
        </is>
      </c>
      <c r="H2556" t="n">
        <v>5</v>
      </c>
      <c r="I2556" t="n">
        <v>5</v>
      </c>
      <c r="J2556" t="n">
        <v>4</v>
      </c>
      <c r="K2556" t="n">
        <v>20</v>
      </c>
      <c r="L2556" t="n">
        <v>20</v>
      </c>
      <c r="M2556" t="n">
        <v>20</v>
      </c>
      <c r="N2556" t="n">
        <v>20</v>
      </c>
      <c r="O2556" t="n">
        <v>20</v>
      </c>
      <c r="P2556" t="n">
        <v>4</v>
      </c>
      <c r="Q2556" t="inlineStr">
        <is>
          <t>PROHIBITIVO</t>
        </is>
      </c>
      <c r="R2556" s="9" t="n">
        <v>0.04</v>
      </c>
      <c r="S2556" s="10" t="inlineStr">
        <is>
          <t>SÍ — integrante</t>
        </is>
      </c>
      <c r="T2556" s="11" t="inlineStr">
        <is>
          <t>B · INTEGRANTE</t>
        </is>
      </c>
      <c r="U2556" s="11" t="inlineStr">
        <is>
          <t>DEL BANCO (se hereda)</t>
        </is>
      </c>
      <c r="V2556" s="11" t="n"/>
      <c r="W2556" s="12" t="n"/>
      <c r="X2556" s="12" t="n"/>
    </row>
    <row r="2557" ht="15" customHeight="1">
      <c r="C2557" t="inlineStr">
        <is>
          <t>PAIS DEL DOMICILIO</t>
        </is>
      </c>
      <c r="D2557" t="inlineStr">
        <is>
          <t>F6</t>
        </is>
      </c>
      <c r="E2557" t="inlineStr">
        <is>
          <t>INHERENTE</t>
        </is>
      </c>
      <c r="F2557" t="inlineStr">
        <is>
          <t>SUDAFRICA</t>
        </is>
      </c>
      <c r="G2557" t="inlineStr">
        <is>
          <t>ZA</t>
        </is>
      </c>
      <c r="H2557" t="n">
        <v>3</v>
      </c>
      <c r="I2557" t="n">
        <v>3</v>
      </c>
      <c r="J2557" t="n">
        <v>4</v>
      </c>
      <c r="K2557" t="n">
        <v>12</v>
      </c>
      <c r="L2557" t="n">
        <v>12</v>
      </c>
      <c r="M2557" t="n">
        <v>12</v>
      </c>
      <c r="N2557" t="n">
        <v>12</v>
      </c>
      <c r="O2557" t="n">
        <v>20</v>
      </c>
      <c r="P2557" t="n">
        <v>4</v>
      </c>
      <c r="R2557" s="9" t="n">
        <v>0.04</v>
      </c>
      <c r="S2557" s="10" t="inlineStr">
        <is>
          <t>SÍ — integrante</t>
        </is>
      </c>
      <c r="T2557" s="11" t="inlineStr">
        <is>
          <t>B · INTEGRANTE</t>
        </is>
      </c>
      <c r="U2557" s="11" t="inlineStr">
        <is>
          <t>DEL BANCO (se hereda)</t>
        </is>
      </c>
      <c r="V2557" s="11" t="n"/>
      <c r="W2557" s="12" t="n"/>
      <c r="X2557" s="12" t="n"/>
    </row>
    <row r="2558" ht="15" customHeight="1">
      <c r="C2558" t="inlineStr">
        <is>
          <t>PAIS DEL DOMICILIO</t>
        </is>
      </c>
      <c r="D2558" t="inlineStr">
        <is>
          <t>F6</t>
        </is>
      </c>
      <c r="E2558" t="inlineStr">
        <is>
          <t>INHERENTE</t>
        </is>
      </c>
      <c r="F2558" t="inlineStr">
        <is>
          <t>ZAMBIA</t>
        </is>
      </c>
      <c r="G2558" t="inlineStr">
        <is>
          <t>ZM</t>
        </is>
      </c>
      <c r="H2558" t="n">
        <v>2</v>
      </c>
      <c r="I2558" t="n">
        <v>2</v>
      </c>
      <c r="J2558" t="n">
        <v>4</v>
      </c>
      <c r="K2558" t="n">
        <v>8</v>
      </c>
      <c r="L2558" t="n">
        <v>8</v>
      </c>
      <c r="M2558" t="n">
        <v>8</v>
      </c>
      <c r="N2558" t="n">
        <v>8</v>
      </c>
      <c r="O2558" t="n">
        <v>20</v>
      </c>
      <c r="P2558" t="n">
        <v>4</v>
      </c>
      <c r="R2558" s="9" t="n">
        <v>0.04</v>
      </c>
      <c r="S2558" s="10" t="inlineStr">
        <is>
          <t>SÍ — integrante</t>
        </is>
      </c>
      <c r="T2558" s="11" t="inlineStr">
        <is>
          <t>B · INTEGRANTE</t>
        </is>
      </c>
      <c r="U2558" s="11" t="inlineStr">
        <is>
          <t>DEL BANCO (se hereda)</t>
        </is>
      </c>
      <c r="V2558" s="11" t="n"/>
      <c r="W2558" s="12" t="n"/>
      <c r="X2558" s="12" t="n"/>
    </row>
    <row r="2559" ht="15" customHeight="1">
      <c r="C2559" t="inlineStr">
        <is>
          <t>PAIS DEL DOMICILIO</t>
        </is>
      </c>
      <c r="D2559" t="inlineStr">
        <is>
          <t>F6</t>
        </is>
      </c>
      <c r="E2559" t="inlineStr">
        <is>
          <t>INHERENTE</t>
        </is>
      </c>
      <c r="F2559" t="inlineStr">
        <is>
          <t>ZIMBABUE</t>
        </is>
      </c>
      <c r="G2559" t="inlineStr">
        <is>
          <t>ZW</t>
        </is>
      </c>
      <c r="H2559" t="n">
        <v>4</v>
      </c>
      <c r="I2559" t="n">
        <v>4</v>
      </c>
      <c r="J2559" t="n">
        <v>4</v>
      </c>
      <c r="K2559" t="n">
        <v>16</v>
      </c>
      <c r="L2559" t="n">
        <v>16</v>
      </c>
      <c r="M2559" t="n">
        <v>16</v>
      </c>
      <c r="N2559" t="n">
        <v>16</v>
      </c>
      <c r="O2559" t="n">
        <v>20</v>
      </c>
      <c r="P2559" t="n">
        <v>4</v>
      </c>
      <c r="R2559" s="9" t="n">
        <v>0.04</v>
      </c>
      <c r="S2559" s="10" t="inlineStr">
        <is>
          <t>SÍ — integrante</t>
        </is>
      </c>
      <c r="T2559" s="11" t="inlineStr">
        <is>
          <t>B · INTEGRANTE</t>
        </is>
      </c>
      <c r="U2559" s="11" t="inlineStr">
        <is>
          <t>DEL BANCO (se hereda)</t>
        </is>
      </c>
      <c r="V2559" s="11" t="n"/>
      <c r="W2559" s="12" t="n"/>
      <c r="X2559" s="12" t="n"/>
    </row>
    <row r="2560" ht="15" customHeight="1">
      <c r="C2560" t="inlineStr">
        <is>
          <t>ESTADO DEL DOMICILIO</t>
        </is>
      </c>
      <c r="D2560" t="inlineStr">
        <is>
          <t>F7</t>
        </is>
      </c>
      <c r="E2560" t="inlineStr">
        <is>
          <t>INHERENTE</t>
        </is>
      </c>
      <c r="F2560" t="inlineStr">
        <is>
          <t>AGUASCALIENTES</t>
        </is>
      </c>
      <c r="G2560" t="n">
        <v>1</v>
      </c>
      <c r="H2560" t="n">
        <v>2</v>
      </c>
      <c r="I2560" t="n">
        <v>2</v>
      </c>
      <c r="J2560" t="n">
        <v>4</v>
      </c>
      <c r="K2560" t="n">
        <v>8</v>
      </c>
      <c r="L2560" t="n">
        <v>8</v>
      </c>
      <c r="M2560" t="n">
        <v>8</v>
      </c>
      <c r="N2560" t="n">
        <v>8</v>
      </c>
      <c r="O2560" t="n">
        <v>20</v>
      </c>
      <c r="P2560" t="n">
        <v>4</v>
      </c>
      <c r="R2560" s="9" t="n">
        <v>0.04</v>
      </c>
      <c r="S2560" s="10" t="inlineStr">
        <is>
          <t>SÍ — integrante</t>
        </is>
      </c>
      <c r="T2560" s="11" t="inlineStr">
        <is>
          <t>B · INTEGRANTE</t>
        </is>
      </c>
      <c r="U2560" s="11" t="inlineStr">
        <is>
          <t>DEL BANCO (se hereda)</t>
        </is>
      </c>
      <c r="V2560" s="11" t="n"/>
      <c r="W2560" s="12" t="n"/>
      <c r="X2560" s="12" t="n"/>
    </row>
    <row r="2561" ht="15" customHeight="1">
      <c r="C2561" t="inlineStr">
        <is>
          <t>ESTADO DEL DOMICILIO</t>
        </is>
      </c>
      <c r="D2561" t="inlineStr">
        <is>
          <t>F7</t>
        </is>
      </c>
      <c r="E2561" t="inlineStr">
        <is>
          <t>INHERENTE</t>
        </is>
      </c>
      <c r="F2561" t="inlineStr">
        <is>
          <t>BAJA CALIFORNIA</t>
        </is>
      </c>
      <c r="G2561" t="n">
        <v>2</v>
      </c>
      <c r="H2561" t="n">
        <v>5</v>
      </c>
      <c r="I2561" t="n">
        <v>5</v>
      </c>
      <c r="J2561" t="n">
        <v>4</v>
      </c>
      <c r="K2561" t="n">
        <v>20</v>
      </c>
      <c r="L2561" t="n">
        <v>20</v>
      </c>
      <c r="M2561" t="n">
        <v>20</v>
      </c>
      <c r="N2561" t="n">
        <v>20</v>
      </c>
      <c r="O2561" t="n">
        <v>20</v>
      </c>
      <c r="P2561" t="n">
        <v>4</v>
      </c>
      <c r="R2561" s="9" t="n">
        <v>0.04</v>
      </c>
      <c r="S2561" s="10" t="inlineStr">
        <is>
          <t>SÍ — integrante</t>
        </is>
      </c>
      <c r="T2561" s="11" t="inlineStr">
        <is>
          <t>B · INTEGRANTE</t>
        </is>
      </c>
      <c r="U2561" s="11" t="inlineStr">
        <is>
          <t>DEL BANCO (se hereda)</t>
        </is>
      </c>
      <c r="V2561" s="11" t="n"/>
      <c r="W2561" s="12" t="n"/>
      <c r="X2561" s="12" t="n"/>
    </row>
    <row r="2562" ht="15" customHeight="1">
      <c r="C2562" t="inlineStr">
        <is>
          <t>ESTADO DEL DOMICILIO</t>
        </is>
      </c>
      <c r="D2562" t="inlineStr">
        <is>
          <t>F7</t>
        </is>
      </c>
      <c r="E2562" t="inlineStr">
        <is>
          <t>INHERENTE</t>
        </is>
      </c>
      <c r="F2562" t="inlineStr">
        <is>
          <t>BAJA CALIFORNIA SUR</t>
        </is>
      </c>
      <c r="G2562" t="n">
        <v>3</v>
      </c>
      <c r="H2562" t="n">
        <v>3</v>
      </c>
      <c r="I2562" t="n">
        <v>3</v>
      </c>
      <c r="J2562" t="n">
        <v>4</v>
      </c>
      <c r="K2562" t="n">
        <v>12</v>
      </c>
      <c r="L2562" t="n">
        <v>12</v>
      </c>
      <c r="M2562" t="n">
        <v>12</v>
      </c>
      <c r="N2562" t="n">
        <v>12</v>
      </c>
      <c r="O2562" t="n">
        <v>20</v>
      </c>
      <c r="P2562" t="n">
        <v>4</v>
      </c>
      <c r="R2562" s="9" t="n">
        <v>0.04</v>
      </c>
      <c r="S2562" s="10" t="inlineStr">
        <is>
          <t>SÍ — integrante</t>
        </is>
      </c>
      <c r="T2562" s="11" t="inlineStr">
        <is>
          <t>B · INTEGRANTE</t>
        </is>
      </c>
      <c r="U2562" s="11" t="inlineStr">
        <is>
          <t>DEL BANCO (se hereda)</t>
        </is>
      </c>
      <c r="V2562" s="11" t="n"/>
      <c r="W2562" s="12" t="n"/>
      <c r="X2562" s="12" t="n"/>
    </row>
    <row r="2563" ht="15" customHeight="1">
      <c r="C2563" t="inlineStr">
        <is>
          <t>ESTADO DEL DOMICILIO</t>
        </is>
      </c>
      <c r="D2563" t="inlineStr">
        <is>
          <t>F7</t>
        </is>
      </c>
      <c r="E2563" t="inlineStr">
        <is>
          <t>INHERENTE</t>
        </is>
      </c>
      <c r="F2563" t="inlineStr">
        <is>
          <t>CAMPECHE</t>
        </is>
      </c>
      <c r="G2563" t="n">
        <v>4</v>
      </c>
      <c r="H2563" t="n">
        <v>3</v>
      </c>
      <c r="I2563" t="n">
        <v>3</v>
      </c>
      <c r="J2563" t="n">
        <v>4</v>
      </c>
      <c r="K2563" t="n">
        <v>12</v>
      </c>
      <c r="L2563" t="n">
        <v>12</v>
      </c>
      <c r="M2563" t="n">
        <v>12</v>
      </c>
      <c r="N2563" t="n">
        <v>12</v>
      </c>
      <c r="O2563" t="n">
        <v>20</v>
      </c>
      <c r="P2563" t="n">
        <v>4</v>
      </c>
      <c r="R2563" s="9" t="n">
        <v>0.04</v>
      </c>
      <c r="S2563" s="10" t="inlineStr">
        <is>
          <t>SÍ — integrante</t>
        </is>
      </c>
      <c r="T2563" s="11" t="inlineStr">
        <is>
          <t>B · INTEGRANTE</t>
        </is>
      </c>
      <c r="U2563" s="11" t="inlineStr">
        <is>
          <t>DEL BANCO (se hereda)</t>
        </is>
      </c>
      <c r="V2563" s="11" t="n"/>
      <c r="W2563" s="12" t="n"/>
      <c r="X2563" s="12" t="n"/>
    </row>
    <row r="2564" ht="15" customHeight="1">
      <c r="C2564" t="inlineStr">
        <is>
          <t>ESTADO DEL DOMICILIO</t>
        </is>
      </c>
      <c r="D2564" t="inlineStr">
        <is>
          <t>F7</t>
        </is>
      </c>
      <c r="E2564" t="inlineStr">
        <is>
          <t>INHERENTE</t>
        </is>
      </c>
      <c r="F2564" t="inlineStr">
        <is>
          <t>COAHUILA</t>
        </is>
      </c>
      <c r="G2564" t="n">
        <v>5</v>
      </c>
      <c r="H2564" t="n">
        <v>3</v>
      </c>
      <c r="I2564" t="n">
        <v>3</v>
      </c>
      <c r="J2564" t="n">
        <v>4</v>
      </c>
      <c r="K2564" t="n">
        <v>12</v>
      </c>
      <c r="L2564" t="n">
        <v>12</v>
      </c>
      <c r="M2564" t="n">
        <v>12</v>
      </c>
      <c r="N2564" t="n">
        <v>12</v>
      </c>
      <c r="O2564" t="n">
        <v>20</v>
      </c>
      <c r="P2564" t="n">
        <v>4</v>
      </c>
      <c r="R2564" s="9" t="n">
        <v>0.04</v>
      </c>
      <c r="S2564" s="10" t="inlineStr">
        <is>
          <t>SÍ — integrante</t>
        </is>
      </c>
      <c r="T2564" s="11" t="inlineStr">
        <is>
          <t>B · INTEGRANTE</t>
        </is>
      </c>
      <c r="U2564" s="11" t="inlineStr">
        <is>
          <t>DEL BANCO (se hereda)</t>
        </is>
      </c>
      <c r="V2564" s="11" t="n"/>
      <c r="W2564" s="12" t="n"/>
      <c r="X2564" s="12" t="n"/>
    </row>
    <row r="2565" ht="15" customHeight="1">
      <c r="C2565" t="inlineStr">
        <is>
          <t>ESTADO DEL DOMICILIO</t>
        </is>
      </c>
      <c r="D2565" t="inlineStr">
        <is>
          <t>F7</t>
        </is>
      </c>
      <c r="E2565" t="inlineStr">
        <is>
          <t>INHERENTE</t>
        </is>
      </c>
      <c r="F2565" t="inlineStr">
        <is>
          <t>COLIMA</t>
        </is>
      </c>
      <c r="G2565" t="n">
        <v>6</v>
      </c>
      <c r="H2565" t="n">
        <v>4</v>
      </c>
      <c r="I2565" t="n">
        <v>4</v>
      </c>
      <c r="J2565" t="n">
        <v>4</v>
      </c>
      <c r="K2565" t="n">
        <v>16</v>
      </c>
      <c r="L2565" t="n">
        <v>16</v>
      </c>
      <c r="M2565" t="n">
        <v>16</v>
      </c>
      <c r="N2565" t="n">
        <v>16</v>
      </c>
      <c r="O2565" t="n">
        <v>20</v>
      </c>
      <c r="P2565" t="n">
        <v>4</v>
      </c>
      <c r="R2565" s="9" t="n">
        <v>0.04</v>
      </c>
      <c r="S2565" s="10" t="inlineStr">
        <is>
          <t>SÍ — integrante</t>
        </is>
      </c>
      <c r="T2565" s="11" t="inlineStr">
        <is>
          <t>B · INTEGRANTE</t>
        </is>
      </c>
      <c r="U2565" s="11" t="inlineStr">
        <is>
          <t>DEL BANCO (se hereda)</t>
        </is>
      </c>
      <c r="V2565" s="11" t="n"/>
      <c r="W2565" s="12" t="n"/>
      <c r="X2565" s="12" t="n"/>
    </row>
    <row r="2566" ht="15" customHeight="1">
      <c r="C2566" t="inlineStr">
        <is>
          <t>ESTADO DEL DOMICILIO</t>
        </is>
      </c>
      <c r="D2566" t="inlineStr">
        <is>
          <t>F7</t>
        </is>
      </c>
      <c r="E2566" t="inlineStr">
        <is>
          <t>INHERENTE</t>
        </is>
      </c>
      <c r="F2566" t="inlineStr">
        <is>
          <t>CHIAPAS</t>
        </is>
      </c>
      <c r="G2566" t="n">
        <v>7</v>
      </c>
      <c r="H2566" t="n">
        <v>4</v>
      </c>
      <c r="I2566" t="n">
        <v>4</v>
      </c>
      <c r="J2566" t="n">
        <v>4</v>
      </c>
      <c r="K2566" t="n">
        <v>16</v>
      </c>
      <c r="L2566" t="n">
        <v>16</v>
      </c>
      <c r="M2566" t="n">
        <v>16</v>
      </c>
      <c r="N2566" t="n">
        <v>16</v>
      </c>
      <c r="O2566" t="n">
        <v>20</v>
      </c>
      <c r="P2566" t="n">
        <v>4</v>
      </c>
      <c r="R2566" s="9" t="n">
        <v>0.04</v>
      </c>
      <c r="S2566" s="10" t="inlineStr">
        <is>
          <t>SÍ — integrante</t>
        </is>
      </c>
      <c r="T2566" s="11" t="inlineStr">
        <is>
          <t>B · INTEGRANTE</t>
        </is>
      </c>
      <c r="U2566" s="11" t="inlineStr">
        <is>
          <t>DEL BANCO (se hereda)</t>
        </is>
      </c>
      <c r="V2566" s="11" t="n"/>
      <c r="W2566" s="12" t="n"/>
      <c r="X2566" s="12" t="n"/>
    </row>
    <row r="2567" ht="15" customHeight="1">
      <c r="C2567" t="inlineStr">
        <is>
          <t>ESTADO DEL DOMICILIO</t>
        </is>
      </c>
      <c r="D2567" t="inlineStr">
        <is>
          <t>F7</t>
        </is>
      </c>
      <c r="E2567" t="inlineStr">
        <is>
          <t>INHERENTE</t>
        </is>
      </c>
      <c r="F2567" t="inlineStr">
        <is>
          <t>CHIHUAHUA</t>
        </is>
      </c>
      <c r="G2567" t="n">
        <v>8</v>
      </c>
      <c r="H2567" t="n">
        <v>5</v>
      </c>
      <c r="I2567" t="n">
        <v>5</v>
      </c>
      <c r="J2567" t="n">
        <v>4</v>
      </c>
      <c r="K2567" t="n">
        <v>20</v>
      </c>
      <c r="L2567" t="n">
        <v>20</v>
      </c>
      <c r="M2567" t="n">
        <v>20</v>
      </c>
      <c r="N2567" t="n">
        <v>20</v>
      </c>
      <c r="O2567" t="n">
        <v>20</v>
      </c>
      <c r="P2567" t="n">
        <v>4</v>
      </c>
      <c r="R2567" s="9" t="n">
        <v>0.04</v>
      </c>
      <c r="S2567" s="10" t="inlineStr">
        <is>
          <t>SÍ — integrante</t>
        </is>
      </c>
      <c r="T2567" s="11" t="inlineStr">
        <is>
          <t>B · INTEGRANTE</t>
        </is>
      </c>
      <c r="U2567" s="11" t="inlineStr">
        <is>
          <t>DEL BANCO (se hereda)</t>
        </is>
      </c>
      <c r="V2567" s="11" t="n"/>
      <c r="W2567" s="12" t="n"/>
      <c r="X2567" s="12" t="n"/>
    </row>
    <row r="2568" ht="15" customHeight="1">
      <c r="C2568" t="inlineStr">
        <is>
          <t>ESTADO DEL DOMICILIO</t>
        </is>
      </c>
      <c r="D2568" t="inlineStr">
        <is>
          <t>F7</t>
        </is>
      </c>
      <c r="E2568" t="inlineStr">
        <is>
          <t>INHERENTE</t>
        </is>
      </c>
      <c r="F2568" t="inlineStr">
        <is>
          <t>CIUDAD DE MÉXICO</t>
        </is>
      </c>
      <c r="G2568" t="n">
        <v>9</v>
      </c>
      <c r="H2568" t="n">
        <v>4</v>
      </c>
      <c r="I2568" t="n">
        <v>4</v>
      </c>
      <c r="J2568" t="n">
        <v>4</v>
      </c>
      <c r="K2568" t="n">
        <v>16</v>
      </c>
      <c r="L2568" t="n">
        <v>16</v>
      </c>
      <c r="M2568" t="n">
        <v>16</v>
      </c>
      <c r="N2568" t="n">
        <v>16</v>
      </c>
      <c r="O2568" t="n">
        <v>20</v>
      </c>
      <c r="P2568" t="n">
        <v>4</v>
      </c>
      <c r="R2568" s="9" t="n">
        <v>0.04</v>
      </c>
      <c r="S2568" s="10" t="inlineStr">
        <is>
          <t>SÍ — integrante</t>
        </is>
      </c>
      <c r="T2568" s="11" t="inlineStr">
        <is>
          <t>B · INTEGRANTE</t>
        </is>
      </c>
      <c r="U2568" s="11" t="inlineStr">
        <is>
          <t>DEL BANCO (se hereda)</t>
        </is>
      </c>
      <c r="V2568" s="11" t="n"/>
      <c r="W2568" s="12" t="n"/>
      <c r="X2568" s="12" t="n"/>
    </row>
    <row r="2569" ht="15" customHeight="1">
      <c r="C2569" t="inlineStr">
        <is>
          <t>ESTADO DEL DOMICILIO</t>
        </is>
      </c>
      <c r="D2569" t="inlineStr">
        <is>
          <t>F7</t>
        </is>
      </c>
      <c r="E2569" t="inlineStr">
        <is>
          <t>INHERENTE</t>
        </is>
      </c>
      <c r="F2569" t="inlineStr">
        <is>
          <t>DURANGO</t>
        </is>
      </c>
      <c r="G2569" t="n">
        <v>10</v>
      </c>
      <c r="H2569" t="n">
        <v>4</v>
      </c>
      <c r="I2569" t="n">
        <v>4</v>
      </c>
      <c r="J2569" t="n">
        <v>4</v>
      </c>
      <c r="K2569" t="n">
        <v>16</v>
      </c>
      <c r="L2569" t="n">
        <v>16</v>
      </c>
      <c r="M2569" t="n">
        <v>16</v>
      </c>
      <c r="N2569" t="n">
        <v>16</v>
      </c>
      <c r="O2569" t="n">
        <v>20</v>
      </c>
      <c r="P2569" t="n">
        <v>4</v>
      </c>
      <c r="R2569" s="9" t="n">
        <v>0.04</v>
      </c>
      <c r="S2569" s="10" t="inlineStr">
        <is>
          <t>SÍ — integrante</t>
        </is>
      </c>
      <c r="T2569" s="11" t="inlineStr">
        <is>
          <t>B · INTEGRANTE</t>
        </is>
      </c>
      <c r="U2569" s="11" t="inlineStr">
        <is>
          <t>DEL BANCO (se hereda)</t>
        </is>
      </c>
      <c r="V2569" s="11" t="n"/>
      <c r="W2569" s="12" t="n"/>
      <c r="X2569" s="12" t="n"/>
    </row>
    <row r="2570" ht="15" customHeight="1">
      <c r="C2570" t="inlineStr">
        <is>
          <t>ESTADO DEL DOMICILIO</t>
        </is>
      </c>
      <c r="D2570" t="inlineStr">
        <is>
          <t>F7</t>
        </is>
      </c>
      <c r="E2570" t="inlineStr">
        <is>
          <t>INHERENTE</t>
        </is>
      </c>
      <c r="F2570" t="inlineStr">
        <is>
          <t>GUANAJUATO</t>
        </is>
      </c>
      <c r="G2570" t="n">
        <v>11</v>
      </c>
      <c r="H2570" t="n">
        <v>4</v>
      </c>
      <c r="I2570" t="n">
        <v>4</v>
      </c>
      <c r="J2570" t="n">
        <v>4</v>
      </c>
      <c r="K2570" t="n">
        <v>16</v>
      </c>
      <c r="L2570" t="n">
        <v>16</v>
      </c>
      <c r="M2570" t="n">
        <v>16</v>
      </c>
      <c r="N2570" t="n">
        <v>16</v>
      </c>
      <c r="O2570" t="n">
        <v>20</v>
      </c>
      <c r="P2570" t="n">
        <v>4</v>
      </c>
      <c r="R2570" s="9" t="n">
        <v>0.04</v>
      </c>
      <c r="S2570" s="10" t="inlineStr">
        <is>
          <t>SÍ — integrante</t>
        </is>
      </c>
      <c r="T2570" s="11" t="inlineStr">
        <is>
          <t>B · INTEGRANTE</t>
        </is>
      </c>
      <c r="U2570" s="11" t="inlineStr">
        <is>
          <t>DEL BANCO (se hereda)</t>
        </is>
      </c>
      <c r="V2570" s="11" t="n"/>
      <c r="W2570" s="12" t="n"/>
      <c r="X2570" s="12" t="n"/>
    </row>
    <row r="2571" ht="15" customHeight="1">
      <c r="C2571" t="inlineStr">
        <is>
          <t>ESTADO DEL DOMICILIO</t>
        </is>
      </c>
      <c r="D2571" t="inlineStr">
        <is>
          <t>F7</t>
        </is>
      </c>
      <c r="E2571" t="inlineStr">
        <is>
          <t>INHERENTE</t>
        </is>
      </c>
      <c r="F2571" t="inlineStr">
        <is>
          <t>GUERRERO</t>
        </is>
      </c>
      <c r="G2571" t="n">
        <v>12</v>
      </c>
      <c r="H2571" t="n">
        <v>5</v>
      </c>
      <c r="I2571" t="n">
        <v>5</v>
      </c>
      <c r="J2571" t="n">
        <v>4</v>
      </c>
      <c r="K2571" t="n">
        <v>20</v>
      </c>
      <c r="L2571" t="n">
        <v>20</v>
      </c>
      <c r="M2571" t="n">
        <v>20</v>
      </c>
      <c r="N2571" t="n">
        <v>20</v>
      </c>
      <c r="O2571" t="n">
        <v>20</v>
      </c>
      <c r="P2571" t="n">
        <v>4</v>
      </c>
      <c r="R2571" s="9" t="n">
        <v>0.04</v>
      </c>
      <c r="S2571" s="10" t="inlineStr">
        <is>
          <t>SÍ — integrante</t>
        </is>
      </c>
      <c r="T2571" s="11" t="inlineStr">
        <is>
          <t>B · INTEGRANTE</t>
        </is>
      </c>
      <c r="U2571" s="11" t="inlineStr">
        <is>
          <t>DEL BANCO (se hereda)</t>
        </is>
      </c>
      <c r="V2571" s="11" t="n"/>
      <c r="W2571" s="12" t="n"/>
      <c r="X2571" s="12" t="n"/>
    </row>
    <row r="2572" ht="15" customHeight="1">
      <c r="C2572" t="inlineStr">
        <is>
          <t>ESTADO DEL DOMICILIO</t>
        </is>
      </c>
      <c r="D2572" t="inlineStr">
        <is>
          <t>F7</t>
        </is>
      </c>
      <c r="E2572" t="inlineStr">
        <is>
          <t>INHERENTE</t>
        </is>
      </c>
      <c r="F2572" t="inlineStr">
        <is>
          <t>HIDALGO</t>
        </is>
      </c>
      <c r="G2572" t="n">
        <v>13</v>
      </c>
      <c r="H2572" t="n">
        <v>3</v>
      </c>
      <c r="I2572" t="n">
        <v>3</v>
      </c>
      <c r="J2572" t="n">
        <v>4</v>
      </c>
      <c r="K2572" t="n">
        <v>12</v>
      </c>
      <c r="L2572" t="n">
        <v>12</v>
      </c>
      <c r="M2572" t="n">
        <v>12</v>
      </c>
      <c r="N2572" t="n">
        <v>12</v>
      </c>
      <c r="O2572" t="n">
        <v>20</v>
      </c>
      <c r="P2572" t="n">
        <v>4</v>
      </c>
      <c r="R2572" s="9" t="n">
        <v>0.04</v>
      </c>
      <c r="S2572" s="10" t="inlineStr">
        <is>
          <t>SÍ — integrante</t>
        </is>
      </c>
      <c r="T2572" s="11" t="inlineStr">
        <is>
          <t>B · INTEGRANTE</t>
        </is>
      </c>
      <c r="U2572" s="11" t="inlineStr">
        <is>
          <t>DEL BANCO (se hereda)</t>
        </is>
      </c>
      <c r="V2572" s="11" t="n"/>
      <c r="W2572" s="12" t="n"/>
      <c r="X2572" s="12" t="n"/>
    </row>
    <row r="2573" ht="15" customHeight="1">
      <c r="C2573" t="inlineStr">
        <is>
          <t>ESTADO DEL DOMICILIO</t>
        </is>
      </c>
      <c r="D2573" t="inlineStr">
        <is>
          <t>F7</t>
        </is>
      </c>
      <c r="E2573" t="inlineStr">
        <is>
          <t>INHERENTE</t>
        </is>
      </c>
      <c r="F2573" t="inlineStr">
        <is>
          <t>JALISCO</t>
        </is>
      </c>
      <c r="G2573" t="n">
        <v>14</v>
      </c>
      <c r="H2573" t="n">
        <v>5</v>
      </c>
      <c r="I2573" t="n">
        <v>5</v>
      </c>
      <c r="J2573" t="n">
        <v>4</v>
      </c>
      <c r="K2573" t="n">
        <v>20</v>
      </c>
      <c r="L2573" t="n">
        <v>20</v>
      </c>
      <c r="M2573" t="n">
        <v>20</v>
      </c>
      <c r="N2573" t="n">
        <v>20</v>
      </c>
      <c r="O2573" t="n">
        <v>20</v>
      </c>
      <c r="P2573" t="n">
        <v>4</v>
      </c>
      <c r="R2573" s="9" t="n">
        <v>0.04</v>
      </c>
      <c r="S2573" s="10" t="inlineStr">
        <is>
          <t>SÍ — integrante</t>
        </is>
      </c>
      <c r="T2573" s="11" t="inlineStr">
        <is>
          <t>B · INTEGRANTE</t>
        </is>
      </c>
      <c r="U2573" s="11" t="inlineStr">
        <is>
          <t>DEL BANCO (se hereda)</t>
        </is>
      </c>
      <c r="V2573" s="11" t="n"/>
      <c r="W2573" s="12" t="n"/>
      <c r="X2573" s="12" t="n"/>
    </row>
    <row r="2574" ht="15" customHeight="1">
      <c r="C2574" t="inlineStr">
        <is>
          <t>ESTADO DEL DOMICILIO</t>
        </is>
      </c>
      <c r="D2574" t="inlineStr">
        <is>
          <t>F7</t>
        </is>
      </c>
      <c r="E2574" t="inlineStr">
        <is>
          <t>INHERENTE</t>
        </is>
      </c>
      <c r="F2574" t="inlineStr">
        <is>
          <t>ESTADO DE MÉXICO</t>
        </is>
      </c>
      <c r="G2574" t="n">
        <v>15</v>
      </c>
      <c r="H2574" t="n">
        <v>4</v>
      </c>
      <c r="I2574" t="n">
        <v>4</v>
      </c>
      <c r="J2574" t="n">
        <v>4</v>
      </c>
      <c r="K2574" t="n">
        <v>16</v>
      </c>
      <c r="L2574" t="n">
        <v>16</v>
      </c>
      <c r="M2574" t="n">
        <v>16</v>
      </c>
      <c r="N2574" t="n">
        <v>16</v>
      </c>
      <c r="O2574" t="n">
        <v>20</v>
      </c>
      <c r="P2574" t="n">
        <v>4</v>
      </c>
      <c r="R2574" s="9" t="n">
        <v>0.04</v>
      </c>
      <c r="S2574" s="10" t="inlineStr">
        <is>
          <t>SÍ — integrante</t>
        </is>
      </c>
      <c r="T2574" s="11" t="inlineStr">
        <is>
          <t>B · INTEGRANTE</t>
        </is>
      </c>
      <c r="U2574" s="11" t="inlineStr">
        <is>
          <t>DEL BANCO (se hereda)</t>
        </is>
      </c>
      <c r="V2574" s="11" t="n"/>
      <c r="W2574" s="12" t="n"/>
      <c r="X2574" s="12" t="n"/>
    </row>
    <row r="2575" ht="15" customHeight="1">
      <c r="C2575" t="inlineStr">
        <is>
          <t>ESTADO DEL DOMICILIO</t>
        </is>
      </c>
      <c r="D2575" t="inlineStr">
        <is>
          <t>F7</t>
        </is>
      </c>
      <c r="E2575" t="inlineStr">
        <is>
          <t>INHERENTE</t>
        </is>
      </c>
      <c r="F2575" t="inlineStr">
        <is>
          <t>MICHOACÁN</t>
        </is>
      </c>
      <c r="G2575" t="n">
        <v>16</v>
      </c>
      <c r="H2575" t="n">
        <v>5</v>
      </c>
      <c r="I2575" t="n">
        <v>5</v>
      </c>
      <c r="J2575" t="n">
        <v>4</v>
      </c>
      <c r="K2575" t="n">
        <v>20</v>
      </c>
      <c r="L2575" t="n">
        <v>20</v>
      </c>
      <c r="M2575" t="n">
        <v>20</v>
      </c>
      <c r="N2575" t="n">
        <v>20</v>
      </c>
      <c r="O2575" t="n">
        <v>20</v>
      </c>
      <c r="P2575" t="n">
        <v>4</v>
      </c>
      <c r="R2575" s="9" t="n">
        <v>0.04</v>
      </c>
      <c r="S2575" s="10" t="inlineStr">
        <is>
          <t>SÍ — integrante</t>
        </is>
      </c>
      <c r="T2575" s="11" t="inlineStr">
        <is>
          <t>B · INTEGRANTE</t>
        </is>
      </c>
      <c r="U2575" s="11" t="inlineStr">
        <is>
          <t>DEL BANCO (se hereda)</t>
        </is>
      </c>
      <c r="V2575" s="11" t="n"/>
      <c r="W2575" s="12" t="n"/>
      <c r="X2575" s="12" t="n"/>
    </row>
    <row r="2576" ht="15" customHeight="1">
      <c r="C2576" t="inlineStr">
        <is>
          <t>ESTADO DEL DOMICILIO</t>
        </is>
      </c>
      <c r="D2576" t="inlineStr">
        <is>
          <t>F7</t>
        </is>
      </c>
      <c r="E2576" t="inlineStr">
        <is>
          <t>INHERENTE</t>
        </is>
      </c>
      <c r="F2576" t="inlineStr">
        <is>
          <t>MORELOS</t>
        </is>
      </c>
      <c r="G2576" t="n">
        <v>17</v>
      </c>
      <c r="H2576" t="n">
        <v>3</v>
      </c>
      <c r="I2576" t="n">
        <v>3</v>
      </c>
      <c r="J2576" t="n">
        <v>4</v>
      </c>
      <c r="K2576" t="n">
        <v>12</v>
      </c>
      <c r="L2576" t="n">
        <v>12</v>
      </c>
      <c r="M2576" t="n">
        <v>12</v>
      </c>
      <c r="N2576" t="n">
        <v>12</v>
      </c>
      <c r="O2576" t="n">
        <v>20</v>
      </c>
      <c r="P2576" t="n">
        <v>4</v>
      </c>
      <c r="R2576" s="9" t="n">
        <v>0.04</v>
      </c>
      <c r="S2576" s="10" t="inlineStr">
        <is>
          <t>SÍ — integrante</t>
        </is>
      </c>
      <c r="T2576" s="11" t="inlineStr">
        <is>
          <t>B · INTEGRANTE</t>
        </is>
      </c>
      <c r="U2576" s="11" t="inlineStr">
        <is>
          <t>DEL BANCO (se hereda)</t>
        </is>
      </c>
      <c r="V2576" s="11" t="n"/>
      <c r="W2576" s="12" t="n"/>
      <c r="X2576" s="12" t="n"/>
    </row>
    <row r="2577" ht="15" customHeight="1">
      <c r="C2577" t="inlineStr">
        <is>
          <t>ESTADO DEL DOMICILIO</t>
        </is>
      </c>
      <c r="D2577" t="inlineStr">
        <is>
          <t>F7</t>
        </is>
      </c>
      <c r="E2577" t="inlineStr">
        <is>
          <t>INHERENTE</t>
        </is>
      </c>
      <c r="F2577" t="inlineStr">
        <is>
          <t>NAYARIT</t>
        </is>
      </c>
      <c r="G2577" t="n">
        <v>18</v>
      </c>
      <c r="H2577" t="n">
        <v>3</v>
      </c>
      <c r="I2577" t="n">
        <v>3</v>
      </c>
      <c r="J2577" t="n">
        <v>4</v>
      </c>
      <c r="K2577" t="n">
        <v>12</v>
      </c>
      <c r="L2577" t="n">
        <v>12</v>
      </c>
      <c r="M2577" t="n">
        <v>12</v>
      </c>
      <c r="N2577" t="n">
        <v>12</v>
      </c>
      <c r="O2577" t="n">
        <v>20</v>
      </c>
      <c r="P2577" t="n">
        <v>4</v>
      </c>
      <c r="R2577" s="9" t="n">
        <v>0.04</v>
      </c>
      <c r="S2577" s="10" t="inlineStr">
        <is>
          <t>SÍ — integrante</t>
        </is>
      </c>
      <c r="T2577" s="11" t="inlineStr">
        <is>
          <t>B · INTEGRANTE</t>
        </is>
      </c>
      <c r="U2577" s="11" t="inlineStr">
        <is>
          <t>DEL BANCO (se hereda)</t>
        </is>
      </c>
      <c r="V2577" s="11" t="n"/>
      <c r="W2577" s="12" t="n"/>
      <c r="X2577" s="12" t="n"/>
    </row>
    <row r="2578" ht="15" customHeight="1">
      <c r="C2578" t="inlineStr">
        <is>
          <t>ESTADO DEL DOMICILIO</t>
        </is>
      </c>
      <c r="D2578" t="inlineStr">
        <is>
          <t>F7</t>
        </is>
      </c>
      <c r="E2578" t="inlineStr">
        <is>
          <t>INHERENTE</t>
        </is>
      </c>
      <c r="F2578" t="inlineStr">
        <is>
          <t>NUEVO LEON</t>
        </is>
      </c>
      <c r="G2578" t="n">
        <v>19</v>
      </c>
      <c r="H2578" t="n">
        <v>4</v>
      </c>
      <c r="I2578" t="n">
        <v>4</v>
      </c>
      <c r="J2578" t="n">
        <v>4</v>
      </c>
      <c r="K2578" t="n">
        <v>16</v>
      </c>
      <c r="L2578" t="n">
        <v>16</v>
      </c>
      <c r="M2578" t="n">
        <v>16</v>
      </c>
      <c r="N2578" t="n">
        <v>16</v>
      </c>
      <c r="O2578" t="n">
        <v>20</v>
      </c>
      <c r="P2578" t="n">
        <v>4</v>
      </c>
      <c r="R2578" s="9" t="n">
        <v>0.04</v>
      </c>
      <c r="S2578" s="10" t="inlineStr">
        <is>
          <t>SÍ — integrante</t>
        </is>
      </c>
      <c r="T2578" s="11" t="inlineStr">
        <is>
          <t>B · INTEGRANTE</t>
        </is>
      </c>
      <c r="U2578" s="11" t="inlineStr">
        <is>
          <t>DEL BANCO (se hereda)</t>
        </is>
      </c>
      <c r="V2578" s="11" t="n"/>
      <c r="W2578" s="12" t="n"/>
      <c r="X2578" s="12" t="n"/>
    </row>
    <row r="2579" ht="15" customHeight="1">
      <c r="C2579" t="inlineStr">
        <is>
          <t>ESTADO DEL DOMICILIO</t>
        </is>
      </c>
      <c r="D2579" t="inlineStr">
        <is>
          <t>F7</t>
        </is>
      </c>
      <c r="E2579" t="inlineStr">
        <is>
          <t>INHERENTE</t>
        </is>
      </c>
      <c r="F2579" t="inlineStr">
        <is>
          <t>OAXACA</t>
        </is>
      </c>
      <c r="G2579" t="n">
        <v>20</v>
      </c>
      <c r="H2579" t="n">
        <v>4</v>
      </c>
      <c r="I2579" t="n">
        <v>4</v>
      </c>
      <c r="J2579" t="n">
        <v>4</v>
      </c>
      <c r="K2579" t="n">
        <v>16</v>
      </c>
      <c r="L2579" t="n">
        <v>16</v>
      </c>
      <c r="M2579" t="n">
        <v>16</v>
      </c>
      <c r="N2579" t="n">
        <v>16</v>
      </c>
      <c r="O2579" t="n">
        <v>20</v>
      </c>
      <c r="P2579" t="n">
        <v>4</v>
      </c>
      <c r="R2579" s="9" t="n">
        <v>0.04</v>
      </c>
      <c r="S2579" s="10" t="inlineStr">
        <is>
          <t>SÍ — integrante</t>
        </is>
      </c>
      <c r="T2579" s="11" t="inlineStr">
        <is>
          <t>B · INTEGRANTE</t>
        </is>
      </c>
      <c r="U2579" s="11" t="inlineStr">
        <is>
          <t>DEL BANCO (se hereda)</t>
        </is>
      </c>
      <c r="V2579" s="11" t="n"/>
      <c r="W2579" s="12" t="n"/>
      <c r="X2579" s="12" t="n"/>
    </row>
    <row r="2580" ht="15" customHeight="1">
      <c r="C2580" t="inlineStr">
        <is>
          <t>ESTADO DEL DOMICILIO</t>
        </is>
      </c>
      <c r="D2580" t="inlineStr">
        <is>
          <t>F7</t>
        </is>
      </c>
      <c r="E2580" t="inlineStr">
        <is>
          <t>INHERENTE</t>
        </is>
      </c>
      <c r="F2580" t="inlineStr">
        <is>
          <t>PUEBLA</t>
        </is>
      </c>
      <c r="G2580" t="n">
        <v>21</v>
      </c>
      <c r="H2580" t="n">
        <v>3</v>
      </c>
      <c r="I2580" t="n">
        <v>3</v>
      </c>
      <c r="J2580" t="n">
        <v>4</v>
      </c>
      <c r="K2580" t="n">
        <v>12</v>
      </c>
      <c r="L2580" t="n">
        <v>12</v>
      </c>
      <c r="M2580" t="n">
        <v>12</v>
      </c>
      <c r="N2580" t="n">
        <v>12</v>
      </c>
      <c r="O2580" t="n">
        <v>20</v>
      </c>
      <c r="P2580" t="n">
        <v>4</v>
      </c>
      <c r="R2580" s="9" t="n">
        <v>0.04</v>
      </c>
      <c r="S2580" s="10" t="inlineStr">
        <is>
          <t>SÍ — integrante</t>
        </is>
      </c>
      <c r="T2580" s="11" t="inlineStr">
        <is>
          <t>B · INTEGRANTE</t>
        </is>
      </c>
      <c r="U2580" s="11" t="inlineStr">
        <is>
          <t>DEL BANCO (se hereda)</t>
        </is>
      </c>
      <c r="V2580" s="11" t="n"/>
      <c r="W2580" s="12" t="n"/>
      <c r="X2580" s="12" t="n"/>
    </row>
    <row r="2581" ht="15" customHeight="1">
      <c r="C2581" t="inlineStr">
        <is>
          <t>ESTADO DEL DOMICILIO</t>
        </is>
      </c>
      <c r="D2581" t="inlineStr">
        <is>
          <t>F7</t>
        </is>
      </c>
      <c r="E2581" t="inlineStr">
        <is>
          <t>INHERENTE</t>
        </is>
      </c>
      <c r="F2581" t="inlineStr">
        <is>
          <t>QUERÉTARO</t>
        </is>
      </c>
      <c r="G2581" t="n">
        <v>22</v>
      </c>
      <c r="H2581" t="n">
        <v>2</v>
      </c>
      <c r="I2581" t="n">
        <v>2</v>
      </c>
      <c r="J2581" t="n">
        <v>4</v>
      </c>
      <c r="K2581" t="n">
        <v>8</v>
      </c>
      <c r="L2581" t="n">
        <v>8</v>
      </c>
      <c r="M2581" t="n">
        <v>8</v>
      </c>
      <c r="N2581" t="n">
        <v>8</v>
      </c>
      <c r="O2581" t="n">
        <v>20</v>
      </c>
      <c r="P2581" t="n">
        <v>4</v>
      </c>
      <c r="R2581" s="9" t="n">
        <v>0.04</v>
      </c>
      <c r="S2581" s="10" t="inlineStr">
        <is>
          <t>SÍ — integrante</t>
        </is>
      </c>
      <c r="T2581" s="11" t="inlineStr">
        <is>
          <t>B · INTEGRANTE</t>
        </is>
      </c>
      <c r="U2581" s="11" t="inlineStr">
        <is>
          <t>DEL BANCO (se hereda)</t>
        </is>
      </c>
      <c r="V2581" s="11" t="n"/>
      <c r="W2581" s="12" t="n"/>
      <c r="X2581" s="12" t="n"/>
    </row>
    <row r="2582" ht="15" customHeight="1">
      <c r="C2582" t="inlineStr">
        <is>
          <t>ESTADO DEL DOMICILIO</t>
        </is>
      </c>
      <c r="D2582" t="inlineStr">
        <is>
          <t>F7</t>
        </is>
      </c>
      <c r="E2582" t="inlineStr">
        <is>
          <t>INHERENTE</t>
        </is>
      </c>
      <c r="F2582" t="inlineStr">
        <is>
          <t>QUINTANA ROO</t>
        </is>
      </c>
      <c r="G2582" t="n">
        <v>23</v>
      </c>
      <c r="H2582" t="n">
        <v>4</v>
      </c>
      <c r="I2582" t="n">
        <v>4</v>
      </c>
      <c r="J2582" t="n">
        <v>4</v>
      </c>
      <c r="K2582" t="n">
        <v>16</v>
      </c>
      <c r="L2582" t="n">
        <v>16</v>
      </c>
      <c r="M2582" t="n">
        <v>16</v>
      </c>
      <c r="N2582" t="n">
        <v>16</v>
      </c>
      <c r="O2582" t="n">
        <v>20</v>
      </c>
      <c r="P2582" t="n">
        <v>4</v>
      </c>
      <c r="R2582" s="9" t="n">
        <v>0.04</v>
      </c>
      <c r="S2582" s="10" t="inlineStr">
        <is>
          <t>SÍ — integrante</t>
        </is>
      </c>
      <c r="T2582" s="11" t="inlineStr">
        <is>
          <t>B · INTEGRANTE</t>
        </is>
      </c>
      <c r="U2582" s="11" t="inlineStr">
        <is>
          <t>DEL BANCO (se hereda)</t>
        </is>
      </c>
      <c r="V2582" s="11" t="n"/>
      <c r="W2582" s="12" t="n"/>
      <c r="X2582" s="12" t="n"/>
    </row>
    <row r="2583" ht="15" customHeight="1">
      <c r="C2583" t="inlineStr">
        <is>
          <t>ESTADO DEL DOMICILIO</t>
        </is>
      </c>
      <c r="D2583" t="inlineStr">
        <is>
          <t>F7</t>
        </is>
      </c>
      <c r="E2583" t="inlineStr">
        <is>
          <t>INHERENTE</t>
        </is>
      </c>
      <c r="F2583" t="inlineStr">
        <is>
          <t>SAN LUIS POTOSÍ</t>
        </is>
      </c>
      <c r="G2583" t="n">
        <v>24</v>
      </c>
      <c r="H2583" t="n">
        <v>3</v>
      </c>
      <c r="I2583" t="n">
        <v>3</v>
      </c>
      <c r="J2583" t="n">
        <v>4</v>
      </c>
      <c r="K2583" t="n">
        <v>12</v>
      </c>
      <c r="L2583" t="n">
        <v>12</v>
      </c>
      <c r="M2583" t="n">
        <v>12</v>
      </c>
      <c r="N2583" t="n">
        <v>12</v>
      </c>
      <c r="O2583" t="n">
        <v>20</v>
      </c>
      <c r="P2583" t="n">
        <v>4</v>
      </c>
      <c r="R2583" s="9" t="n">
        <v>0.04</v>
      </c>
      <c r="S2583" s="10" t="inlineStr">
        <is>
          <t>SÍ — integrante</t>
        </is>
      </c>
      <c r="T2583" s="11" t="inlineStr">
        <is>
          <t>B · INTEGRANTE</t>
        </is>
      </c>
      <c r="U2583" s="11" t="inlineStr">
        <is>
          <t>DEL BANCO (se hereda)</t>
        </is>
      </c>
      <c r="V2583" s="11" t="n"/>
      <c r="W2583" s="12" t="n"/>
      <c r="X2583" s="12" t="n"/>
    </row>
    <row r="2584" ht="15" customHeight="1">
      <c r="C2584" t="inlineStr">
        <is>
          <t>ESTADO DEL DOMICILIO</t>
        </is>
      </c>
      <c r="D2584" t="inlineStr">
        <is>
          <t>F7</t>
        </is>
      </c>
      <c r="E2584" t="inlineStr">
        <is>
          <t>INHERENTE</t>
        </is>
      </c>
      <c r="F2584" t="inlineStr">
        <is>
          <t>SINALOA</t>
        </is>
      </c>
      <c r="G2584" t="n">
        <v>25</v>
      </c>
      <c r="H2584" t="n">
        <v>4</v>
      </c>
      <c r="I2584" t="n">
        <v>4</v>
      </c>
      <c r="J2584" t="n">
        <v>4</v>
      </c>
      <c r="K2584" t="n">
        <v>16</v>
      </c>
      <c r="L2584" t="n">
        <v>16</v>
      </c>
      <c r="M2584" t="n">
        <v>16</v>
      </c>
      <c r="N2584" t="n">
        <v>16</v>
      </c>
      <c r="O2584" t="n">
        <v>20</v>
      </c>
      <c r="P2584" t="n">
        <v>4</v>
      </c>
      <c r="R2584" s="9" t="n">
        <v>0.04</v>
      </c>
      <c r="S2584" s="10" t="inlineStr">
        <is>
          <t>SÍ — integrante</t>
        </is>
      </c>
      <c r="T2584" s="11" t="inlineStr">
        <is>
          <t>B · INTEGRANTE</t>
        </is>
      </c>
      <c r="U2584" s="11" t="inlineStr">
        <is>
          <t>DEL BANCO (se hereda)</t>
        </is>
      </c>
      <c r="V2584" s="11" t="n"/>
      <c r="W2584" s="12" t="n"/>
      <c r="X2584" s="12" t="n"/>
    </row>
    <row r="2585" ht="15" customHeight="1">
      <c r="C2585" t="inlineStr">
        <is>
          <t>ESTADO DEL DOMICILIO</t>
        </is>
      </c>
      <c r="D2585" t="inlineStr">
        <is>
          <t>F7</t>
        </is>
      </c>
      <c r="E2585" t="inlineStr">
        <is>
          <t>INHERENTE</t>
        </is>
      </c>
      <c r="F2585" t="inlineStr">
        <is>
          <t>SONORA</t>
        </is>
      </c>
      <c r="G2585" t="n">
        <v>26</v>
      </c>
      <c r="H2585" t="n">
        <v>4</v>
      </c>
      <c r="I2585" t="n">
        <v>4</v>
      </c>
      <c r="J2585" t="n">
        <v>4</v>
      </c>
      <c r="K2585" t="n">
        <v>16</v>
      </c>
      <c r="L2585" t="n">
        <v>16</v>
      </c>
      <c r="M2585" t="n">
        <v>16</v>
      </c>
      <c r="N2585" t="n">
        <v>16</v>
      </c>
      <c r="O2585" t="n">
        <v>20</v>
      </c>
      <c r="P2585" t="n">
        <v>4</v>
      </c>
      <c r="R2585" s="9" t="n">
        <v>0.04</v>
      </c>
      <c r="S2585" s="10" t="inlineStr">
        <is>
          <t>SÍ — integrante</t>
        </is>
      </c>
      <c r="T2585" s="11" t="inlineStr">
        <is>
          <t>B · INTEGRANTE</t>
        </is>
      </c>
      <c r="U2585" s="11" t="inlineStr">
        <is>
          <t>DEL BANCO (se hereda)</t>
        </is>
      </c>
      <c r="V2585" s="11" t="n"/>
      <c r="W2585" s="12" t="n"/>
      <c r="X2585" s="12" t="n"/>
    </row>
    <row r="2586" ht="15" customHeight="1">
      <c r="C2586" t="inlineStr">
        <is>
          <t>ESTADO DEL DOMICILIO</t>
        </is>
      </c>
      <c r="D2586" t="inlineStr">
        <is>
          <t>F7</t>
        </is>
      </c>
      <c r="E2586" t="inlineStr">
        <is>
          <t>INHERENTE</t>
        </is>
      </c>
      <c r="F2586" t="inlineStr">
        <is>
          <t>TABASCO</t>
        </is>
      </c>
      <c r="G2586" t="n">
        <v>27</v>
      </c>
      <c r="H2586" t="n">
        <v>4</v>
      </c>
      <c r="I2586" t="n">
        <v>4</v>
      </c>
      <c r="J2586" t="n">
        <v>4</v>
      </c>
      <c r="K2586" t="n">
        <v>16</v>
      </c>
      <c r="L2586" t="n">
        <v>16</v>
      </c>
      <c r="M2586" t="n">
        <v>16</v>
      </c>
      <c r="N2586" t="n">
        <v>16</v>
      </c>
      <c r="O2586" t="n">
        <v>20</v>
      </c>
      <c r="P2586" t="n">
        <v>4</v>
      </c>
      <c r="R2586" s="9" t="n">
        <v>0.04</v>
      </c>
      <c r="S2586" s="10" t="inlineStr">
        <is>
          <t>SÍ — integrante</t>
        </is>
      </c>
      <c r="T2586" s="11" t="inlineStr">
        <is>
          <t>B · INTEGRANTE</t>
        </is>
      </c>
      <c r="U2586" s="11" t="inlineStr">
        <is>
          <t>DEL BANCO (se hereda)</t>
        </is>
      </c>
      <c r="V2586" s="11" t="n"/>
      <c r="W2586" s="12" t="n"/>
      <c r="X2586" s="12" t="n"/>
    </row>
    <row r="2587" ht="15" customHeight="1">
      <c r="C2587" t="inlineStr">
        <is>
          <t>ESTADO DEL DOMICILIO</t>
        </is>
      </c>
      <c r="D2587" t="inlineStr">
        <is>
          <t>F7</t>
        </is>
      </c>
      <c r="E2587" t="inlineStr">
        <is>
          <t>INHERENTE</t>
        </is>
      </c>
      <c r="F2587" t="inlineStr">
        <is>
          <t>TAMAULIPAS</t>
        </is>
      </c>
      <c r="G2587" t="n">
        <v>28</v>
      </c>
      <c r="H2587" t="n">
        <v>4</v>
      </c>
      <c r="I2587" t="n">
        <v>4</v>
      </c>
      <c r="J2587" t="n">
        <v>4</v>
      </c>
      <c r="K2587" t="n">
        <v>16</v>
      </c>
      <c r="L2587" t="n">
        <v>16</v>
      </c>
      <c r="M2587" t="n">
        <v>16</v>
      </c>
      <c r="N2587" t="n">
        <v>16</v>
      </c>
      <c r="O2587" t="n">
        <v>20</v>
      </c>
      <c r="P2587" t="n">
        <v>4</v>
      </c>
      <c r="R2587" s="9" t="n">
        <v>0.04</v>
      </c>
      <c r="S2587" s="10" t="inlineStr">
        <is>
          <t>SÍ — integrante</t>
        </is>
      </c>
      <c r="T2587" s="11" t="inlineStr">
        <is>
          <t>B · INTEGRANTE</t>
        </is>
      </c>
      <c r="U2587" s="11" t="inlineStr">
        <is>
          <t>DEL BANCO (se hereda)</t>
        </is>
      </c>
      <c r="V2587" s="11" t="n"/>
      <c r="W2587" s="12" t="n"/>
      <c r="X2587" s="12" t="n"/>
    </row>
    <row r="2588" ht="15" customHeight="1">
      <c r="C2588" t="inlineStr">
        <is>
          <t>ESTADO DEL DOMICILIO</t>
        </is>
      </c>
      <c r="D2588" t="inlineStr">
        <is>
          <t>F7</t>
        </is>
      </c>
      <c r="E2588" t="inlineStr">
        <is>
          <t>INHERENTE</t>
        </is>
      </c>
      <c r="F2588" t="inlineStr">
        <is>
          <t>TLAXCALA</t>
        </is>
      </c>
      <c r="G2588" t="n">
        <v>29</v>
      </c>
      <c r="H2588" t="n">
        <v>2</v>
      </c>
      <c r="I2588" t="n">
        <v>2</v>
      </c>
      <c r="J2588" t="n">
        <v>4</v>
      </c>
      <c r="K2588" t="n">
        <v>8</v>
      </c>
      <c r="L2588" t="n">
        <v>8</v>
      </c>
      <c r="M2588" t="n">
        <v>8</v>
      </c>
      <c r="N2588" t="n">
        <v>8</v>
      </c>
      <c r="O2588" t="n">
        <v>20</v>
      </c>
      <c r="P2588" t="n">
        <v>4</v>
      </c>
      <c r="R2588" s="9" t="n">
        <v>0.04</v>
      </c>
      <c r="S2588" s="10" t="inlineStr">
        <is>
          <t>SÍ — integrante</t>
        </is>
      </c>
      <c r="T2588" s="11" t="inlineStr">
        <is>
          <t>B · INTEGRANTE</t>
        </is>
      </c>
      <c r="U2588" s="11" t="inlineStr">
        <is>
          <t>DEL BANCO (se hereda)</t>
        </is>
      </c>
      <c r="V2588" s="11" t="n"/>
      <c r="W2588" s="12" t="n"/>
      <c r="X2588" s="12" t="n"/>
    </row>
    <row r="2589" ht="15" customHeight="1">
      <c r="C2589" t="inlineStr">
        <is>
          <t>ESTADO DEL DOMICILIO</t>
        </is>
      </c>
      <c r="D2589" t="inlineStr">
        <is>
          <t>F7</t>
        </is>
      </c>
      <c r="E2589" t="inlineStr">
        <is>
          <t>INHERENTE</t>
        </is>
      </c>
      <c r="F2589" t="inlineStr">
        <is>
          <t>VERACRUZ</t>
        </is>
      </c>
      <c r="G2589" t="n">
        <v>30</v>
      </c>
      <c r="H2589" t="n">
        <v>4</v>
      </c>
      <c r="I2589" t="n">
        <v>4</v>
      </c>
      <c r="J2589" t="n">
        <v>4</v>
      </c>
      <c r="K2589" t="n">
        <v>16</v>
      </c>
      <c r="L2589" t="n">
        <v>16</v>
      </c>
      <c r="M2589" t="n">
        <v>16</v>
      </c>
      <c r="N2589" t="n">
        <v>16</v>
      </c>
      <c r="O2589" t="n">
        <v>20</v>
      </c>
      <c r="P2589" t="n">
        <v>4</v>
      </c>
      <c r="R2589" s="9" t="n">
        <v>0.04</v>
      </c>
      <c r="S2589" s="10" t="inlineStr">
        <is>
          <t>SÍ — integrante</t>
        </is>
      </c>
      <c r="T2589" s="11" t="inlineStr">
        <is>
          <t>B · INTEGRANTE</t>
        </is>
      </c>
      <c r="U2589" s="11" t="inlineStr">
        <is>
          <t>DEL BANCO (se hereda)</t>
        </is>
      </c>
      <c r="V2589" s="11" t="n"/>
      <c r="W2589" s="12" t="n"/>
      <c r="X2589" s="12" t="n"/>
    </row>
    <row r="2590" ht="15" customHeight="1">
      <c r="C2590" t="inlineStr">
        <is>
          <t>ESTADO DEL DOMICILIO</t>
        </is>
      </c>
      <c r="D2590" t="inlineStr">
        <is>
          <t>F7</t>
        </is>
      </c>
      <c r="E2590" t="inlineStr">
        <is>
          <t>INHERENTE</t>
        </is>
      </c>
      <c r="F2590" t="inlineStr">
        <is>
          <t>YUCATÁN</t>
        </is>
      </c>
      <c r="G2590" t="n">
        <v>31</v>
      </c>
      <c r="H2590" t="n">
        <v>3</v>
      </c>
      <c r="I2590" t="n">
        <v>3</v>
      </c>
      <c r="J2590" t="n">
        <v>4</v>
      </c>
      <c r="K2590" t="n">
        <v>12</v>
      </c>
      <c r="L2590" t="n">
        <v>12</v>
      </c>
      <c r="M2590" t="n">
        <v>12</v>
      </c>
      <c r="N2590" t="n">
        <v>12</v>
      </c>
      <c r="O2590" t="n">
        <v>20</v>
      </c>
      <c r="P2590" t="n">
        <v>4</v>
      </c>
      <c r="R2590" s="9" t="n">
        <v>0.04</v>
      </c>
      <c r="S2590" s="10" t="inlineStr">
        <is>
          <t>SÍ — integrante</t>
        </is>
      </c>
      <c r="T2590" s="11" t="inlineStr">
        <is>
          <t>B · INTEGRANTE</t>
        </is>
      </c>
      <c r="U2590" s="11" t="inlineStr">
        <is>
          <t>DEL BANCO (se hereda)</t>
        </is>
      </c>
      <c r="V2590" s="11" t="n"/>
      <c r="W2590" s="12" t="n"/>
      <c r="X2590" s="12" t="n"/>
    </row>
    <row r="2591" ht="15" customHeight="1">
      <c r="C2591" t="inlineStr">
        <is>
          <t>ESTADO DEL DOMICILIO</t>
        </is>
      </c>
      <c r="D2591" t="inlineStr">
        <is>
          <t>F7</t>
        </is>
      </c>
      <c r="E2591" t="inlineStr">
        <is>
          <t>INHERENTE</t>
        </is>
      </c>
      <c r="F2591" t="inlineStr">
        <is>
          <t>ZACATECAS</t>
        </is>
      </c>
      <c r="G2591" t="n">
        <v>32</v>
      </c>
      <c r="H2591" t="n">
        <v>4</v>
      </c>
      <c r="I2591" t="n">
        <v>4</v>
      </c>
      <c r="J2591" t="n">
        <v>4</v>
      </c>
      <c r="K2591" t="n">
        <v>16</v>
      </c>
      <c r="L2591" t="n">
        <v>16</v>
      </c>
      <c r="M2591" t="n">
        <v>16</v>
      </c>
      <c r="N2591" t="n">
        <v>16</v>
      </c>
      <c r="O2591" t="n">
        <v>20</v>
      </c>
      <c r="P2591" t="n">
        <v>4</v>
      </c>
      <c r="R2591" s="9" t="n">
        <v>0.04</v>
      </c>
      <c r="S2591" s="10" t="inlineStr">
        <is>
          <t>SÍ — integrante</t>
        </is>
      </c>
      <c r="T2591" s="11" t="inlineStr">
        <is>
          <t>B · INTEGRANTE</t>
        </is>
      </c>
      <c r="U2591" s="11" t="inlineStr">
        <is>
          <t>DEL BANCO (se hereda)</t>
        </is>
      </c>
      <c r="V2591" s="11" t="n"/>
      <c r="W2591" s="12" t="n"/>
      <c r="X2591" s="12" t="n"/>
    </row>
    <row r="2592" ht="15" customHeight="1">
      <c r="C2592" t="inlineStr">
        <is>
          <t>ESTADO DEL DOMICILIO</t>
        </is>
      </c>
      <c r="D2592" t="inlineStr">
        <is>
          <t>F7</t>
        </is>
      </c>
      <c r="E2592" t="inlineStr">
        <is>
          <t>INHERENTE</t>
        </is>
      </c>
      <c r="F2592" t="inlineStr">
        <is>
          <t>EXTRANJERO</t>
        </is>
      </c>
      <c r="G2592" t="n">
        <v>33</v>
      </c>
      <c r="H2592" t="n">
        <v>4</v>
      </c>
      <c r="I2592" t="n">
        <v>4</v>
      </c>
      <c r="J2592" t="n">
        <v>4</v>
      </c>
      <c r="K2592" t="n">
        <v>16</v>
      </c>
      <c r="L2592" t="n">
        <v>16</v>
      </c>
      <c r="M2592" t="n">
        <v>16</v>
      </c>
      <c r="N2592" t="n">
        <v>16</v>
      </c>
      <c r="O2592" t="n">
        <v>20</v>
      </c>
      <c r="P2592" t="n">
        <v>4</v>
      </c>
      <c r="R2592" s="9" t="n">
        <v>0.04</v>
      </c>
      <c r="S2592" s="10" t="inlineStr">
        <is>
          <t>SÍ — integrante</t>
        </is>
      </c>
      <c r="T2592" s="11" t="inlineStr">
        <is>
          <t>B · INTEGRANTE</t>
        </is>
      </c>
      <c r="U2592" s="11" t="inlineStr">
        <is>
          <t>DEL BANCO (se hereda)</t>
        </is>
      </c>
      <c r="V2592" s="11" t="n"/>
      <c r="W2592" s="12" t="n"/>
      <c r="X2592" s="12" t="n"/>
    </row>
    <row r="2593" ht="15" customHeight="1">
      <c r="C2593" t="inlineStr">
        <is>
          <t>PROCEDENCIA DE LOS RECURSOS</t>
        </is>
      </c>
      <c r="D2593" t="inlineStr">
        <is>
          <t>F8</t>
        </is>
      </c>
      <c r="E2593" t="inlineStr">
        <is>
          <t>TRANSACCIONAL</t>
        </is>
      </c>
      <c r="F2593" t="inlineStr">
        <is>
          <t>BECA</t>
        </is>
      </c>
      <c r="G2593" t="inlineStr">
        <is>
          <t>BE</t>
        </is>
      </c>
      <c r="H2593" t="n">
        <v>1</v>
      </c>
      <c r="I2593" t="n">
        <v>1</v>
      </c>
      <c r="J2593" t="n">
        <v>8</v>
      </c>
      <c r="K2593" t="n">
        <v>8</v>
      </c>
      <c r="L2593" t="n">
        <v>8</v>
      </c>
      <c r="M2593" t="n">
        <v>8</v>
      </c>
      <c r="N2593" t="n">
        <v>8</v>
      </c>
      <c r="O2593" t="n">
        <v>40</v>
      </c>
      <c r="P2593" t="n">
        <v>8</v>
      </c>
      <c r="R2593" s="9" t="n">
        <v>0.08</v>
      </c>
      <c r="S2593" s="10" t="inlineStr">
        <is>
          <t>Absorbido en FF7</t>
        </is>
      </c>
      <c r="T2593" s="11" t="n"/>
      <c r="U2593" s="11" t="inlineStr">
        <is>
          <t>DEL BANCO (se hereda)</t>
        </is>
      </c>
      <c r="V2593" s="11" t="n"/>
      <c r="W2593" s="12" t="n"/>
      <c r="X2593" s="12" t="n"/>
    </row>
    <row r="2594" ht="15" customHeight="1">
      <c r="C2594" t="inlineStr">
        <is>
          <t>PROCEDENCIA DE LOS RECURSOS</t>
        </is>
      </c>
      <c r="D2594" t="inlineStr">
        <is>
          <t>F8</t>
        </is>
      </c>
      <c r="E2594" t="inlineStr">
        <is>
          <t>TRANSACCIONAL</t>
        </is>
      </c>
      <c r="F2594" t="inlineStr">
        <is>
          <t>BONO LABORAL</t>
        </is>
      </c>
      <c r="G2594" t="inlineStr">
        <is>
          <t>BL</t>
        </is>
      </c>
      <c r="H2594" t="n">
        <v>1</v>
      </c>
      <c r="I2594" t="n">
        <v>1</v>
      </c>
      <c r="J2594" t="n">
        <v>8</v>
      </c>
      <c r="K2594" t="n">
        <v>8</v>
      </c>
      <c r="L2594" t="n">
        <v>8</v>
      </c>
      <c r="M2594" t="n">
        <v>8</v>
      </c>
      <c r="N2594" t="n">
        <v>8</v>
      </c>
      <c r="O2594" t="n">
        <v>40</v>
      </c>
      <c r="P2594" t="n">
        <v>8</v>
      </c>
      <c r="R2594" s="9" t="n">
        <v>0.08</v>
      </c>
      <c r="S2594" s="10" t="inlineStr">
        <is>
          <t>Absorbido en FF7</t>
        </is>
      </c>
      <c r="T2594" s="11" t="n"/>
      <c r="U2594" s="11" t="inlineStr">
        <is>
          <t>DEL BANCO (se hereda)</t>
        </is>
      </c>
      <c r="V2594" s="11" t="n"/>
      <c r="W2594" s="12" t="n"/>
      <c r="X2594" s="12" t="n"/>
    </row>
    <row r="2595" ht="15" customHeight="1">
      <c r="C2595" t="inlineStr">
        <is>
          <t>PROCEDENCIA DE LOS RECURSOS</t>
        </is>
      </c>
      <c r="D2595" t="inlineStr">
        <is>
          <t>F8</t>
        </is>
      </c>
      <c r="E2595" t="inlineStr">
        <is>
          <t>TRANSACCIONAL</t>
        </is>
      </c>
      <c r="F2595" t="inlineStr">
        <is>
          <t>COBRANZA FACTORAJE</t>
        </is>
      </c>
      <c r="G2595" t="inlineStr">
        <is>
          <t>CF</t>
        </is>
      </c>
      <c r="H2595" t="n">
        <v>1</v>
      </c>
      <c r="I2595" t="n">
        <v>1</v>
      </c>
      <c r="J2595" t="n">
        <v>8</v>
      </c>
      <c r="K2595" t="n">
        <v>8</v>
      </c>
      <c r="L2595" t="n">
        <v>8</v>
      </c>
      <c r="M2595" t="n">
        <v>8</v>
      </c>
      <c r="N2595" t="n">
        <v>8</v>
      </c>
      <c r="O2595" t="n">
        <v>40</v>
      </c>
      <c r="P2595" t="n">
        <v>8</v>
      </c>
      <c r="R2595" s="9" t="n">
        <v>0.08</v>
      </c>
      <c r="S2595" s="10" t="inlineStr">
        <is>
          <t>Absorbido en FF7</t>
        </is>
      </c>
      <c r="T2595" s="11" t="n"/>
      <c r="U2595" s="11" t="inlineStr">
        <is>
          <t>DEL BANCO (se hereda)</t>
        </is>
      </c>
      <c r="V2595" s="11" t="n"/>
      <c r="W2595" s="12" t="n"/>
      <c r="X2595" s="12" t="n"/>
    </row>
    <row r="2596" ht="15" customHeight="1">
      <c r="C2596" t="inlineStr">
        <is>
          <t>PROCEDENCIA DE LOS RECURSOS</t>
        </is>
      </c>
      <c r="D2596" t="inlineStr">
        <is>
          <t>F8</t>
        </is>
      </c>
      <c r="E2596" t="inlineStr">
        <is>
          <t>TRANSACCIONAL</t>
        </is>
      </c>
      <c r="F2596" t="inlineStr">
        <is>
          <t>COMISIONES</t>
        </is>
      </c>
      <c r="G2596" t="inlineStr">
        <is>
          <t>CO</t>
        </is>
      </c>
      <c r="H2596" t="n">
        <v>1</v>
      </c>
      <c r="I2596" t="n">
        <v>1</v>
      </c>
      <c r="J2596" t="n">
        <v>8</v>
      </c>
      <c r="K2596" t="n">
        <v>8</v>
      </c>
      <c r="L2596" t="n">
        <v>8</v>
      </c>
      <c r="M2596" t="n">
        <v>8</v>
      </c>
      <c r="N2596" t="n">
        <v>8</v>
      </c>
      <c r="O2596" t="n">
        <v>40</v>
      </c>
      <c r="P2596" t="n">
        <v>8</v>
      </c>
      <c r="R2596" s="9" t="n">
        <v>0.08</v>
      </c>
      <c r="S2596" s="10" t="inlineStr">
        <is>
          <t>Absorbido en FF7</t>
        </is>
      </c>
      <c r="T2596" s="11" t="n"/>
      <c r="U2596" s="11" t="inlineStr">
        <is>
          <t>DEL BANCO (se hereda)</t>
        </is>
      </c>
      <c r="V2596" s="11" t="n"/>
      <c r="W2596" s="12" t="n"/>
      <c r="X2596" s="12" t="n"/>
    </row>
    <row r="2597" ht="15" customHeight="1">
      <c r="C2597" t="inlineStr">
        <is>
          <t>PROCEDENCIA DE LOS RECURSOS</t>
        </is>
      </c>
      <c r="D2597" t="inlineStr">
        <is>
          <t>F8</t>
        </is>
      </c>
      <c r="E2597" t="inlineStr">
        <is>
          <t>TRANSACCIONAL</t>
        </is>
      </c>
      <c r="F2597" t="inlineStr">
        <is>
          <t>CREDITOS</t>
        </is>
      </c>
      <c r="G2597" t="inlineStr">
        <is>
          <t>CR</t>
        </is>
      </c>
      <c r="H2597" t="n">
        <v>1</v>
      </c>
      <c r="I2597" t="n">
        <v>1</v>
      </c>
      <c r="J2597" t="n">
        <v>8</v>
      </c>
      <c r="K2597" t="n">
        <v>8</v>
      </c>
      <c r="L2597" t="n">
        <v>8</v>
      </c>
      <c r="M2597" t="n">
        <v>8</v>
      </c>
      <c r="N2597" t="n">
        <v>8</v>
      </c>
      <c r="O2597" t="n">
        <v>40</v>
      </c>
      <c r="P2597" t="n">
        <v>8</v>
      </c>
      <c r="R2597" s="9" t="n">
        <v>0.08</v>
      </c>
      <c r="S2597" s="10" t="inlineStr">
        <is>
          <t>Absorbido en FF7</t>
        </is>
      </c>
      <c r="T2597" s="11" t="n"/>
      <c r="U2597" s="11" t="inlineStr">
        <is>
          <t>DEL BANCO (se hereda)</t>
        </is>
      </c>
      <c r="V2597" s="11" t="n"/>
      <c r="W2597" s="12" t="n"/>
      <c r="X2597" s="12" t="n"/>
    </row>
    <row r="2598" ht="15" customHeight="1">
      <c r="C2598" t="inlineStr">
        <is>
          <t>PROCEDENCIA DE LOS RECURSOS</t>
        </is>
      </c>
      <c r="D2598" t="inlineStr">
        <is>
          <t>F8</t>
        </is>
      </c>
      <c r="E2598" t="inlineStr">
        <is>
          <t>TRANSACCIONAL</t>
        </is>
      </c>
      <c r="F2598" t="inlineStr">
        <is>
          <t>DONACIONES</t>
        </is>
      </c>
      <c r="G2598" t="inlineStr">
        <is>
          <t>DO</t>
        </is>
      </c>
      <c r="H2598" t="n">
        <v>5</v>
      </c>
      <c r="I2598" t="n">
        <v>5</v>
      </c>
      <c r="J2598" t="n">
        <v>8</v>
      </c>
      <c r="K2598" t="n">
        <v>40</v>
      </c>
      <c r="L2598" t="n">
        <v>40</v>
      </c>
      <c r="M2598" t="n">
        <v>40</v>
      </c>
      <c r="N2598" t="n">
        <v>40</v>
      </c>
      <c r="O2598" t="n">
        <v>40</v>
      </c>
      <c r="P2598" t="n">
        <v>8</v>
      </c>
      <c r="R2598" s="9" t="n">
        <v>0.08</v>
      </c>
      <c r="S2598" s="10" t="inlineStr">
        <is>
          <t>Absorbido en FF7</t>
        </is>
      </c>
      <c r="T2598" s="11" t="n"/>
      <c r="U2598" s="11" t="inlineStr">
        <is>
          <t>DEL BANCO (se hereda)</t>
        </is>
      </c>
      <c r="V2598" s="11" t="n"/>
      <c r="W2598" s="12" t="n"/>
      <c r="X2598" s="12" t="n"/>
    </row>
    <row r="2599" ht="15" customHeight="1">
      <c r="C2599" t="inlineStr">
        <is>
          <t>PROCEDENCIA DE LOS RECURSOS</t>
        </is>
      </c>
      <c r="D2599" t="inlineStr">
        <is>
          <t>F8</t>
        </is>
      </c>
      <c r="E2599" t="inlineStr">
        <is>
          <t>TRANSACCIONAL</t>
        </is>
      </c>
      <c r="F2599" t="inlineStr">
        <is>
          <t>ACTIVIDAD PROPIA/ ECONOMICA DEL CLIENTE</t>
        </is>
      </c>
      <c r="G2599" t="inlineStr">
        <is>
          <t>EA</t>
        </is>
      </c>
      <c r="H2599" t="n">
        <v>1</v>
      </c>
      <c r="I2599" t="n">
        <v>1</v>
      </c>
      <c r="J2599" t="n">
        <v>8</v>
      </c>
      <c r="K2599" t="n">
        <v>8</v>
      </c>
      <c r="L2599" t="n">
        <v>8</v>
      </c>
      <c r="M2599" t="n">
        <v>8</v>
      </c>
      <c r="N2599" t="n">
        <v>8</v>
      </c>
      <c r="O2599" t="n">
        <v>40</v>
      </c>
      <c r="P2599" t="n">
        <v>8</v>
      </c>
      <c r="R2599" s="9" t="n">
        <v>0.08</v>
      </c>
      <c r="S2599" s="10" t="inlineStr">
        <is>
          <t>Absorbido en FF7</t>
        </is>
      </c>
      <c r="T2599" s="11" t="n"/>
      <c r="U2599" s="11" t="inlineStr">
        <is>
          <t>DEL BANCO (se hereda)</t>
        </is>
      </c>
      <c r="V2599" s="11" t="n"/>
      <c r="W2599" s="12" t="n"/>
      <c r="X2599" s="12" t="n"/>
    </row>
    <row r="2600" ht="15" customHeight="1">
      <c r="C2600" t="inlineStr">
        <is>
          <t>PROCEDENCIA DE LOS RECURSOS</t>
        </is>
      </c>
      <c r="D2600" t="inlineStr">
        <is>
          <t>F8</t>
        </is>
      </c>
      <c r="E2600" t="inlineStr">
        <is>
          <t>TRANSACCIONAL</t>
        </is>
      </c>
      <c r="F2600" t="inlineStr">
        <is>
          <t>GARANTIA</t>
        </is>
      </c>
      <c r="G2600" t="inlineStr">
        <is>
          <t>GA</t>
        </is>
      </c>
      <c r="H2600" t="n">
        <v>1</v>
      </c>
      <c r="I2600" t="n">
        <v>1</v>
      </c>
      <c r="J2600" t="n">
        <v>8</v>
      </c>
      <c r="K2600" t="n">
        <v>8</v>
      </c>
      <c r="L2600" t="n">
        <v>8</v>
      </c>
      <c r="M2600" t="n">
        <v>8</v>
      </c>
      <c r="N2600" t="n">
        <v>8</v>
      </c>
      <c r="O2600" t="n">
        <v>40</v>
      </c>
      <c r="P2600" t="n">
        <v>8</v>
      </c>
      <c r="R2600" s="9" t="n">
        <v>0.08</v>
      </c>
      <c r="S2600" s="10" t="inlineStr">
        <is>
          <t>Absorbido en FF7</t>
        </is>
      </c>
      <c r="T2600" s="11" t="n"/>
      <c r="U2600" s="11" t="inlineStr">
        <is>
          <t>DEL BANCO (se hereda)</t>
        </is>
      </c>
      <c r="V2600" s="11" t="n"/>
      <c r="W2600" s="12" t="n"/>
      <c r="X2600" s="12" t="n"/>
    </row>
    <row r="2601" ht="15" customHeight="1">
      <c r="C2601" t="inlineStr">
        <is>
          <t>PROCEDENCIA DE LOS RECURSOS</t>
        </is>
      </c>
      <c r="D2601" t="inlineStr">
        <is>
          <t>F8</t>
        </is>
      </c>
      <c r="E2601" t="inlineStr">
        <is>
          <t>TRANSACCIONAL</t>
        </is>
      </c>
      <c r="F2601" t="inlineStr">
        <is>
          <t>HERENCIA</t>
        </is>
      </c>
      <c r="G2601" t="inlineStr">
        <is>
          <t>HE</t>
        </is>
      </c>
      <c r="H2601" t="n">
        <v>3</v>
      </c>
      <c r="I2601" t="n">
        <v>3</v>
      </c>
      <c r="J2601" t="n">
        <v>8</v>
      </c>
      <c r="K2601" t="n">
        <v>24</v>
      </c>
      <c r="L2601" t="n">
        <v>24</v>
      </c>
      <c r="M2601" t="n">
        <v>24</v>
      </c>
      <c r="N2601" t="n">
        <v>24</v>
      </c>
      <c r="O2601" t="n">
        <v>40</v>
      </c>
      <c r="P2601" t="n">
        <v>8</v>
      </c>
      <c r="R2601" s="9" t="n">
        <v>0.08</v>
      </c>
      <c r="S2601" s="10" t="inlineStr">
        <is>
          <t>Absorbido en FF7</t>
        </is>
      </c>
      <c r="T2601" s="11" t="n"/>
      <c r="U2601" s="11" t="inlineStr">
        <is>
          <t>DEL BANCO (se hereda)</t>
        </is>
      </c>
      <c r="V2601" s="11" t="n"/>
      <c r="W2601" s="12" t="n"/>
      <c r="X2601" s="12" t="n"/>
    </row>
    <row r="2602" ht="15" customHeight="1">
      <c r="C2602" t="inlineStr">
        <is>
          <t>PROCEDENCIA DE LOS RECURSOS</t>
        </is>
      </c>
      <c r="D2602" t="inlineStr">
        <is>
          <t>F8</t>
        </is>
      </c>
      <c r="E2602" t="inlineStr">
        <is>
          <t>TRANSACCIONAL</t>
        </is>
      </c>
      <c r="F2602" t="inlineStr">
        <is>
          <t>HONORARIOS</t>
        </is>
      </c>
      <c r="G2602" t="inlineStr">
        <is>
          <t>HO</t>
        </is>
      </c>
      <c r="H2602" t="n">
        <v>1</v>
      </c>
      <c r="I2602" t="n">
        <v>1</v>
      </c>
      <c r="J2602" t="n">
        <v>8</v>
      </c>
      <c r="K2602" t="n">
        <v>8</v>
      </c>
      <c r="L2602" t="n">
        <v>8</v>
      </c>
      <c r="M2602" t="n">
        <v>8</v>
      </c>
      <c r="N2602" t="n">
        <v>8</v>
      </c>
      <c r="O2602" t="n">
        <v>40</v>
      </c>
      <c r="P2602" t="n">
        <v>8</v>
      </c>
      <c r="R2602" s="9" t="n">
        <v>0.08</v>
      </c>
      <c r="S2602" s="10" t="inlineStr">
        <is>
          <t>Absorbido en FF7</t>
        </is>
      </c>
      <c r="T2602" s="11" t="n"/>
      <c r="U2602" s="11" t="inlineStr">
        <is>
          <t>DEL BANCO (se hereda)</t>
        </is>
      </c>
      <c r="V2602" s="11" t="n"/>
      <c r="W2602" s="12" t="n"/>
      <c r="X2602" s="12" t="n"/>
    </row>
    <row r="2603" ht="15" customHeight="1">
      <c r="C2603" t="inlineStr">
        <is>
          <t>PROCEDENCIA DE LOS RECURSOS</t>
        </is>
      </c>
      <c r="D2603" t="inlineStr">
        <is>
          <t>F8</t>
        </is>
      </c>
      <c r="E2603" t="inlineStr">
        <is>
          <t>TRANSACCIONAL</t>
        </is>
      </c>
      <c r="F2603" t="inlineStr">
        <is>
          <t>INVERSION</t>
        </is>
      </c>
      <c r="G2603" t="inlineStr">
        <is>
          <t>IN</t>
        </is>
      </c>
      <c r="H2603" t="n">
        <v>1</v>
      </c>
      <c r="I2603" t="n">
        <v>1</v>
      </c>
      <c r="J2603" t="n">
        <v>8</v>
      </c>
      <c r="K2603" t="n">
        <v>8</v>
      </c>
      <c r="L2603" t="n">
        <v>8</v>
      </c>
      <c r="M2603" t="n">
        <v>8</v>
      </c>
      <c r="N2603" t="n">
        <v>8</v>
      </c>
      <c r="O2603" t="n">
        <v>40</v>
      </c>
      <c r="P2603" t="n">
        <v>8</v>
      </c>
      <c r="R2603" s="9" t="n">
        <v>0.08</v>
      </c>
      <c r="S2603" s="10" t="inlineStr">
        <is>
          <t>Absorbido en FF7</t>
        </is>
      </c>
      <c r="T2603" s="11" t="n"/>
      <c r="U2603" s="11" t="inlineStr">
        <is>
          <t>DEL BANCO (se hereda)</t>
        </is>
      </c>
      <c r="V2603" s="11" t="n"/>
      <c r="W2603" s="12" t="n"/>
      <c r="X2603" s="12" t="n"/>
    </row>
    <row r="2604" ht="15" customHeight="1">
      <c r="C2604" t="inlineStr">
        <is>
          <t>PROCEDENCIA DE LOS RECURSOS</t>
        </is>
      </c>
      <c r="D2604" t="inlineStr">
        <is>
          <t>F8</t>
        </is>
      </c>
      <c r="E2604" t="inlineStr">
        <is>
          <t>TRANSACCIONAL</t>
        </is>
      </c>
      <c r="F2604" t="inlineStr">
        <is>
          <t>INGRESOS POR OPERACIÓN</t>
        </is>
      </c>
      <c r="G2604" t="inlineStr">
        <is>
          <t>IO</t>
        </is>
      </c>
      <c r="H2604" t="n">
        <v>1</v>
      </c>
      <c r="I2604" t="n">
        <v>1</v>
      </c>
      <c r="J2604" t="n">
        <v>8</v>
      </c>
      <c r="K2604" t="n">
        <v>8</v>
      </c>
      <c r="L2604" t="n">
        <v>8</v>
      </c>
      <c r="M2604" t="n">
        <v>8</v>
      </c>
      <c r="N2604" t="n">
        <v>8</v>
      </c>
      <c r="O2604" t="n">
        <v>40</v>
      </c>
      <c r="P2604" t="n">
        <v>8</v>
      </c>
      <c r="R2604" s="9" t="n">
        <v>0.08</v>
      </c>
      <c r="S2604" s="10" t="inlineStr">
        <is>
          <t>Absorbido en FF7</t>
        </is>
      </c>
      <c r="T2604" s="11" t="n"/>
      <c r="U2604" s="11" t="inlineStr">
        <is>
          <t>DEL BANCO (se hereda)</t>
        </is>
      </c>
      <c r="V2604" s="11" t="n"/>
      <c r="W2604" s="12" t="n"/>
      <c r="X2604" s="12" t="n"/>
    </row>
    <row r="2605" ht="15" customHeight="1">
      <c r="C2605" t="inlineStr">
        <is>
          <t>PROCEDENCIA DE LOS RECURSOS</t>
        </is>
      </c>
      <c r="D2605" t="inlineStr">
        <is>
          <t>F8</t>
        </is>
      </c>
      <c r="E2605" t="inlineStr">
        <is>
          <t>TRANSACCIONAL</t>
        </is>
      </c>
      <c r="F2605" t="inlineStr">
        <is>
          <t>JUBILACIONES Y PENSIONES</t>
        </is>
      </c>
      <c r="G2605" t="inlineStr">
        <is>
          <t>JP</t>
        </is>
      </c>
      <c r="H2605" t="n">
        <v>1</v>
      </c>
      <c r="I2605" t="n">
        <v>1</v>
      </c>
      <c r="J2605" t="n">
        <v>8</v>
      </c>
      <c r="K2605" t="n">
        <v>8</v>
      </c>
      <c r="L2605" t="n">
        <v>8</v>
      </c>
      <c r="M2605" t="n">
        <v>8</v>
      </c>
      <c r="N2605" t="n">
        <v>8</v>
      </c>
      <c r="O2605" t="n">
        <v>40</v>
      </c>
      <c r="P2605" t="n">
        <v>8</v>
      </c>
      <c r="R2605" s="9" t="n">
        <v>0.08</v>
      </c>
      <c r="S2605" s="10" t="inlineStr">
        <is>
          <t>Absorbido en FF7</t>
        </is>
      </c>
      <c r="T2605" s="11" t="n"/>
      <c r="U2605" s="11" t="inlineStr">
        <is>
          <t>DEL BANCO (se hereda)</t>
        </is>
      </c>
      <c r="V2605" s="11" t="n"/>
      <c r="W2605" s="12" t="n"/>
      <c r="X2605" s="12" t="n"/>
    </row>
    <row r="2606" ht="15" customHeight="1">
      <c r="C2606" t="inlineStr">
        <is>
          <t>PROCEDENCIA DE LOS RECURSOS</t>
        </is>
      </c>
      <c r="D2606" t="inlineStr">
        <is>
          <t>F8</t>
        </is>
      </c>
      <c r="E2606" t="inlineStr">
        <is>
          <t>TRANSACCIONAL</t>
        </is>
      </c>
      <c r="F2606" t="inlineStr">
        <is>
          <t>LIQUIDACION O FINIQUITO</t>
        </is>
      </c>
      <c r="G2606" t="inlineStr">
        <is>
          <t>LF</t>
        </is>
      </c>
      <c r="H2606" t="n">
        <v>1</v>
      </c>
      <c r="I2606" t="n">
        <v>1</v>
      </c>
      <c r="J2606" t="n">
        <v>8</v>
      </c>
      <c r="K2606" t="n">
        <v>8</v>
      </c>
      <c r="L2606" t="n">
        <v>8</v>
      </c>
      <c r="M2606" t="n">
        <v>8</v>
      </c>
      <c r="N2606" t="n">
        <v>8</v>
      </c>
      <c r="O2606" t="n">
        <v>40</v>
      </c>
      <c r="P2606" t="n">
        <v>8</v>
      </c>
      <c r="R2606" s="9" t="n">
        <v>0.08</v>
      </c>
      <c r="S2606" s="10" t="inlineStr">
        <is>
          <t>Absorbido en FF7</t>
        </is>
      </c>
      <c r="T2606" s="11" t="n"/>
      <c r="U2606" s="11" t="inlineStr">
        <is>
          <t>DEL BANCO (se hereda)</t>
        </is>
      </c>
      <c r="V2606" s="11" t="n"/>
      <c r="W2606" s="12" t="n"/>
      <c r="X2606" s="12" t="n"/>
    </row>
    <row r="2607" ht="15" customHeight="1">
      <c r="C2607" t="inlineStr">
        <is>
          <t>PROCEDENCIA DE LOS RECURSOS</t>
        </is>
      </c>
      <c r="D2607" t="inlineStr">
        <is>
          <t>F8</t>
        </is>
      </c>
      <c r="E2607" t="inlineStr">
        <is>
          <t>TRANSACCIONAL</t>
        </is>
      </c>
      <c r="F2607" t="inlineStr">
        <is>
          <t>LIQUIDEZ OPERATIVA</t>
        </is>
      </c>
      <c r="G2607" t="inlineStr">
        <is>
          <t>LO</t>
        </is>
      </c>
      <c r="H2607" t="n">
        <v>1</v>
      </c>
      <c r="I2607" t="n">
        <v>1</v>
      </c>
      <c r="J2607" t="n">
        <v>8</v>
      </c>
      <c r="K2607" t="n">
        <v>8</v>
      </c>
      <c r="L2607" t="n">
        <v>8</v>
      </c>
      <c r="M2607" t="n">
        <v>8</v>
      </c>
      <c r="N2607" t="n">
        <v>8</v>
      </c>
      <c r="O2607" t="n">
        <v>40</v>
      </c>
      <c r="P2607" t="n">
        <v>8</v>
      </c>
      <c r="R2607" s="9" t="n">
        <v>0.08</v>
      </c>
      <c r="S2607" s="10" t="inlineStr">
        <is>
          <t>Absorbido en FF7</t>
        </is>
      </c>
      <c r="T2607" s="11" t="n"/>
      <c r="U2607" s="11" t="inlineStr">
        <is>
          <t>DEL BANCO (se hereda)</t>
        </is>
      </c>
      <c r="V2607" s="11" t="n"/>
      <c r="W2607" s="12" t="n"/>
      <c r="X2607" s="12" t="n"/>
    </row>
    <row r="2608" ht="15" customHeight="1">
      <c r="C2608" t="inlineStr">
        <is>
          <t>PROCEDENCIA DE LOS RECURSOS</t>
        </is>
      </c>
      <c r="D2608" t="inlineStr">
        <is>
          <t>F8</t>
        </is>
      </c>
      <c r="E2608" t="inlineStr">
        <is>
          <t>TRANSACCIONAL</t>
        </is>
      </c>
      <c r="F2608" t="inlineStr">
        <is>
          <t>VENTA DE OTROS ACTIVOS</t>
        </is>
      </c>
      <c r="G2608" t="inlineStr">
        <is>
          <t>OA</t>
        </is>
      </c>
      <c r="H2608" t="n">
        <v>3</v>
      </c>
      <c r="I2608" t="n">
        <v>3</v>
      </c>
      <c r="J2608" t="n">
        <v>8</v>
      </c>
      <c r="K2608" t="n">
        <v>24</v>
      </c>
      <c r="L2608" t="n">
        <v>24</v>
      </c>
      <c r="M2608" t="n">
        <v>24</v>
      </c>
      <c r="N2608" t="n">
        <v>24</v>
      </c>
      <c r="O2608" t="n">
        <v>40</v>
      </c>
      <c r="P2608" t="n">
        <v>8</v>
      </c>
      <c r="R2608" s="9" t="n">
        <v>0.08</v>
      </c>
      <c r="S2608" s="10" t="inlineStr">
        <is>
          <t>Absorbido en FF7</t>
        </is>
      </c>
      <c r="T2608" s="11" t="n"/>
      <c r="U2608" s="11" t="inlineStr">
        <is>
          <t>DEL BANCO (se hereda)</t>
        </is>
      </c>
      <c r="V2608" s="11" t="n"/>
      <c r="W2608" s="12" t="n"/>
      <c r="X2608" s="12" t="n"/>
    </row>
    <row r="2609" ht="15" customHeight="1">
      <c r="C2609" t="inlineStr">
        <is>
          <t>PROCEDENCIA DE LOS RECURSOS</t>
        </is>
      </c>
      <c r="D2609" t="inlineStr">
        <is>
          <t>F8</t>
        </is>
      </c>
      <c r="E2609" t="inlineStr">
        <is>
          <t>TRANSACCIONAL</t>
        </is>
      </c>
      <c r="F2609" t="inlineStr">
        <is>
          <t>OTRO</t>
        </is>
      </c>
      <c r="G2609" t="inlineStr">
        <is>
          <t>OT</t>
        </is>
      </c>
      <c r="H2609" t="n">
        <v>5</v>
      </c>
      <c r="I2609" t="n">
        <v>5</v>
      </c>
      <c r="J2609" t="n">
        <v>8</v>
      </c>
      <c r="K2609" t="n">
        <v>40</v>
      </c>
      <c r="L2609" t="n">
        <v>40</v>
      </c>
      <c r="M2609" t="n">
        <v>40</v>
      </c>
      <c r="N2609" t="n">
        <v>40</v>
      </c>
      <c r="O2609" t="n">
        <v>40</v>
      </c>
      <c r="P2609" t="n">
        <v>8</v>
      </c>
      <c r="R2609" s="9" t="n">
        <v>0.08</v>
      </c>
      <c r="S2609" s="10" t="inlineStr">
        <is>
          <t>Absorbido en FF7</t>
        </is>
      </c>
      <c r="T2609" s="11" t="n"/>
      <c r="U2609" s="11" t="inlineStr">
        <is>
          <t>DEL BANCO (se hereda)</t>
        </is>
      </c>
      <c r="V2609" s="11" t="n"/>
      <c r="W2609" s="12" t="n"/>
      <c r="X2609" s="12" t="n"/>
    </row>
    <row r="2610" ht="15" customHeight="1">
      <c r="C2610" t="inlineStr">
        <is>
          <t>PROCEDENCIA DE LOS RECURSOS</t>
        </is>
      </c>
      <c r="D2610" t="inlineStr">
        <is>
          <t>F8</t>
        </is>
      </c>
      <c r="E2610" t="inlineStr">
        <is>
          <t>TRANSACCIONAL</t>
        </is>
      </c>
      <c r="F2610" t="inlineStr">
        <is>
          <t>PATRIMONIO/AHORRO</t>
        </is>
      </c>
      <c r="G2610" t="inlineStr">
        <is>
          <t>PA</t>
        </is>
      </c>
      <c r="H2610" t="n">
        <v>1</v>
      </c>
      <c r="I2610" t="n">
        <v>1</v>
      </c>
      <c r="J2610" t="n">
        <v>8</v>
      </c>
      <c r="K2610" t="n">
        <v>8</v>
      </c>
      <c r="L2610" t="n">
        <v>8</v>
      </c>
      <c r="M2610" t="n">
        <v>8</v>
      </c>
      <c r="N2610" t="n">
        <v>8</v>
      </c>
      <c r="O2610" t="n">
        <v>40</v>
      </c>
      <c r="P2610" t="n">
        <v>8</v>
      </c>
      <c r="R2610" s="9" t="n">
        <v>0.08</v>
      </c>
      <c r="S2610" s="10" t="inlineStr">
        <is>
          <t>Absorbido en FF7</t>
        </is>
      </c>
      <c r="T2610" s="11" t="n"/>
      <c r="U2610" s="11" t="inlineStr">
        <is>
          <t>DEL BANCO (se hereda)</t>
        </is>
      </c>
      <c r="V2610" s="11" t="n"/>
      <c r="W2610" s="12" t="n"/>
      <c r="X2610" s="12" t="n"/>
    </row>
    <row r="2611" ht="15" customHeight="1">
      <c r="C2611" t="inlineStr">
        <is>
          <t>PROCEDENCIA DE LOS RECURSOS</t>
        </is>
      </c>
      <c r="D2611" t="inlineStr">
        <is>
          <t>F8</t>
        </is>
      </c>
      <c r="E2611" t="inlineStr">
        <is>
          <t>TRANSACCIONAL</t>
        </is>
      </c>
      <c r="F2611" t="inlineStr">
        <is>
          <t>RIFAS,PREMIOS, SORTEOS</t>
        </is>
      </c>
      <c r="G2611" t="inlineStr">
        <is>
          <t>PR</t>
        </is>
      </c>
      <c r="H2611" t="n">
        <v>3</v>
      </c>
      <c r="I2611" t="n">
        <v>3</v>
      </c>
      <c r="J2611" t="n">
        <v>8</v>
      </c>
      <c r="K2611" t="n">
        <v>24</v>
      </c>
      <c r="L2611" t="n">
        <v>24</v>
      </c>
      <c r="M2611" t="n">
        <v>24</v>
      </c>
      <c r="N2611" t="n">
        <v>24</v>
      </c>
      <c r="O2611" t="n">
        <v>40</v>
      </c>
      <c r="P2611" t="n">
        <v>8</v>
      </c>
      <c r="R2611" s="9" t="n">
        <v>0.08</v>
      </c>
      <c r="S2611" s="10" t="inlineStr">
        <is>
          <t>Absorbido en FF7</t>
        </is>
      </c>
      <c r="T2611" s="11" t="n"/>
      <c r="U2611" s="11" t="inlineStr">
        <is>
          <t>DEL BANCO (se hereda)</t>
        </is>
      </c>
      <c r="V2611" s="11" t="n"/>
      <c r="W2611" s="12" t="n"/>
      <c r="X2611" s="12" t="n"/>
    </row>
    <row r="2612" ht="15" customHeight="1">
      <c r="C2612" t="inlineStr">
        <is>
          <t>PROCEDENCIA DE LOS RECURSOS</t>
        </is>
      </c>
      <c r="D2612" t="inlineStr">
        <is>
          <t>F8</t>
        </is>
      </c>
      <c r="E2612" t="inlineStr">
        <is>
          <t>TRANSACCIONAL</t>
        </is>
      </c>
      <c r="F2612" t="inlineStr">
        <is>
          <t>RENTAS</t>
        </is>
      </c>
      <c r="G2612" t="inlineStr">
        <is>
          <t>RE</t>
        </is>
      </c>
      <c r="H2612" t="n">
        <v>5</v>
      </c>
      <c r="I2612" t="n">
        <v>5</v>
      </c>
      <c r="J2612" t="n">
        <v>8</v>
      </c>
      <c r="K2612" t="n">
        <v>40</v>
      </c>
      <c r="L2612" t="n">
        <v>40</v>
      </c>
      <c r="M2612" t="n">
        <v>40</v>
      </c>
      <c r="N2612" t="n">
        <v>40</v>
      </c>
      <c r="O2612" t="n">
        <v>40</v>
      </c>
      <c r="P2612" t="n">
        <v>8</v>
      </c>
      <c r="R2612" s="9" t="n">
        <v>0.08</v>
      </c>
      <c r="S2612" s="10" t="inlineStr">
        <is>
          <t>Absorbido en FF7</t>
        </is>
      </c>
      <c r="T2612" s="11" t="n"/>
      <c r="U2612" s="11" t="inlineStr">
        <is>
          <t>DEL BANCO (se hereda)</t>
        </is>
      </c>
      <c r="V2612" s="11" t="n"/>
      <c r="W2612" s="12" t="n"/>
      <c r="X2612" s="12" t="n"/>
    </row>
    <row r="2613" ht="15" customHeight="1">
      <c r="C2613" t="inlineStr">
        <is>
          <t>PROCEDENCIA DE LOS RECURSOS</t>
        </is>
      </c>
      <c r="D2613" t="inlineStr">
        <is>
          <t>F8</t>
        </is>
      </c>
      <c r="E2613" t="inlineStr">
        <is>
          <t>TRANSACCIONAL</t>
        </is>
      </c>
      <c r="F2613" t="inlineStr">
        <is>
          <t>SUELDOS</t>
        </is>
      </c>
      <c r="G2613" t="inlineStr">
        <is>
          <t>SU</t>
        </is>
      </c>
      <c r="H2613" t="n">
        <v>1</v>
      </c>
      <c r="I2613" t="n">
        <v>1</v>
      </c>
      <c r="J2613" t="n">
        <v>8</v>
      </c>
      <c r="K2613" t="n">
        <v>8</v>
      </c>
      <c r="L2613" t="n">
        <v>8</v>
      </c>
      <c r="M2613" t="n">
        <v>8</v>
      </c>
      <c r="N2613" t="n">
        <v>8</v>
      </c>
      <c r="O2613" t="n">
        <v>40</v>
      </c>
      <c r="P2613" t="n">
        <v>8</v>
      </c>
      <c r="R2613" s="9" t="n">
        <v>0.08</v>
      </c>
      <c r="S2613" s="10" t="inlineStr">
        <is>
          <t>Absorbido en FF7</t>
        </is>
      </c>
      <c r="T2613" s="11" t="n"/>
      <c r="U2613" s="11" t="inlineStr">
        <is>
          <t>DEL BANCO (se hereda)</t>
        </is>
      </c>
      <c r="V2613" s="11" t="n"/>
      <c r="W2613" s="12" t="n"/>
      <c r="X2613" s="12" t="n"/>
    </row>
    <row r="2614" ht="15" customHeight="1">
      <c r="C2614" t="inlineStr">
        <is>
          <t>PROCEDENCIA DE LOS RECURSOS</t>
        </is>
      </c>
      <c r="D2614" t="inlineStr">
        <is>
          <t>F8</t>
        </is>
      </c>
      <c r="E2614" t="inlineStr">
        <is>
          <t>TRANSACCIONAL</t>
        </is>
      </c>
      <c r="F2614" t="inlineStr">
        <is>
          <t>VENTA DE ACTIVOS</t>
        </is>
      </c>
      <c r="G2614" t="inlineStr">
        <is>
          <t>VA</t>
        </is>
      </c>
      <c r="H2614" t="n">
        <v>3</v>
      </c>
      <c r="I2614" t="n">
        <v>3</v>
      </c>
      <c r="J2614" t="n">
        <v>8</v>
      </c>
      <c r="K2614" t="n">
        <v>24</v>
      </c>
      <c r="L2614" t="n">
        <v>24</v>
      </c>
      <c r="M2614" t="n">
        <v>24</v>
      </c>
      <c r="N2614" t="n">
        <v>24</v>
      </c>
      <c r="O2614" t="n">
        <v>40</v>
      </c>
      <c r="P2614" t="n">
        <v>8</v>
      </c>
      <c r="R2614" s="9" t="n">
        <v>0.08</v>
      </c>
      <c r="S2614" s="10" t="inlineStr">
        <is>
          <t>Absorbido en FF7</t>
        </is>
      </c>
      <c r="T2614" s="11" t="n"/>
      <c r="U2614" s="11" t="inlineStr">
        <is>
          <t>DEL BANCO (se hereda)</t>
        </is>
      </c>
      <c r="V2614" s="11" t="n"/>
      <c r="W2614" s="12" t="n"/>
      <c r="X2614" s="12" t="n"/>
    </row>
    <row r="2615" ht="15" customHeight="1">
      <c r="C2615" t="inlineStr">
        <is>
          <t>PROCEDENCIA DE LOS RECURSOS</t>
        </is>
      </c>
      <c r="D2615" t="inlineStr">
        <is>
          <t>F8</t>
        </is>
      </c>
      <c r="E2615" t="inlineStr">
        <is>
          <t>TRANSACCIONAL</t>
        </is>
      </c>
      <c r="F2615" t="inlineStr">
        <is>
          <t>VENTA DE INMUEBLES</t>
        </is>
      </c>
      <c r="G2615" t="inlineStr">
        <is>
          <t>VI</t>
        </is>
      </c>
      <c r="H2615" t="n">
        <v>5</v>
      </c>
      <c r="I2615" t="n">
        <v>5</v>
      </c>
      <c r="J2615" t="n">
        <v>8</v>
      </c>
      <c r="K2615" t="n">
        <v>40</v>
      </c>
      <c r="L2615" t="n">
        <v>40</v>
      </c>
      <c r="M2615" t="n">
        <v>40</v>
      </c>
      <c r="N2615" t="n">
        <v>40</v>
      </c>
      <c r="O2615" t="n">
        <v>40</v>
      </c>
      <c r="P2615" t="n">
        <v>8</v>
      </c>
      <c r="R2615" s="9" t="n">
        <v>0.08</v>
      </c>
      <c r="S2615" s="10" t="inlineStr">
        <is>
          <t>Absorbido en FF7</t>
        </is>
      </c>
      <c r="T2615" s="11" t="n"/>
      <c r="U2615" s="11" t="inlineStr">
        <is>
          <t>DEL BANCO (se hereda)</t>
        </is>
      </c>
      <c r="V2615" s="11" t="n"/>
      <c r="W2615" s="12" t="n"/>
      <c r="X2615" s="12" t="n"/>
    </row>
    <row r="2616" ht="15" customHeight="1">
      <c r="C2616" t="inlineStr">
        <is>
          <t>PROCEDENCIA DE LOS RECURSOS</t>
        </is>
      </c>
      <c r="D2616" t="inlineStr">
        <is>
          <t>F8</t>
        </is>
      </c>
      <c r="E2616" t="inlineStr">
        <is>
          <t>TRANSACCIONAL</t>
        </is>
      </c>
      <c r="F2616" t="inlineStr">
        <is>
          <t>VENTA DE NEGOCIO</t>
        </is>
      </c>
      <c r="G2616" t="inlineStr">
        <is>
          <t>VN</t>
        </is>
      </c>
      <c r="H2616" t="n">
        <v>1</v>
      </c>
      <c r="I2616" t="n">
        <v>1</v>
      </c>
      <c r="J2616" t="n">
        <v>8</v>
      </c>
      <c r="K2616" t="n">
        <v>8</v>
      </c>
      <c r="L2616" t="n">
        <v>8</v>
      </c>
      <c r="M2616" t="n">
        <v>8</v>
      </c>
      <c r="N2616" t="n">
        <v>8</v>
      </c>
      <c r="O2616" t="n">
        <v>40</v>
      </c>
      <c r="P2616" t="n">
        <v>8</v>
      </c>
      <c r="R2616" s="9" t="n">
        <v>0.08</v>
      </c>
      <c r="S2616" s="10" t="inlineStr">
        <is>
          <t>Absorbido en FF7</t>
        </is>
      </c>
      <c r="T2616" s="11" t="n"/>
      <c r="U2616" s="11" t="inlineStr">
        <is>
          <t>DEL BANCO (se hereda)</t>
        </is>
      </c>
      <c r="V2616" s="11" t="n"/>
      <c r="W2616" s="12" t="n"/>
      <c r="X2616" s="12" t="n"/>
    </row>
    <row r="2617" ht="15" customHeight="1">
      <c r="C2617" t="inlineStr">
        <is>
          <t>PROCEDENCIA DE LOS RECURSOS</t>
        </is>
      </c>
      <c r="D2617" t="inlineStr">
        <is>
          <t>F8</t>
        </is>
      </c>
      <c r="E2617" t="inlineStr">
        <is>
          <t>TRANSACCIONAL</t>
        </is>
      </c>
      <c r="F2617" t="inlineStr">
        <is>
          <t>VENTA OTROS ACTIVOS</t>
        </is>
      </c>
      <c r="G2617" t="inlineStr">
        <is>
          <t>VO</t>
        </is>
      </c>
      <c r="H2617" t="n">
        <v>3</v>
      </c>
      <c r="I2617" t="n">
        <v>3</v>
      </c>
      <c r="J2617" t="n">
        <v>8</v>
      </c>
      <c r="K2617" t="n">
        <v>24</v>
      </c>
      <c r="L2617" t="n">
        <v>24</v>
      </c>
      <c r="M2617" t="n">
        <v>24</v>
      </c>
      <c r="N2617" t="n">
        <v>24</v>
      </c>
      <c r="O2617" t="n">
        <v>40</v>
      </c>
      <c r="P2617" t="n">
        <v>8</v>
      </c>
      <c r="R2617" s="9" t="n">
        <v>0.08</v>
      </c>
      <c r="S2617" s="10" t="inlineStr">
        <is>
          <t>Absorbido en FF7</t>
        </is>
      </c>
      <c r="T2617" s="11" t="n"/>
      <c r="U2617" s="11" t="inlineStr">
        <is>
          <t>DEL BANCO (se hereda)</t>
        </is>
      </c>
      <c r="V2617" s="11" t="n"/>
      <c r="W2617" s="12" t="n"/>
      <c r="X2617" s="12" t="n"/>
    </row>
    <row r="2618" ht="15" customHeight="1">
      <c r="C2618" t="inlineStr">
        <is>
          <t>PROCEDENCIA DE LOS RECURSOS</t>
        </is>
      </c>
      <c r="D2618" t="inlineStr">
        <is>
          <t>F8</t>
        </is>
      </c>
      <c r="E2618" t="inlineStr">
        <is>
          <t>TRANSACCIONAL</t>
        </is>
      </c>
      <c r="F2618" t="inlineStr">
        <is>
          <t>VENTA DE PRODUCTOS/SERVICIOS</t>
        </is>
      </c>
      <c r="G2618" t="inlineStr">
        <is>
          <t>VP</t>
        </is>
      </c>
      <c r="H2618" t="n">
        <v>1</v>
      </c>
      <c r="I2618" t="n">
        <v>1</v>
      </c>
      <c r="J2618" t="n">
        <v>8</v>
      </c>
      <c r="K2618" t="n">
        <v>8</v>
      </c>
      <c r="L2618" t="n">
        <v>8</v>
      </c>
      <c r="M2618" t="n">
        <v>8</v>
      </c>
      <c r="N2618" t="n">
        <v>8</v>
      </c>
      <c r="O2618" t="n">
        <v>40</v>
      </c>
      <c r="P2618" t="n">
        <v>8</v>
      </c>
      <c r="R2618" s="9" t="n">
        <v>0.08</v>
      </c>
      <c r="S2618" s="10" t="inlineStr">
        <is>
          <t>Absorbido en FF7</t>
        </is>
      </c>
      <c r="T2618" s="11" t="n"/>
      <c r="U2618" s="11" t="inlineStr">
        <is>
          <t>DEL BANCO (se hereda)</t>
        </is>
      </c>
      <c r="V2618" s="11" t="n"/>
      <c r="W2618" s="12" t="n"/>
      <c r="X2618" s="12" t="n"/>
    </row>
    <row r="2619" ht="15" customHeight="1">
      <c r="C2619" t="inlineStr">
        <is>
          <t>DESTINO DE LOS RECURSOS (USO DE LA CUENTA)</t>
        </is>
      </c>
      <c r="D2619" t="inlineStr">
        <is>
          <t>F9</t>
        </is>
      </c>
      <c r="E2619" t="inlineStr">
        <is>
          <t>TRANSACCIONAL</t>
        </is>
      </c>
      <c r="F2619" t="inlineStr">
        <is>
          <t>AHORRO/ INVERSION</t>
        </is>
      </c>
      <c r="G2619" t="inlineStr">
        <is>
          <t>AI</t>
        </is>
      </c>
      <c r="H2619" t="n">
        <v>1</v>
      </c>
      <c r="I2619" t="n">
        <v>1</v>
      </c>
      <c r="J2619" t="n">
        <v>8</v>
      </c>
      <c r="K2619" t="n">
        <v>8</v>
      </c>
      <c r="L2619" t="n">
        <v>8</v>
      </c>
      <c r="M2619" t="n">
        <v>8</v>
      </c>
      <c r="N2619" t="n">
        <v>8</v>
      </c>
      <c r="O2619" t="n">
        <v>40</v>
      </c>
      <c r="P2619" t="n">
        <v>8</v>
      </c>
      <c r="R2619" s="9" t="n">
        <v>0.08</v>
      </c>
      <c r="S2619" s="10" t="inlineStr">
        <is>
          <t>V2 — destino de recursos</t>
        </is>
      </c>
      <c r="T2619" s="11" t="n"/>
      <c r="U2619" s="11" t="inlineStr">
        <is>
          <t>DEL BANCO (se hereda)</t>
        </is>
      </c>
      <c r="V2619" s="11" t="n"/>
      <c r="W2619" s="12" t="n"/>
      <c r="X2619" s="12" t="n"/>
    </row>
    <row r="2620" ht="15" customHeight="1">
      <c r="C2620" t="inlineStr">
        <is>
          <t>DESTINO DE LOS RECURSOS (USO DE LA CUENTA)</t>
        </is>
      </c>
      <c r="D2620" t="inlineStr">
        <is>
          <t>F9</t>
        </is>
      </c>
      <c r="E2620" t="inlineStr">
        <is>
          <t>TRANSACCIONAL</t>
        </is>
      </c>
      <c r="F2620" t="inlineStr">
        <is>
          <t>CAMBIOS/ DERIVADOS</t>
        </is>
      </c>
      <c r="G2620" t="inlineStr">
        <is>
          <t>CD</t>
        </is>
      </c>
      <c r="H2620" t="n">
        <v>5</v>
      </c>
      <c r="I2620" t="n">
        <v>5</v>
      </c>
      <c r="J2620" t="n">
        <v>8</v>
      </c>
      <c r="K2620" t="n">
        <v>40</v>
      </c>
      <c r="L2620" t="n">
        <v>40</v>
      </c>
      <c r="M2620" t="n">
        <v>40</v>
      </c>
      <c r="N2620" t="n">
        <v>40</v>
      </c>
      <c r="O2620" t="n">
        <v>40</v>
      </c>
      <c r="P2620" t="n">
        <v>8</v>
      </c>
      <c r="R2620" s="9" t="n">
        <v>0.08</v>
      </c>
      <c r="S2620" s="10" t="inlineStr">
        <is>
          <t>V2 — destino de recursos</t>
        </is>
      </c>
      <c r="T2620" s="11" t="n"/>
      <c r="U2620" s="11" t="inlineStr">
        <is>
          <t>DEL BANCO (se hereda)</t>
        </is>
      </c>
      <c r="V2620" s="11" t="n"/>
      <c r="W2620" s="12" t="n"/>
      <c r="X2620" s="12" t="n"/>
    </row>
    <row r="2621" ht="15" customHeight="1">
      <c r="C2621" t="inlineStr">
        <is>
          <t>DESTINO DE LOS RECURSOS (USO DE LA CUENTA)</t>
        </is>
      </c>
      <c r="D2621" t="inlineStr">
        <is>
          <t>F9</t>
        </is>
      </c>
      <c r="E2621" t="inlineStr">
        <is>
          <t>TRANSACCIONAL</t>
        </is>
      </c>
      <c r="F2621" t="inlineStr">
        <is>
          <t>CONCENTRACIÓN DE FONDOS</t>
        </is>
      </c>
      <c r="G2621" t="inlineStr">
        <is>
          <t>CF</t>
        </is>
      </c>
      <c r="H2621" t="n">
        <v>3</v>
      </c>
      <c r="I2621" t="n">
        <v>3</v>
      </c>
      <c r="J2621" t="n">
        <v>8</v>
      </c>
      <c r="K2621" t="n">
        <v>24</v>
      </c>
      <c r="L2621" t="n">
        <v>24</v>
      </c>
      <c r="M2621" t="n">
        <v>24</v>
      </c>
      <c r="N2621" t="n">
        <v>24</v>
      </c>
      <c r="O2621" t="n">
        <v>40</v>
      </c>
      <c r="P2621" t="n">
        <v>8</v>
      </c>
      <c r="R2621" s="9" t="n">
        <v>0.08</v>
      </c>
      <c r="S2621" s="10" t="inlineStr">
        <is>
          <t>V2 — destino de recursos</t>
        </is>
      </c>
      <c r="T2621" s="11" t="n"/>
      <c r="U2621" s="11" t="inlineStr">
        <is>
          <t>DEL BANCO (se hereda)</t>
        </is>
      </c>
      <c r="V2621" s="11" t="n"/>
      <c r="W2621" s="12" t="n"/>
      <c r="X2621" s="12" t="n"/>
    </row>
    <row r="2622" ht="15" customHeight="1">
      <c r="C2622" t="inlineStr">
        <is>
          <t>DESTINO DE LOS RECURSOS (USO DE LA CUENTA)</t>
        </is>
      </c>
      <c r="D2622" t="inlineStr">
        <is>
          <t>F9</t>
        </is>
      </c>
      <c r="E2622" t="inlineStr">
        <is>
          <t>TRANSACCIONAL</t>
        </is>
      </c>
      <c r="F2622" t="inlineStr">
        <is>
          <t>CUENTA DE INVERSIÓN</t>
        </is>
      </c>
      <c r="G2622" t="inlineStr">
        <is>
          <t>CI</t>
        </is>
      </c>
      <c r="H2622" t="n">
        <v>1</v>
      </c>
      <c r="I2622" t="n">
        <v>1</v>
      </c>
      <c r="J2622" t="n">
        <v>8</v>
      </c>
      <c r="K2622" t="n">
        <v>8</v>
      </c>
      <c r="L2622" t="n">
        <v>8</v>
      </c>
      <c r="M2622" t="n">
        <v>8</v>
      </c>
      <c r="N2622" t="n">
        <v>8</v>
      </c>
      <c r="O2622" t="n">
        <v>40</v>
      </c>
      <c r="P2622" t="n">
        <v>8</v>
      </c>
      <c r="R2622" s="9" t="n">
        <v>0.08</v>
      </c>
      <c r="S2622" s="10" t="inlineStr">
        <is>
          <t>V2 — destino de recursos</t>
        </is>
      </c>
      <c r="T2622" s="11" t="n"/>
      <c r="U2622" s="11" t="inlineStr">
        <is>
          <t>DEL BANCO (se hereda)</t>
        </is>
      </c>
      <c r="V2622" s="11" t="n"/>
      <c r="W2622" s="12" t="n"/>
      <c r="X2622" s="12" t="n"/>
    </row>
    <row r="2623" ht="15" customHeight="1">
      <c r="C2623" t="inlineStr">
        <is>
          <t>DESTINO DE LOS RECURSOS (USO DE LA CUENTA)</t>
        </is>
      </c>
      <c r="D2623" t="inlineStr">
        <is>
          <t>F9</t>
        </is>
      </c>
      <c r="E2623" t="inlineStr">
        <is>
          <t>TRANSACCIONAL</t>
        </is>
      </c>
      <c r="F2623" t="inlineStr">
        <is>
          <t>CRÉDITO</t>
        </is>
      </c>
      <c r="G2623" t="inlineStr">
        <is>
          <t>CR</t>
        </is>
      </c>
      <c r="H2623" t="n">
        <v>1</v>
      </c>
      <c r="I2623" t="n">
        <v>1</v>
      </c>
      <c r="J2623" t="n">
        <v>8</v>
      </c>
      <c r="K2623" t="n">
        <v>8</v>
      </c>
      <c r="L2623" t="n">
        <v>8</v>
      </c>
      <c r="M2623" t="n">
        <v>8</v>
      </c>
      <c r="N2623" t="n">
        <v>8</v>
      </c>
      <c r="O2623" t="n">
        <v>40</v>
      </c>
      <c r="P2623" t="n">
        <v>8</v>
      </c>
      <c r="R2623" s="9" t="n">
        <v>0.08</v>
      </c>
      <c r="S2623" s="10" t="inlineStr">
        <is>
          <t>V2 — destino de recursos</t>
        </is>
      </c>
      <c r="T2623" s="11" t="n"/>
      <c r="U2623" s="11" t="inlineStr">
        <is>
          <t>DEL BANCO (se hereda)</t>
        </is>
      </c>
      <c r="V2623" s="11" t="n"/>
      <c r="W2623" s="12" t="n"/>
      <c r="X2623" s="12" t="n"/>
    </row>
    <row r="2624" ht="15" customHeight="1">
      <c r="C2624" t="inlineStr">
        <is>
          <t>DESTINO DE LOS RECURSOS (USO DE LA CUENTA)</t>
        </is>
      </c>
      <c r="D2624" t="inlineStr">
        <is>
          <t>F9</t>
        </is>
      </c>
      <c r="E2624" t="inlineStr">
        <is>
          <t>TRANSACCIONAL</t>
        </is>
      </c>
      <c r="F2624" t="inlineStr">
        <is>
          <t>GARANTIA</t>
        </is>
      </c>
      <c r="G2624" t="inlineStr">
        <is>
          <t>GA</t>
        </is>
      </c>
      <c r="H2624" t="n">
        <v>1</v>
      </c>
      <c r="I2624" t="n">
        <v>1</v>
      </c>
      <c r="J2624" t="n">
        <v>8</v>
      </c>
      <c r="K2624" t="n">
        <v>8</v>
      </c>
      <c r="L2624" t="n">
        <v>8</v>
      </c>
      <c r="M2624" t="n">
        <v>8</v>
      </c>
      <c r="N2624" t="n">
        <v>8</v>
      </c>
      <c r="O2624" t="n">
        <v>40</v>
      </c>
      <c r="P2624" t="n">
        <v>8</v>
      </c>
      <c r="R2624" s="9" t="n">
        <v>0.08</v>
      </c>
      <c r="S2624" s="10" t="inlineStr">
        <is>
          <t>V2 — destino de recursos</t>
        </is>
      </c>
      <c r="T2624" s="11" t="n"/>
      <c r="U2624" s="11" t="inlineStr">
        <is>
          <t>DEL BANCO (se hereda)</t>
        </is>
      </c>
      <c r="V2624" s="11" t="n"/>
      <c r="W2624" s="12" t="n"/>
      <c r="X2624" s="12" t="n"/>
    </row>
    <row r="2625" ht="15" customHeight="1">
      <c r="C2625" t="inlineStr">
        <is>
          <t>DESTINO DE LOS RECURSOS (USO DE LA CUENTA)</t>
        </is>
      </c>
      <c r="D2625" t="inlineStr">
        <is>
          <t>F9</t>
        </is>
      </c>
      <c r="E2625" t="inlineStr">
        <is>
          <t>TRANSACCIONAL</t>
        </is>
      </c>
      <c r="F2625" t="inlineStr">
        <is>
          <t>ADMINISTRACIÓN DE GASTOS E INGRESOS</t>
        </is>
      </c>
      <c r="G2625" t="inlineStr">
        <is>
          <t>GI</t>
        </is>
      </c>
      <c r="H2625" t="n">
        <v>3</v>
      </c>
      <c r="I2625" t="n">
        <v>3</v>
      </c>
      <c r="J2625" t="n">
        <v>8</v>
      </c>
      <c r="K2625" t="n">
        <v>24</v>
      </c>
      <c r="L2625" t="n">
        <v>24</v>
      </c>
      <c r="M2625" t="n">
        <v>24</v>
      </c>
      <c r="N2625" t="n">
        <v>24</v>
      </c>
      <c r="O2625" t="n">
        <v>40</v>
      </c>
      <c r="P2625" t="n">
        <v>8</v>
      </c>
      <c r="R2625" s="9" t="n">
        <v>0.08</v>
      </c>
      <c r="S2625" s="10" t="inlineStr">
        <is>
          <t>V2 — destino de recursos</t>
        </is>
      </c>
      <c r="T2625" s="11" t="n"/>
      <c r="U2625" s="11" t="inlineStr">
        <is>
          <t>DEL BANCO (se hereda)</t>
        </is>
      </c>
      <c r="V2625" s="11" t="n"/>
      <c r="W2625" s="12" t="n"/>
      <c r="X2625" s="12" t="n"/>
    </row>
    <row r="2626" ht="15" customHeight="1">
      <c r="C2626" t="inlineStr">
        <is>
          <t>DESTINO DE LOS RECURSOS (USO DE LA CUENTA)</t>
        </is>
      </c>
      <c r="D2626" t="inlineStr">
        <is>
          <t>F9</t>
        </is>
      </c>
      <c r="E2626" t="inlineStr">
        <is>
          <t>TRANSACCIONAL</t>
        </is>
      </c>
      <c r="F2626" t="inlineStr">
        <is>
          <t>NOMINA O DEBITO</t>
        </is>
      </c>
      <c r="G2626" t="inlineStr">
        <is>
          <t>ND</t>
        </is>
      </c>
      <c r="H2626" t="n">
        <v>1</v>
      </c>
      <c r="I2626" t="n">
        <v>1</v>
      </c>
      <c r="J2626" t="n">
        <v>8</v>
      </c>
      <c r="K2626" t="n">
        <v>8</v>
      </c>
      <c r="L2626" t="n">
        <v>8</v>
      </c>
      <c r="M2626" t="n">
        <v>8</v>
      </c>
      <c r="N2626" t="n">
        <v>8</v>
      </c>
      <c r="O2626" t="n">
        <v>40</v>
      </c>
      <c r="P2626" t="n">
        <v>8</v>
      </c>
      <c r="R2626" s="9" t="n">
        <v>0.08</v>
      </c>
      <c r="S2626" s="10" t="inlineStr">
        <is>
          <t>V2 — destino de recursos</t>
        </is>
      </c>
      <c r="T2626" s="11" t="n"/>
      <c r="U2626" s="11" t="inlineStr">
        <is>
          <t>DEL BANCO (se hereda)</t>
        </is>
      </c>
      <c r="V2626" s="11" t="n"/>
      <c r="W2626" s="12" t="n"/>
      <c r="X2626" s="12" t="n"/>
    </row>
    <row r="2627" ht="15" customHeight="1">
      <c r="C2627" t="inlineStr">
        <is>
          <t>DESTINO DE LOS RECURSOS (USO DE LA CUENTA)</t>
        </is>
      </c>
      <c r="D2627" t="inlineStr">
        <is>
          <t>F9</t>
        </is>
      </c>
      <c r="E2627" t="inlineStr">
        <is>
          <t>TRANSACCIONAL</t>
        </is>
      </c>
      <c r="F2627" t="inlineStr">
        <is>
          <t>OTRO</t>
        </is>
      </c>
      <c r="G2627" t="inlineStr">
        <is>
          <t>OT</t>
        </is>
      </c>
      <c r="H2627" t="n">
        <v>5</v>
      </c>
      <c r="I2627" t="n">
        <v>5</v>
      </c>
      <c r="J2627" t="n">
        <v>8</v>
      </c>
      <c r="K2627" t="n">
        <v>40</v>
      </c>
      <c r="L2627" t="n">
        <v>40</v>
      </c>
      <c r="M2627" t="n">
        <v>40</v>
      </c>
      <c r="N2627" t="n">
        <v>40</v>
      </c>
      <c r="O2627" t="n">
        <v>40</v>
      </c>
      <c r="P2627" t="n">
        <v>8</v>
      </c>
      <c r="R2627" s="9" t="n">
        <v>0.08</v>
      </c>
      <c r="S2627" s="10" t="inlineStr">
        <is>
          <t>V2 — destino de recursos</t>
        </is>
      </c>
      <c r="T2627" s="11" t="n"/>
      <c r="U2627" s="11" t="inlineStr">
        <is>
          <t>DEL BANCO (se hereda)</t>
        </is>
      </c>
      <c r="V2627" s="11" t="n"/>
      <c r="W2627" s="12" t="n"/>
      <c r="X2627" s="12" t="n"/>
    </row>
    <row r="2628" ht="15" customHeight="1">
      <c r="C2628" t="inlineStr">
        <is>
          <t>DESTINO DE LOS RECURSOS (USO DE LA CUENTA)</t>
        </is>
      </c>
      <c r="D2628" t="inlineStr">
        <is>
          <t>F9</t>
        </is>
      </c>
      <c r="E2628" t="inlineStr">
        <is>
          <t>TRANSACCIONAL</t>
        </is>
      </c>
      <c r="F2628" t="inlineStr">
        <is>
          <t>PAGO AGROFIRME</t>
        </is>
      </c>
      <c r="G2628" t="inlineStr">
        <is>
          <t>PA</t>
        </is>
      </c>
      <c r="H2628" t="n">
        <v>1</v>
      </c>
      <c r="I2628" t="n">
        <v>1</v>
      </c>
      <c r="J2628" t="n">
        <v>8</v>
      </c>
      <c r="K2628" t="n">
        <v>8</v>
      </c>
      <c r="L2628" t="n">
        <v>8</v>
      </c>
      <c r="M2628" t="n">
        <v>8</v>
      </c>
      <c r="N2628" t="n">
        <v>8</v>
      </c>
      <c r="O2628" t="n">
        <v>40</v>
      </c>
      <c r="P2628" t="n">
        <v>8</v>
      </c>
      <c r="R2628" s="9" t="n">
        <v>0.08</v>
      </c>
      <c r="S2628" s="10" t="inlineStr">
        <is>
          <t>V2 — destino de recursos</t>
        </is>
      </c>
      <c r="T2628" s="11" t="n"/>
      <c r="U2628" s="11" t="inlineStr">
        <is>
          <t>DEL BANCO (se hereda)</t>
        </is>
      </c>
      <c r="V2628" s="11" t="n"/>
      <c r="W2628" s="12" t="n"/>
      <c r="X2628" s="12" t="n"/>
    </row>
    <row r="2629" ht="15" customHeight="1">
      <c r="C2629" t="inlineStr">
        <is>
          <t>DESTINO DE LOS RECURSOS (USO DE LA CUENTA)</t>
        </is>
      </c>
      <c r="D2629" t="inlineStr">
        <is>
          <t>F9</t>
        </is>
      </c>
      <c r="E2629" t="inlineStr">
        <is>
          <t>TRANSACCIONAL</t>
        </is>
      </c>
      <c r="F2629" t="inlineStr">
        <is>
          <t>PAGO ING</t>
        </is>
      </c>
      <c r="G2629" t="inlineStr">
        <is>
          <t>PI</t>
        </is>
      </c>
      <c r="H2629" t="n">
        <v>1</v>
      </c>
      <c r="I2629" t="n">
        <v>1</v>
      </c>
      <c r="J2629" t="n">
        <v>8</v>
      </c>
      <c r="K2629" t="n">
        <v>8</v>
      </c>
      <c r="L2629" t="n">
        <v>8</v>
      </c>
      <c r="M2629" t="n">
        <v>8</v>
      </c>
      <c r="N2629" t="n">
        <v>8</v>
      </c>
      <c r="O2629" t="n">
        <v>40</v>
      </c>
      <c r="P2629" t="n">
        <v>8</v>
      </c>
      <c r="R2629" s="9" t="n">
        <v>0.08</v>
      </c>
      <c r="S2629" s="10" t="inlineStr">
        <is>
          <t>V2 — destino de recursos</t>
        </is>
      </c>
      <c r="T2629" s="11" t="n"/>
      <c r="U2629" s="11" t="inlineStr">
        <is>
          <t>DEL BANCO (se hereda)</t>
        </is>
      </c>
      <c r="V2629" s="11" t="n"/>
      <c r="W2629" s="12" t="n"/>
      <c r="X2629" s="12" t="n"/>
    </row>
    <row r="2630" ht="15" customHeight="1">
      <c r="C2630" t="inlineStr">
        <is>
          <t>DESTINO DE LOS RECURSOS (USO DE LA CUENTA)</t>
        </is>
      </c>
      <c r="D2630" t="inlineStr">
        <is>
          <t>F9</t>
        </is>
      </c>
      <c r="E2630" t="inlineStr">
        <is>
          <t>TRANSACCIONAL</t>
        </is>
      </c>
      <c r="F2630" t="inlineStr">
        <is>
          <t>PAGO MICROCREDITOS</t>
        </is>
      </c>
      <c r="G2630" t="inlineStr">
        <is>
          <t>PM</t>
        </is>
      </c>
      <c r="H2630" t="n">
        <v>1</v>
      </c>
      <c r="I2630" t="n">
        <v>1</v>
      </c>
      <c r="J2630" t="n">
        <v>8</v>
      </c>
      <c r="K2630" t="n">
        <v>8</v>
      </c>
      <c r="L2630" t="n">
        <v>8</v>
      </c>
      <c r="M2630" t="n">
        <v>8</v>
      </c>
      <c r="N2630" t="n">
        <v>8</v>
      </c>
      <c r="O2630" t="n">
        <v>40</v>
      </c>
      <c r="P2630" t="n">
        <v>8</v>
      </c>
      <c r="R2630" s="9" t="n">
        <v>0.08</v>
      </c>
      <c r="S2630" s="10" t="inlineStr">
        <is>
          <t>V2 — destino de recursos</t>
        </is>
      </c>
      <c r="T2630" s="11" t="n"/>
      <c r="U2630" s="11" t="inlineStr">
        <is>
          <t>DEL BANCO (se hereda)</t>
        </is>
      </c>
      <c r="V2630" s="11" t="n"/>
      <c r="W2630" s="12" t="n"/>
      <c r="X2630" s="12" t="n"/>
    </row>
    <row r="2631" ht="15" customHeight="1">
      <c r="C2631" t="inlineStr">
        <is>
          <t>DESTINO DE LOS RECURSOS (USO DE LA CUENTA)</t>
        </is>
      </c>
      <c r="D2631" t="inlineStr">
        <is>
          <t>F9</t>
        </is>
      </c>
      <c r="E2631" t="inlineStr">
        <is>
          <t>TRANSACCIONAL</t>
        </is>
      </c>
      <c r="F2631" t="inlineStr">
        <is>
          <t>PAGO NAVISTAR</t>
        </is>
      </c>
      <c r="G2631" t="inlineStr">
        <is>
          <t>PN</t>
        </is>
      </c>
      <c r="H2631" t="n">
        <v>1</v>
      </c>
      <c r="I2631" t="n">
        <v>1</v>
      </c>
      <c r="J2631" t="n">
        <v>8</v>
      </c>
      <c r="K2631" t="n">
        <v>8</v>
      </c>
      <c r="L2631" t="n">
        <v>8</v>
      </c>
      <c r="M2631" t="n">
        <v>8</v>
      </c>
      <c r="N2631" t="n">
        <v>8</v>
      </c>
      <c r="O2631" t="n">
        <v>40</v>
      </c>
      <c r="P2631" t="n">
        <v>8</v>
      </c>
      <c r="R2631" s="9" t="n">
        <v>0.08</v>
      </c>
      <c r="S2631" s="10" t="inlineStr">
        <is>
          <t>V2 — destino de recursos</t>
        </is>
      </c>
      <c r="T2631" s="11" t="n"/>
      <c r="U2631" s="11" t="inlineStr">
        <is>
          <t>DEL BANCO (se hereda)</t>
        </is>
      </c>
      <c r="V2631" s="11" t="n"/>
      <c r="W2631" s="12" t="n"/>
      <c r="X2631" s="12" t="n"/>
    </row>
    <row r="2632" ht="15" customHeight="1">
      <c r="C2632" t="inlineStr">
        <is>
          <t>DESTINO DE LOS RECURSOS (USO DE LA CUENTA)</t>
        </is>
      </c>
      <c r="D2632" t="inlineStr">
        <is>
          <t>F9</t>
        </is>
      </c>
      <c r="E2632" t="inlineStr">
        <is>
          <t>TRANSACCIONAL</t>
        </is>
      </c>
      <c r="F2632" t="inlineStr">
        <is>
          <t>PAGO A PROVEEDORES</t>
        </is>
      </c>
      <c r="G2632" t="inlineStr">
        <is>
          <t>PP</t>
        </is>
      </c>
      <c r="H2632" t="n">
        <v>1</v>
      </c>
      <c r="I2632" t="n">
        <v>1</v>
      </c>
      <c r="J2632" t="n">
        <v>8</v>
      </c>
      <c r="K2632" t="n">
        <v>8</v>
      </c>
      <c r="L2632" t="n">
        <v>8</v>
      </c>
      <c r="M2632" t="n">
        <v>8</v>
      </c>
      <c r="N2632" t="n">
        <v>8</v>
      </c>
      <c r="O2632" t="n">
        <v>40</v>
      </c>
      <c r="P2632" t="n">
        <v>8</v>
      </c>
      <c r="R2632" s="9" t="n">
        <v>0.08</v>
      </c>
      <c r="S2632" s="10" t="inlineStr">
        <is>
          <t>V2 — destino de recursos</t>
        </is>
      </c>
      <c r="T2632" s="11" t="n"/>
      <c r="U2632" s="11" t="inlineStr">
        <is>
          <t>DEL BANCO (se hereda)</t>
        </is>
      </c>
      <c r="V2632" s="11" t="n"/>
      <c r="W2632" s="12" t="n"/>
      <c r="X2632" s="12" t="n"/>
    </row>
    <row r="2634" ht="15" customHeight="1">
      <c r="B2634" s="13" t="inlineStr">
        <is>
          <t>VARIABLES FIDUCIARIAS NUEVAS (Lex Quo) — misma lógica: PUNTAJE = PROBABILIDAD × MULTIPLICADOR. Claves serie 9000.</t>
        </is>
      </c>
    </row>
    <row r="2635" ht="15" customHeight="1">
      <c r="B2635" s="14" t="n"/>
      <c r="C2635" s="15" t="inlineStr">
        <is>
          <t>TIPO DE FIDEICOMISO</t>
        </is>
      </c>
      <c r="D2635" s="15" t="inlineStr">
        <is>
          <t>FF1</t>
        </is>
      </c>
      <c r="E2635" s="15" t="inlineStr">
        <is>
          <t>FIDUCIARIO ESTRUCTURAL</t>
        </is>
      </c>
      <c r="F2635" s="15" t="inlineStr">
        <is>
          <t>FIDEICOMISO DE ADMINISTRACIÓN</t>
        </is>
      </c>
      <c r="G2635" s="15" t="n">
        <v>9001</v>
      </c>
      <c r="H2635" s="15" t="n">
        <v>2</v>
      </c>
      <c r="I2635" s="15" t="n">
        <v>2</v>
      </c>
      <c r="J2635" s="15" t="n">
        <v>30</v>
      </c>
      <c r="K2635" s="15" t="n">
        <v>60</v>
      </c>
      <c r="L2635" s="15" t="n">
        <v>60</v>
      </c>
      <c r="M2635" s="15" t="n">
        <v>60</v>
      </c>
      <c r="N2635" s="15" t="n">
        <v>60</v>
      </c>
      <c r="O2635" s="14" t="n"/>
      <c r="P2635" s="14" t="n"/>
      <c r="Q2635" s="14" t="n"/>
      <c r="R2635" s="16" t="n">
        <v>0.3</v>
      </c>
      <c r="S2635" s="17" t="inlineStr">
        <is>
          <t>SÍ — vehículo</t>
        </is>
      </c>
      <c r="T2635" s="18" t="inlineStr">
        <is>
          <t>A · VEHÍCULO</t>
        </is>
      </c>
      <c r="U2635" s="18" t="inlineStr">
        <is>
          <t>NUEVA · VEHÍCULO</t>
        </is>
      </c>
      <c r="V2635" s="18" t="n"/>
      <c r="W2635" s="12" t="n"/>
      <c r="X2635" s="12" t="n"/>
      <c r="Y2635" s="128" t="inlineStr">
        <is>
          <t>TIPO / PRODUCTO = "Administración" o "Fideicomiso de Administración"</t>
        </is>
      </c>
    </row>
    <row r="2636" ht="15" customHeight="1">
      <c r="B2636" s="14" t="n"/>
      <c r="C2636" s="15" t="inlineStr">
        <is>
          <t>TIPO DE FIDEICOMISO</t>
        </is>
      </c>
      <c r="D2636" s="15" t="inlineStr">
        <is>
          <t>FF1</t>
        </is>
      </c>
      <c r="E2636" s="15" t="inlineStr">
        <is>
          <t>FIDUCIARIO ESTRUCTURAL</t>
        </is>
      </c>
      <c r="F2636" s="15" t="inlineStr">
        <is>
          <t>FIDEICOMISO DE GARANTÍA</t>
        </is>
      </c>
      <c r="G2636" s="15" t="n">
        <v>9002</v>
      </c>
      <c r="H2636" s="15" t="n">
        <v>2</v>
      </c>
      <c r="I2636" s="15" t="n">
        <v>2</v>
      </c>
      <c r="J2636" s="15" t="n">
        <v>30</v>
      </c>
      <c r="K2636" s="15" t="n">
        <v>60</v>
      </c>
      <c r="L2636" s="15" t="n">
        <v>60</v>
      </c>
      <c r="M2636" s="15" t="n">
        <v>60</v>
      </c>
      <c r="N2636" s="15" t="n">
        <v>60</v>
      </c>
      <c r="O2636" s="14" t="n"/>
      <c r="P2636" s="14" t="n"/>
      <c r="Q2636" s="14" t="n"/>
      <c r="R2636" s="16" t="n">
        <v>0.3</v>
      </c>
      <c r="S2636" s="17" t="inlineStr">
        <is>
          <t>SÍ — vehículo</t>
        </is>
      </c>
      <c r="T2636" s="18" t="inlineStr">
        <is>
          <t>A · VEHÍCULO</t>
        </is>
      </c>
      <c r="U2636" s="18" t="inlineStr">
        <is>
          <t>NUEVA · VEHÍCULO</t>
        </is>
      </c>
      <c r="V2636" s="18" t="n"/>
      <c r="W2636" s="12" t="n"/>
      <c r="X2636" s="12" t="n"/>
      <c r="Y2636" s="128" t="inlineStr">
        <is>
          <t>TIPO / PRODUCTO = "Garantía" o "Fideicomiso de Garantía"</t>
        </is>
      </c>
    </row>
    <row r="2637" ht="15" customHeight="1">
      <c r="B2637" s="14" t="n"/>
      <c r="C2637" s="15" t="inlineStr">
        <is>
          <t>TIPO DE FIDEICOMISO</t>
        </is>
      </c>
      <c r="D2637" s="15" t="inlineStr">
        <is>
          <t>FF1</t>
        </is>
      </c>
      <c r="E2637" s="15" t="inlineStr">
        <is>
          <t>FIDUCIARIO ESTRUCTURAL</t>
        </is>
      </c>
      <c r="F2637" s="15" t="inlineStr">
        <is>
          <t>FIDEICOMISO DE INVERSIÓN</t>
        </is>
      </c>
      <c r="G2637" s="15" t="n">
        <v>9003</v>
      </c>
      <c r="H2637" s="15" t="n">
        <v>3</v>
      </c>
      <c r="I2637" s="15" t="n">
        <v>3</v>
      </c>
      <c r="J2637" s="15" t="n">
        <v>30</v>
      </c>
      <c r="K2637" s="15" t="n">
        <v>90</v>
      </c>
      <c r="L2637" s="15" t="n">
        <v>90</v>
      </c>
      <c r="M2637" s="15" t="n">
        <v>90</v>
      </c>
      <c r="N2637" s="15" t="n">
        <v>90</v>
      </c>
      <c r="O2637" s="14" t="n"/>
      <c r="P2637" s="14" t="n"/>
      <c r="Q2637" s="14" t="n"/>
      <c r="R2637" s="16" t="n">
        <v>0.3</v>
      </c>
      <c r="S2637" s="17" t="inlineStr">
        <is>
          <t>SÍ — vehículo</t>
        </is>
      </c>
      <c r="T2637" s="18" t="inlineStr">
        <is>
          <t>A · VEHÍCULO</t>
        </is>
      </c>
      <c r="U2637" s="18" t="inlineStr">
        <is>
          <t>NUEVA · VEHÍCULO</t>
        </is>
      </c>
      <c r="V2637" s="18" t="n"/>
      <c r="W2637" s="12" t="n"/>
      <c r="X2637" s="12" t="n"/>
      <c r="Y2637" s="128" t="inlineStr">
        <is>
          <t>TIPO / PRODUCTO = "Inversión" o "Fideicomiso de Inversión"</t>
        </is>
      </c>
    </row>
    <row r="2638" ht="15" customHeight="1">
      <c r="B2638" s="14" t="n"/>
      <c r="C2638" s="15" t="inlineStr">
        <is>
          <t>TIPO DE FIDEICOMISO</t>
        </is>
      </c>
      <c r="D2638" s="15" t="inlineStr">
        <is>
          <t>FF1</t>
        </is>
      </c>
      <c r="E2638" s="15" t="inlineStr">
        <is>
          <t>FIDUCIARIO ESTRUCTURAL</t>
        </is>
      </c>
      <c r="F2638" s="15" t="inlineStr">
        <is>
          <t>FIDEICOMISO FUENTE DE PAGO</t>
        </is>
      </c>
      <c r="G2638" s="15" t="n">
        <v>9004</v>
      </c>
      <c r="H2638" s="15" t="n">
        <v>3</v>
      </c>
      <c r="I2638" s="15" t="n">
        <v>3</v>
      </c>
      <c r="J2638" s="15" t="n">
        <v>30</v>
      </c>
      <c r="K2638" s="15" t="n">
        <v>90</v>
      </c>
      <c r="L2638" s="15" t="n">
        <v>90</v>
      </c>
      <c r="M2638" s="15" t="n">
        <v>90</v>
      </c>
      <c r="N2638" s="15" t="n">
        <v>90</v>
      </c>
      <c r="O2638" s="14" t="n"/>
      <c r="P2638" s="14" t="n"/>
      <c r="Q2638" s="14" t="n"/>
      <c r="R2638" s="16" t="n">
        <v>0.3</v>
      </c>
      <c r="S2638" s="17" t="inlineStr">
        <is>
          <t>SÍ — vehículo</t>
        </is>
      </c>
      <c r="T2638" s="18" t="inlineStr">
        <is>
          <t>A · VEHÍCULO</t>
        </is>
      </c>
      <c r="U2638" s="18" t="inlineStr">
        <is>
          <t>NUEVA · VEHÍCULO</t>
        </is>
      </c>
      <c r="V2638" s="18" t="n"/>
      <c r="W2638" s="12" t="n"/>
      <c r="X2638" s="12" t="n"/>
      <c r="Y2638" s="128" t="inlineStr">
        <is>
          <t>TIPO / PRODUCTO = "Fuente de Pago", "Fuente/Alterna de Pago" o "Fuente alterna de pago o Fuente de Pago"</t>
        </is>
      </c>
    </row>
    <row r="2639" ht="15" customHeight="1">
      <c r="B2639" s="14" t="n"/>
      <c r="C2639" s="15" t="inlineStr">
        <is>
          <t>TIPO DE FIDEICOMISO</t>
        </is>
      </c>
      <c r="D2639" s="15" t="inlineStr">
        <is>
          <t>FF1</t>
        </is>
      </c>
      <c r="E2639" s="15" t="inlineStr">
        <is>
          <t>FIDUCIARIO ESTRUCTURAL</t>
        </is>
      </c>
      <c r="F2639" s="88" t="inlineStr">
        <is>
          <t>FIDEICOMISO TESTAMENTARIO / PLANEACIÓN PATRIMONIAL</t>
        </is>
      </c>
      <c r="G2639" s="15" t="n">
        <v>9005</v>
      </c>
      <c r="H2639" s="15" t="n">
        <v>2</v>
      </c>
      <c r="I2639" s="15" t="n">
        <v>2</v>
      </c>
      <c r="J2639" s="15" t="n">
        <v>30</v>
      </c>
      <c r="K2639" s="15" t="n">
        <v>60</v>
      </c>
      <c r="L2639" s="15" t="n">
        <v>60</v>
      </c>
      <c r="M2639" s="15" t="n">
        <v>60</v>
      </c>
      <c r="N2639" s="15" t="n">
        <v>60</v>
      </c>
      <c r="O2639" s="14" t="n"/>
      <c r="P2639" s="14" t="n"/>
      <c r="Q2639" s="14" t="n"/>
      <c r="R2639" s="16" t="n">
        <v>0.3</v>
      </c>
      <c r="S2639" s="17" t="inlineStr">
        <is>
          <t>SÍ — vehículo</t>
        </is>
      </c>
      <c r="T2639" s="18" t="inlineStr">
        <is>
          <t>A · VEHÍCULO</t>
        </is>
      </c>
      <c r="U2639" s="18" t="inlineStr">
        <is>
          <t>NUEVA · VEHÍCULO</t>
        </is>
      </c>
      <c r="V2639" s="18" t="n"/>
      <c r="W2639" s="12" t="n"/>
      <c r="X2639" s="12" t="n"/>
      <c r="Y2639" s="128" t="inlineStr">
        <is>
          <t>SUBTIPO_EXPEDIENTE = "Patrimonial" o "Testamentario"</t>
        </is>
      </c>
    </row>
    <row r="2640" ht="15" customHeight="1">
      <c r="B2640" s="14" t="n"/>
      <c r="C2640" s="15" t="inlineStr">
        <is>
          <t>TIPO DE FIDEICOMISO</t>
        </is>
      </c>
      <c r="D2640" s="15" t="inlineStr">
        <is>
          <t>FF1</t>
        </is>
      </c>
      <c r="E2640" s="15" t="inlineStr">
        <is>
          <t>FIDUCIARIO ESTRUCTURAL</t>
        </is>
      </c>
      <c r="F2640" s="15" t="inlineStr">
        <is>
          <t>FIDEICOMISO TRASLATIVO DE DOMINIO</t>
        </is>
      </c>
      <c r="G2640" s="15" t="n">
        <v>9006</v>
      </c>
      <c r="H2640" s="15" t="n">
        <v>5</v>
      </c>
      <c r="I2640" s="15" t="n">
        <v>5</v>
      </c>
      <c r="J2640" s="15" t="n">
        <v>30</v>
      </c>
      <c r="K2640" s="15" t="n">
        <v>150</v>
      </c>
      <c r="L2640" s="15" t="n">
        <v>150</v>
      </c>
      <c r="M2640" s="15" t="n">
        <v>150</v>
      </c>
      <c r="N2640" s="15" t="n">
        <v>150</v>
      </c>
      <c r="O2640" s="14" t="n"/>
      <c r="P2640" s="14" t="n"/>
      <c r="Q2640" s="14" t="n"/>
      <c r="R2640" s="16" t="n">
        <v>0.3</v>
      </c>
      <c r="S2640" s="17" t="inlineStr">
        <is>
          <t>SÍ — vehículo</t>
        </is>
      </c>
      <c r="T2640" s="18" t="inlineStr">
        <is>
          <t>A · VEHÍCULO</t>
        </is>
      </c>
      <c r="U2640" s="18" t="inlineStr">
        <is>
          <t>NUEVA · VEHÍCULO</t>
        </is>
      </c>
      <c r="V2640" s="18" t="n"/>
      <c r="W2640" s="12" t="n"/>
      <c r="X2640" s="12" t="n"/>
      <c r="Y2640" s="128" t="inlineStr">
        <is>
          <t>TIPO = "Traslativo de dominio"</t>
        </is>
      </c>
    </row>
    <row r="2641" ht="15" customHeight="1">
      <c r="B2641" s="14" t="n"/>
      <c r="C2641" s="15" t="inlineStr">
        <is>
          <t>TIPO DE FIDEICOMISO</t>
        </is>
      </c>
      <c r="D2641" s="15" t="inlineStr">
        <is>
          <t>FF1</t>
        </is>
      </c>
      <c r="E2641" s="15" t="inlineStr">
        <is>
          <t>FIDUCIARIO ESTRUCTURAL</t>
        </is>
      </c>
      <c r="F2641" s="88" t="inlineStr">
        <is>
          <t>FIDEICOMISO RECIBIDO POR SUSTITUCIÓN FIDUCIARIA</t>
        </is>
      </c>
      <c r="G2641" s="15" t="n">
        <v>9007</v>
      </c>
      <c r="H2641" s="15" t="n">
        <v>4</v>
      </c>
      <c r="I2641" s="15" t="n">
        <v>4</v>
      </c>
      <c r="J2641" s="15" t="n">
        <v>30</v>
      </c>
      <c r="K2641" s="15" t="n">
        <v>120</v>
      </c>
      <c r="L2641" s="15" t="n">
        <v>120</v>
      </c>
      <c r="M2641" s="15" t="n">
        <v>120</v>
      </c>
      <c r="N2641" s="15" t="n">
        <v>120</v>
      </c>
      <c r="O2641" s="14" t="n"/>
      <c r="P2641" s="14" t="n"/>
      <c r="Q2641" s="14" t="n"/>
      <c r="R2641" s="16" t="n">
        <v>0.3</v>
      </c>
      <c r="S2641" s="17" t="inlineStr">
        <is>
          <t>SÍ — vehículo</t>
        </is>
      </c>
      <c r="T2641" s="18" t="inlineStr">
        <is>
          <t>A · VEHÍCULO</t>
        </is>
      </c>
      <c r="U2641" s="18" t="inlineStr">
        <is>
          <t>NUEVA · VEHÍCULO</t>
        </is>
      </c>
      <c r="V2641" s="18" t="n"/>
      <c r="W2641" s="12" t="n"/>
      <c r="X2641" s="12" t="n"/>
      <c r="Y2641" s="128" t="inlineStr">
        <is>
          <t>TIPO = "Sustitución fiduciaria"</t>
        </is>
      </c>
    </row>
    <row r="2642" ht="15" customHeight="1">
      <c r="B2642" s="14" t="n"/>
      <c r="C2642" s="15" t="inlineStr">
        <is>
          <t>TIPO DE FIDEICOMISO</t>
        </is>
      </c>
      <c r="D2642" s="15" t="inlineStr">
        <is>
          <t>FF1</t>
        </is>
      </c>
      <c r="E2642" s="15" t="inlineStr">
        <is>
          <t>FIDUCIARIO ESTRUCTURAL</t>
        </is>
      </c>
      <c r="F2642" s="15" t="inlineStr">
        <is>
          <t>FIDEICOMISO ZONA RESTRINGIDA</t>
        </is>
      </c>
      <c r="G2642" s="15" t="n">
        <v>9008</v>
      </c>
      <c r="H2642" s="15" t="n">
        <v>4</v>
      </c>
      <c r="I2642" s="15" t="n">
        <v>4</v>
      </c>
      <c r="J2642" s="15" t="n">
        <v>30</v>
      </c>
      <c r="K2642" s="15" t="n">
        <v>120</v>
      </c>
      <c r="L2642" s="15" t="n">
        <v>120</v>
      </c>
      <c r="M2642" s="15" t="n">
        <v>120</v>
      </c>
      <c r="N2642" s="15" t="n">
        <v>120</v>
      </c>
      <c r="O2642" s="14" t="n"/>
      <c r="P2642" s="14" t="n"/>
      <c r="Q2642" s="14" t="n"/>
      <c r="R2642" s="16" t="n">
        <v>0.3</v>
      </c>
      <c r="S2642" s="17" t="inlineStr">
        <is>
          <t>SÍ — vehículo</t>
        </is>
      </c>
      <c r="T2642" s="18" t="inlineStr">
        <is>
          <t>A · VEHÍCULO</t>
        </is>
      </c>
      <c r="U2642" s="18" t="inlineStr">
        <is>
          <t>NUEVA · VEHÍCULO</t>
        </is>
      </c>
      <c r="V2642" s="18" t="n"/>
      <c r="W2642" s="12" t="n"/>
      <c r="X2642" s="12" t="n"/>
      <c r="Y2642" s="128" t="inlineStr">
        <is>
          <t>TIPO = "Zona restringida"</t>
        </is>
      </c>
    </row>
    <row r="2643" ht="15" customHeight="1">
      <c r="B2643" s="14" t="n"/>
      <c r="C2643" s="101" t="inlineStr">
        <is>
          <t>PATRIMONIO EN ESPECIE</t>
        </is>
      </c>
      <c r="D2643" s="101" t="inlineStr">
        <is>
          <t>FF2</t>
        </is>
      </c>
      <c r="E2643" s="101" t="inlineStr">
        <is>
          <t>FIDUCIARIO ESTRUCTURAL</t>
        </is>
      </c>
      <c r="F2643" s="101" t="inlineStr">
        <is>
          <t>EFECTIVO (NUMERARIO) / VALORES BURSÁTILES COTIZADOS EN CUSTODIA</t>
        </is>
      </c>
      <c r="G2643" s="101" t="n">
        <v>9011</v>
      </c>
      <c r="H2643" s="101" t="n">
        <v>1</v>
      </c>
      <c r="I2643" s="101" t="n">
        <v>1</v>
      </c>
      <c r="J2643" s="101" t="n">
        <v>0</v>
      </c>
      <c r="K2643" s="101" t="n">
        <v>0</v>
      </c>
      <c r="L2643" s="101" t="n">
        <v>0</v>
      </c>
      <c r="M2643" s="101" t="n">
        <v>0</v>
      </c>
      <c r="N2643" s="101" t="n">
        <v>0</v>
      </c>
      <c r="O2643" s="102" t="n"/>
      <c r="P2643" s="102" t="n"/>
      <c r="Q2643" s="102" t="n"/>
      <c r="R2643" s="103" t="n">
        <v>0</v>
      </c>
      <c r="S2643" s="101" t="inlineStr">
        <is>
          <t>Segunda fase (v2.6): sin dato en las bases de BX+; peso 0</t>
        </is>
      </c>
      <c r="T2643" s="104" t="inlineStr">
        <is>
          <t>A · VEHÍCULO</t>
        </is>
      </c>
      <c r="U2643" s="104" t="inlineStr">
        <is>
          <t>NUEVA · VEHÍCULO</t>
        </is>
      </c>
      <c r="V2643" s="104" t="n"/>
      <c r="W2643" s="105" t="n"/>
      <c r="X2643" s="105" t="n"/>
    </row>
    <row r="2644" ht="15" customHeight="1">
      <c r="B2644" s="14" t="n"/>
      <c r="C2644" s="101" t="inlineStr">
        <is>
          <t>PATRIMONIO EN ESPECIE</t>
        </is>
      </c>
      <c r="D2644" s="101" t="inlineStr">
        <is>
          <t>FF2</t>
        </is>
      </c>
      <c r="E2644" s="101" t="inlineStr">
        <is>
          <t>FIDUCIARIO ESTRUCTURAL</t>
        </is>
      </c>
      <c r="F2644" s="101" t="inlineStr">
        <is>
          <t>INMUEBLES Y BIENES MUEBLES (VEHÍCULOS, ARTE, JOYAS, MAQUINARIA)</t>
        </is>
      </c>
      <c r="G2644" s="101" t="n">
        <v>9012</v>
      </c>
      <c r="H2644" s="101" t="n">
        <v>3</v>
      </c>
      <c r="I2644" s="101" t="n">
        <v>3</v>
      </c>
      <c r="J2644" s="101" t="n">
        <v>0</v>
      </c>
      <c r="K2644" s="101" t="n">
        <v>0</v>
      </c>
      <c r="L2644" s="101" t="n">
        <v>0</v>
      </c>
      <c r="M2644" s="101" t="n">
        <v>0</v>
      </c>
      <c r="N2644" s="101" t="n">
        <v>0</v>
      </c>
      <c r="O2644" s="102" t="n"/>
      <c r="P2644" s="102" t="n"/>
      <c r="Q2644" s="102" t="n"/>
      <c r="R2644" s="103" t="n">
        <v>0</v>
      </c>
      <c r="S2644" s="101" t="inlineStr">
        <is>
          <t>Segunda fase (v2.6): sin dato en las bases de BX+; peso 0</t>
        </is>
      </c>
      <c r="T2644" s="104" t="inlineStr">
        <is>
          <t>A · VEHÍCULO</t>
        </is>
      </c>
      <c r="U2644" s="104" t="inlineStr">
        <is>
          <t>NUEVA · VEHÍCULO</t>
        </is>
      </c>
      <c r="V2644" s="104" t="n"/>
      <c r="W2644" s="105" t="n"/>
      <c r="X2644" s="105" t="n"/>
    </row>
    <row r="2645" ht="15" customHeight="1">
      <c r="B2645" s="14" t="n"/>
      <c r="C2645" s="101" t="inlineStr">
        <is>
          <t>PATRIMONIO EN ESPECIE</t>
        </is>
      </c>
      <c r="D2645" s="101" t="inlineStr">
        <is>
          <t>FF2</t>
        </is>
      </c>
      <c r="E2645" s="101" t="inlineStr">
        <is>
          <t>FIDUCIARIO ESTRUCTURAL</t>
        </is>
      </c>
      <c r="F2645" s="101" t="inlineStr">
        <is>
          <t>ACCIONES, PARTES SOCIALES Y OTROS TÍTULOS NO COTIZADOS</t>
        </is>
      </c>
      <c r="G2645" s="101" t="n">
        <v>9013</v>
      </c>
      <c r="H2645" s="101" t="n">
        <v>4</v>
      </c>
      <c r="I2645" s="101" t="n">
        <v>4</v>
      </c>
      <c r="J2645" s="101" t="n">
        <v>0</v>
      </c>
      <c r="K2645" s="101" t="n">
        <v>0</v>
      </c>
      <c r="L2645" s="101" t="n">
        <v>0</v>
      </c>
      <c r="M2645" s="101" t="n">
        <v>0</v>
      </c>
      <c r="N2645" s="101" t="n">
        <v>0</v>
      </c>
      <c r="O2645" s="102" t="n"/>
      <c r="P2645" s="102" t="n"/>
      <c r="Q2645" s="102" t="n"/>
      <c r="R2645" s="103" t="n">
        <v>0</v>
      </c>
      <c r="S2645" s="101" t="inlineStr">
        <is>
          <t>Segunda fase (v2.6): sin dato en las bases de BX+; peso 0</t>
        </is>
      </c>
      <c r="T2645" s="104" t="inlineStr">
        <is>
          <t>A · VEHÍCULO</t>
        </is>
      </c>
      <c r="U2645" s="104" t="inlineStr">
        <is>
          <t>NUEVA · VEHÍCULO</t>
        </is>
      </c>
      <c r="V2645" s="104" t="n"/>
      <c r="W2645" s="105" t="n"/>
      <c r="X2645" s="105" t="n"/>
    </row>
    <row r="2646" ht="15" customHeight="1">
      <c r="B2646" s="14" t="n"/>
      <c r="C2646" s="101" t="inlineStr">
        <is>
          <t>PATRIMONIO EN ESPECIE</t>
        </is>
      </c>
      <c r="D2646" s="101" t="inlineStr">
        <is>
          <t>FF2</t>
        </is>
      </c>
      <c r="E2646" s="101" t="inlineStr">
        <is>
          <t>FIDUCIARIO ESTRUCTURAL</t>
        </is>
      </c>
      <c r="F2646" s="101" t="inlineStr">
        <is>
          <t>DERECHOS (DE COBRO, FIDEICOMISARIOS, ETC.) / OTROS BIENES</t>
        </is>
      </c>
      <c r="G2646" s="101" t="n">
        <v>9014</v>
      </c>
      <c r="H2646" s="101" t="n">
        <v>4</v>
      </c>
      <c r="I2646" s="101" t="n">
        <v>4</v>
      </c>
      <c r="J2646" s="101" t="n">
        <v>0</v>
      </c>
      <c r="K2646" s="101" t="n">
        <v>0</v>
      </c>
      <c r="L2646" s="101" t="n">
        <v>0</v>
      </c>
      <c r="M2646" s="101" t="n">
        <v>0</v>
      </c>
      <c r="N2646" s="101" t="n">
        <v>0</v>
      </c>
      <c r="O2646" s="102" t="n"/>
      <c r="P2646" s="102" t="n"/>
      <c r="Q2646" s="102" t="n"/>
      <c r="R2646" s="103" t="n">
        <v>0</v>
      </c>
      <c r="S2646" s="101" t="inlineStr">
        <is>
          <t>Segunda fase (v2.6): sin dato en las bases de BX+; peso 0</t>
        </is>
      </c>
      <c r="T2646" s="104" t="inlineStr">
        <is>
          <t>A · VEHÍCULO</t>
        </is>
      </c>
      <c r="U2646" s="104" t="inlineStr">
        <is>
          <t>NUEVA · VEHÍCULO</t>
        </is>
      </c>
      <c r="V2646" s="104" t="n"/>
      <c r="W2646" s="105" t="n"/>
      <c r="X2646" s="105" t="n"/>
    </row>
    <row r="2647" ht="15" customHeight="1">
      <c r="B2647" s="14" t="n"/>
      <c r="C2647" s="101" t="inlineStr">
        <is>
          <t>PATRIMONIO EN ESPECIE</t>
        </is>
      </c>
      <c r="D2647" s="101" t="inlineStr">
        <is>
          <t>FF2</t>
        </is>
      </c>
      <c r="E2647" s="101" t="inlineStr">
        <is>
          <t>FIDUCIARIO ESTRUCTURAL</t>
        </is>
      </c>
      <c r="F2647" s="101" t="inlineStr">
        <is>
          <t>MIXTO (EFECTIVO EN NUMERARIO + ESPECIE)</t>
        </is>
      </c>
      <c r="G2647" s="101" t="n">
        <v>9015</v>
      </c>
      <c r="H2647" s="101" t="n">
        <v>3</v>
      </c>
      <c r="I2647" s="101" t="n">
        <v>3</v>
      </c>
      <c r="J2647" s="101" t="n">
        <v>0</v>
      </c>
      <c r="K2647" s="101" t="n">
        <v>0</v>
      </c>
      <c r="L2647" s="101" t="n">
        <v>0</v>
      </c>
      <c r="M2647" s="101" t="n">
        <v>0</v>
      </c>
      <c r="N2647" s="101" t="n">
        <v>0</v>
      </c>
      <c r="O2647" s="102" t="n"/>
      <c r="P2647" s="102" t="n"/>
      <c r="Q2647" s="102" t="n"/>
      <c r="R2647" s="103" t="n">
        <v>0</v>
      </c>
      <c r="S2647" s="101" t="inlineStr">
        <is>
          <t>Segunda fase (v2.6): sin dato en las bases de BX+; peso 0</t>
        </is>
      </c>
      <c r="T2647" s="104" t="inlineStr">
        <is>
          <t>A · VEHÍCULO</t>
        </is>
      </c>
      <c r="U2647" s="104" t="inlineStr">
        <is>
          <t>NUEVA · VEHÍCULO</t>
        </is>
      </c>
      <c r="V2647" s="104" t="n"/>
      <c r="W2647" s="105" t="n"/>
      <c r="X2647" s="105" t="n"/>
    </row>
    <row r="2648" ht="15" customHeight="1">
      <c r="B2648" s="14" t="n"/>
      <c r="C2648" s="101" t="inlineStr">
        <is>
          <t>VALOR DEL PATRIMONIO</t>
        </is>
      </c>
      <c r="D2648" s="101" t="inlineStr">
        <is>
          <t>FF3</t>
        </is>
      </c>
      <c r="E2648" s="101" t="inlineStr">
        <is>
          <t>FIDUCIARIO ESTRUCTURAL</t>
        </is>
      </c>
      <c r="F2648" s="101" t="inlineStr">
        <is>
          <t>HASTA 5 MDP</t>
        </is>
      </c>
      <c r="G2648" s="101" t="n">
        <v>9021</v>
      </c>
      <c r="H2648" s="101" t="n">
        <v>1</v>
      </c>
      <c r="I2648" s="101" t="n">
        <v>1</v>
      </c>
      <c r="J2648" s="101" t="n">
        <v>0</v>
      </c>
      <c r="K2648" s="101" t="n">
        <v>0</v>
      </c>
      <c r="L2648" s="101" t="n">
        <v>0</v>
      </c>
      <c r="M2648" s="101" t="n">
        <v>0</v>
      </c>
      <c r="N2648" s="101" t="n">
        <v>0</v>
      </c>
      <c r="O2648" s="102" t="n"/>
      <c r="P2648" s="102" t="n"/>
      <c r="Q2648" s="102" t="n"/>
      <c r="R2648" s="103" t="n">
        <v>0</v>
      </c>
      <c r="S2648" s="101" t="inlineStr">
        <is>
          <t>Segunda fase (v2.6): sin dato en las bases de BX+; peso 0</t>
        </is>
      </c>
      <c r="T2648" s="104" t="inlineStr">
        <is>
          <t>A · VEHÍCULO</t>
        </is>
      </c>
      <c r="U2648" s="104" t="inlineStr">
        <is>
          <t>NUEVA · VEHÍCULO</t>
        </is>
      </c>
      <c r="V2648" s="104" t="n"/>
      <c r="W2648" s="105" t="n"/>
      <c r="X2648" s="105" t="n"/>
    </row>
    <row r="2649" ht="15" customHeight="1">
      <c r="B2649" s="14" t="n"/>
      <c r="C2649" s="101" t="inlineStr">
        <is>
          <t>VALOR DEL PATRIMONIO</t>
        </is>
      </c>
      <c r="D2649" s="101" t="inlineStr">
        <is>
          <t>FF3</t>
        </is>
      </c>
      <c r="E2649" s="101" t="inlineStr">
        <is>
          <t>FIDUCIARIO ESTRUCTURAL</t>
        </is>
      </c>
      <c r="F2649" s="101" t="inlineStr">
        <is>
          <t>DE 5 A 20 MDP</t>
        </is>
      </c>
      <c r="G2649" s="101" t="n">
        <v>9022</v>
      </c>
      <c r="H2649" s="101" t="n">
        <v>2</v>
      </c>
      <c r="I2649" s="101" t="n">
        <v>2</v>
      </c>
      <c r="J2649" s="101" t="n">
        <v>0</v>
      </c>
      <c r="K2649" s="101" t="n">
        <v>0</v>
      </c>
      <c r="L2649" s="101" t="n">
        <v>0</v>
      </c>
      <c r="M2649" s="101" t="n">
        <v>0</v>
      </c>
      <c r="N2649" s="101" t="n">
        <v>0</v>
      </c>
      <c r="O2649" s="102" t="n"/>
      <c r="P2649" s="102" t="n"/>
      <c r="Q2649" s="102" t="n"/>
      <c r="R2649" s="103" t="n">
        <v>0</v>
      </c>
      <c r="S2649" s="101" t="inlineStr">
        <is>
          <t>Segunda fase (v2.6): sin dato en las bases de BX+; peso 0</t>
        </is>
      </c>
      <c r="T2649" s="104" t="inlineStr">
        <is>
          <t>A · VEHÍCULO</t>
        </is>
      </c>
      <c r="U2649" s="104" t="inlineStr">
        <is>
          <t>NUEVA · VEHÍCULO</t>
        </is>
      </c>
      <c r="V2649" s="104" t="n"/>
      <c r="W2649" s="105" t="n"/>
      <c r="X2649" s="105" t="n"/>
    </row>
    <row r="2650" ht="15" customHeight="1">
      <c r="B2650" s="14" t="n"/>
      <c r="C2650" s="101" t="inlineStr">
        <is>
          <t>VALOR DEL PATRIMONIO</t>
        </is>
      </c>
      <c r="D2650" s="101" t="inlineStr">
        <is>
          <t>FF3</t>
        </is>
      </c>
      <c r="E2650" s="101" t="inlineStr">
        <is>
          <t>FIDUCIARIO ESTRUCTURAL</t>
        </is>
      </c>
      <c r="F2650" s="101" t="inlineStr">
        <is>
          <t>DE 20 A 100 MDP</t>
        </is>
      </c>
      <c r="G2650" s="101" t="n">
        <v>9023</v>
      </c>
      <c r="H2650" s="101" t="n">
        <v>3</v>
      </c>
      <c r="I2650" s="101" t="n">
        <v>3</v>
      </c>
      <c r="J2650" s="101" t="n">
        <v>0</v>
      </c>
      <c r="K2650" s="101" t="n">
        <v>0</v>
      </c>
      <c r="L2650" s="101" t="n">
        <v>0</v>
      </c>
      <c r="M2650" s="101" t="n">
        <v>0</v>
      </c>
      <c r="N2650" s="101" t="n">
        <v>0</v>
      </c>
      <c r="O2650" s="102" t="n"/>
      <c r="P2650" s="102" t="n"/>
      <c r="Q2650" s="102" t="n"/>
      <c r="R2650" s="103" t="n">
        <v>0</v>
      </c>
      <c r="S2650" s="101" t="inlineStr">
        <is>
          <t>Segunda fase (v2.6): sin dato en las bases de BX+; peso 0</t>
        </is>
      </c>
      <c r="T2650" s="104" t="inlineStr">
        <is>
          <t>A · VEHÍCULO</t>
        </is>
      </c>
      <c r="U2650" s="104" t="inlineStr">
        <is>
          <t>NUEVA · VEHÍCULO</t>
        </is>
      </c>
      <c r="V2650" s="104" t="n"/>
      <c r="W2650" s="105" t="n"/>
      <c r="X2650" s="105" t="n"/>
    </row>
    <row r="2651" ht="15" customHeight="1">
      <c r="B2651" s="14" t="n"/>
      <c r="C2651" s="101" t="inlineStr">
        <is>
          <t>VALOR DEL PATRIMONIO</t>
        </is>
      </c>
      <c r="D2651" s="101" t="inlineStr">
        <is>
          <t>FF3</t>
        </is>
      </c>
      <c r="E2651" s="101" t="inlineStr">
        <is>
          <t>FIDUCIARIO ESTRUCTURAL</t>
        </is>
      </c>
      <c r="F2651" s="101" t="inlineStr">
        <is>
          <t>DE 100 A 500 MDP</t>
        </is>
      </c>
      <c r="G2651" s="101" t="n">
        <v>9024</v>
      </c>
      <c r="H2651" s="101" t="n">
        <v>4</v>
      </c>
      <c r="I2651" s="101" t="n">
        <v>4</v>
      </c>
      <c r="J2651" s="101" t="n">
        <v>0</v>
      </c>
      <c r="K2651" s="101" t="n">
        <v>0</v>
      </c>
      <c r="L2651" s="101" t="n">
        <v>0</v>
      </c>
      <c r="M2651" s="101" t="n">
        <v>0</v>
      </c>
      <c r="N2651" s="101" t="n">
        <v>0</v>
      </c>
      <c r="O2651" s="102" t="n"/>
      <c r="P2651" s="102" t="n"/>
      <c r="Q2651" s="102" t="n"/>
      <c r="R2651" s="103" t="n">
        <v>0</v>
      </c>
      <c r="S2651" s="101" t="inlineStr">
        <is>
          <t>Segunda fase (v2.6): sin dato en las bases de BX+; peso 0</t>
        </is>
      </c>
      <c r="T2651" s="104" t="inlineStr">
        <is>
          <t>A · VEHÍCULO</t>
        </is>
      </c>
      <c r="U2651" s="104" t="inlineStr">
        <is>
          <t>NUEVA · VEHÍCULO</t>
        </is>
      </c>
      <c r="V2651" s="104" t="n"/>
      <c r="W2651" s="105" t="n"/>
      <c r="X2651" s="105" t="n"/>
    </row>
    <row r="2652" ht="15" customHeight="1">
      <c r="B2652" s="14" t="n"/>
      <c r="C2652" s="101" t="inlineStr">
        <is>
          <t>VALOR DEL PATRIMONIO</t>
        </is>
      </c>
      <c r="D2652" s="101" t="inlineStr">
        <is>
          <t>FF3</t>
        </is>
      </c>
      <c r="E2652" s="101" t="inlineStr">
        <is>
          <t>FIDUCIARIO ESTRUCTURAL</t>
        </is>
      </c>
      <c r="F2652" s="101" t="inlineStr">
        <is>
          <t>MÁS DE 500 MDP</t>
        </is>
      </c>
      <c r="G2652" s="101" t="n">
        <v>9025</v>
      </c>
      <c r="H2652" s="101" t="n">
        <v>5</v>
      </c>
      <c r="I2652" s="101" t="n">
        <v>5</v>
      </c>
      <c r="J2652" s="101" t="n">
        <v>0</v>
      </c>
      <c r="K2652" s="101" t="n">
        <v>0</v>
      </c>
      <c r="L2652" s="101" t="n">
        <v>0</v>
      </c>
      <c r="M2652" s="101" t="n">
        <v>0</v>
      </c>
      <c r="N2652" s="101" t="n">
        <v>0</v>
      </c>
      <c r="O2652" s="102" t="n"/>
      <c r="P2652" s="102" t="n"/>
      <c r="Q2652" s="102" t="n"/>
      <c r="R2652" s="103" t="n">
        <v>0</v>
      </c>
      <c r="S2652" s="101" t="inlineStr">
        <is>
          <t>Segunda fase (v2.6): sin dato en las bases de BX+; peso 0</t>
        </is>
      </c>
      <c r="T2652" s="104" t="inlineStr">
        <is>
          <t>A · VEHÍCULO</t>
        </is>
      </c>
      <c r="U2652" s="104" t="inlineStr">
        <is>
          <t>NUEVA · VEHÍCULO</t>
        </is>
      </c>
      <c r="V2652" s="104" t="n"/>
      <c r="W2652" s="105" t="n"/>
      <c r="X2652" s="105" t="n"/>
    </row>
    <row r="2653" ht="15" customHeight="1">
      <c r="B2653" s="14" t="n"/>
      <c r="C2653" s="15" t="inlineStr">
        <is>
          <t>ANTIGÜEDAD DEL FIDEICOMISO</t>
        </is>
      </c>
      <c r="D2653" s="15" t="inlineStr">
        <is>
          <t>FF4</t>
        </is>
      </c>
      <c r="E2653" s="15" t="inlineStr">
        <is>
          <t>FIDUCIARIO ESTRUCTURAL</t>
        </is>
      </c>
      <c r="F2653" s="15" t="inlineStr">
        <is>
          <t>MENOS DE 1 AÑO</t>
        </is>
      </c>
      <c r="G2653" s="15" t="n">
        <v>9031</v>
      </c>
      <c r="H2653" s="15" t="n">
        <v>5</v>
      </c>
      <c r="I2653" s="15" t="n">
        <v>5</v>
      </c>
      <c r="J2653" s="15" t="n">
        <v>13</v>
      </c>
      <c r="K2653" s="15" t="n">
        <v>65</v>
      </c>
      <c r="L2653" s="15" t="n">
        <v>65</v>
      </c>
      <c r="M2653" s="15" t="n">
        <v>65</v>
      </c>
      <c r="N2653" s="15" t="n">
        <v>65</v>
      </c>
      <c r="O2653" s="14" t="n"/>
      <c r="P2653" s="14" t="n"/>
      <c r="Q2653" s="14" t="n"/>
      <c r="R2653" s="16" t="n">
        <v>0.13</v>
      </c>
      <c r="S2653" s="17" t="inlineStr">
        <is>
          <t>SÍ — vehículo</t>
        </is>
      </c>
      <c r="T2653" s="18" t="inlineStr">
        <is>
          <t>A · VEHÍCULO</t>
        </is>
      </c>
      <c r="U2653" s="18" t="inlineStr">
        <is>
          <t>NUEVA · VEHÍCULO</t>
        </is>
      </c>
      <c r="V2653" s="18" t="n"/>
      <c r="W2653" s="12" t="n"/>
      <c r="X2653" s="12" t="n"/>
      <c r="Y2653" s="128" t="inlineStr">
        <is>
          <t>FECHA_CONSTITUCION (dd/mm/aaaa o aaaammdd): menos de 1 año al corte</t>
        </is>
      </c>
    </row>
    <row r="2654" ht="15" customHeight="1">
      <c r="B2654" s="14" t="n"/>
      <c r="C2654" s="15" t="inlineStr">
        <is>
          <t>ANTIGÜEDAD DEL FIDEICOMISO</t>
        </is>
      </c>
      <c r="D2654" s="15" t="inlineStr">
        <is>
          <t>FF4</t>
        </is>
      </c>
      <c r="E2654" s="15" t="inlineStr">
        <is>
          <t>FIDUCIARIO ESTRUCTURAL</t>
        </is>
      </c>
      <c r="F2654" s="15" t="inlineStr">
        <is>
          <t>1 A 3 AÑOS</t>
        </is>
      </c>
      <c r="G2654" s="15" t="n">
        <v>9032</v>
      </c>
      <c r="H2654" s="15" t="n">
        <v>4</v>
      </c>
      <c r="I2654" s="15" t="n">
        <v>4</v>
      </c>
      <c r="J2654" s="15" t="n">
        <v>13</v>
      </c>
      <c r="K2654" s="15" t="n">
        <v>52</v>
      </c>
      <c r="L2654" s="15" t="n">
        <v>52</v>
      </c>
      <c r="M2654" s="15" t="n">
        <v>52</v>
      </c>
      <c r="N2654" s="15" t="n">
        <v>52</v>
      </c>
      <c r="O2654" s="14" t="n"/>
      <c r="P2654" s="14" t="n"/>
      <c r="Q2654" s="14" t="n"/>
      <c r="R2654" s="16" t="n">
        <v>0.13</v>
      </c>
      <c r="S2654" s="17" t="inlineStr">
        <is>
          <t>SÍ — vehículo</t>
        </is>
      </c>
      <c r="T2654" s="18" t="inlineStr">
        <is>
          <t>A · VEHÍCULO</t>
        </is>
      </c>
      <c r="U2654" s="18" t="inlineStr">
        <is>
          <t>NUEVA · VEHÍCULO</t>
        </is>
      </c>
      <c r="V2654" s="18" t="n"/>
      <c r="W2654" s="12" t="n"/>
      <c r="X2654" s="12" t="n"/>
      <c r="Y2654" s="128" t="inlineStr">
        <is>
          <t>FECHA_CONSTITUCION: de 1 a menos de 3 años</t>
        </is>
      </c>
    </row>
    <row r="2655" ht="15" customHeight="1">
      <c r="B2655" s="14" t="n"/>
      <c r="C2655" s="15" t="inlineStr">
        <is>
          <t>ANTIGÜEDAD DEL FIDEICOMISO</t>
        </is>
      </c>
      <c r="D2655" s="15" t="inlineStr">
        <is>
          <t>FF4</t>
        </is>
      </c>
      <c r="E2655" s="15" t="inlineStr">
        <is>
          <t>FIDUCIARIO ESTRUCTURAL</t>
        </is>
      </c>
      <c r="F2655" s="15" t="inlineStr">
        <is>
          <t>3 A 10 AÑOS</t>
        </is>
      </c>
      <c r="G2655" s="15" t="n">
        <v>9033</v>
      </c>
      <c r="H2655" s="15" t="n">
        <v>2</v>
      </c>
      <c r="I2655" s="15" t="n">
        <v>2</v>
      </c>
      <c r="J2655" s="15" t="n">
        <v>13</v>
      </c>
      <c r="K2655" s="15" t="n">
        <v>26</v>
      </c>
      <c r="L2655" s="15" t="n">
        <v>26</v>
      </c>
      <c r="M2655" s="15" t="n">
        <v>26</v>
      </c>
      <c r="N2655" s="15" t="n">
        <v>26</v>
      </c>
      <c r="O2655" s="14" t="n"/>
      <c r="P2655" s="14" t="n"/>
      <c r="Q2655" s="14" t="n"/>
      <c r="R2655" s="16" t="n">
        <v>0.13</v>
      </c>
      <c r="S2655" s="17" t="inlineStr">
        <is>
          <t>SÍ — vehículo</t>
        </is>
      </c>
      <c r="T2655" s="18" t="inlineStr">
        <is>
          <t>A · VEHÍCULO</t>
        </is>
      </c>
      <c r="U2655" s="18" t="inlineStr">
        <is>
          <t>NUEVA · VEHÍCULO</t>
        </is>
      </c>
      <c r="V2655" s="18" t="n"/>
      <c r="W2655" s="12" t="n"/>
      <c r="X2655" s="12" t="n"/>
      <c r="Y2655" s="128" t="inlineStr">
        <is>
          <t>FECHA_CONSTITUCION: de 3 a 10 años</t>
        </is>
      </c>
    </row>
    <row r="2656" ht="15" customHeight="1">
      <c r="B2656" s="14" t="n"/>
      <c r="C2656" s="15" t="inlineStr">
        <is>
          <t>ANTIGÜEDAD DEL FIDEICOMISO</t>
        </is>
      </c>
      <c r="D2656" s="15" t="inlineStr">
        <is>
          <t>FF4</t>
        </is>
      </c>
      <c r="E2656" s="15" t="inlineStr">
        <is>
          <t>FIDUCIARIO ESTRUCTURAL</t>
        </is>
      </c>
      <c r="F2656" s="15" t="inlineStr">
        <is>
          <t>MÁS DE 10 AÑOS</t>
        </is>
      </c>
      <c r="G2656" s="15" t="n">
        <v>9034</v>
      </c>
      <c r="H2656" s="15" t="n">
        <v>1</v>
      </c>
      <c r="I2656" s="15" t="n">
        <v>1</v>
      </c>
      <c r="J2656" s="15" t="n">
        <v>13</v>
      </c>
      <c r="K2656" s="15" t="n">
        <v>13</v>
      </c>
      <c r="L2656" s="15" t="n">
        <v>13</v>
      </c>
      <c r="M2656" s="15" t="n">
        <v>13</v>
      </c>
      <c r="N2656" s="15" t="n">
        <v>13</v>
      </c>
      <c r="O2656" s="14" t="n"/>
      <c r="P2656" s="14" t="n"/>
      <c r="Q2656" s="14" t="n"/>
      <c r="R2656" s="16" t="n">
        <v>0.13</v>
      </c>
      <c r="S2656" s="17" t="inlineStr">
        <is>
          <t>SÍ — vehículo</t>
        </is>
      </c>
      <c r="T2656" s="18" t="inlineStr">
        <is>
          <t>A · VEHÍCULO</t>
        </is>
      </c>
      <c r="U2656" s="18" t="inlineStr">
        <is>
          <t>NUEVA · VEHÍCULO</t>
        </is>
      </c>
      <c r="V2656" s="18" t="n"/>
      <c r="W2656" s="12" t="n"/>
      <c r="X2656" s="12" t="n"/>
      <c r="Y2656" s="128" t="inlineStr">
        <is>
          <t>FECHA_CONSTITUCION: más de 10 años</t>
        </is>
      </c>
    </row>
    <row r="2657" ht="15" customHeight="1">
      <c r="B2657" s="14" t="n"/>
      <c r="C2657" s="101" t="inlineStr">
        <is>
          <t>NÚMERO DE PARTES</t>
        </is>
      </c>
      <c r="D2657" s="101" t="inlineStr">
        <is>
          <t>FF5</t>
        </is>
      </c>
      <c r="E2657" s="101" t="inlineStr">
        <is>
          <t>FIDUCIARIO ESTRUCTURAL</t>
        </is>
      </c>
      <c r="F2657" s="101" t="inlineStr">
        <is>
          <t>2 A 3 PARTES</t>
        </is>
      </c>
      <c r="G2657" s="101" t="n">
        <v>9041</v>
      </c>
      <c r="H2657" s="101" t="n">
        <v>1</v>
      </c>
      <c r="I2657" s="101" t="n">
        <v>1</v>
      </c>
      <c r="J2657" s="101" t="n">
        <v>0</v>
      </c>
      <c r="K2657" s="101" t="n">
        <v>0</v>
      </c>
      <c r="L2657" s="101" t="n">
        <v>0</v>
      </c>
      <c r="M2657" s="101" t="n">
        <v>0</v>
      </c>
      <c r="N2657" s="101" t="n">
        <v>0</v>
      </c>
      <c r="O2657" s="102" t="n"/>
      <c r="P2657" s="102" t="n"/>
      <c r="Q2657" s="102" t="n"/>
      <c r="R2657" s="103" t="n">
        <v>0</v>
      </c>
      <c r="S2657" s="101" t="inlineStr">
        <is>
          <t>Segunda fase (v2.6): sin dato en las bases de BX+; peso 0</t>
        </is>
      </c>
      <c r="T2657" s="104" t="inlineStr">
        <is>
          <t>A · VEHÍCULO</t>
        </is>
      </c>
      <c r="U2657" s="104" t="inlineStr">
        <is>
          <t>NUEVA · VEHÍCULO</t>
        </is>
      </c>
      <c r="V2657" s="104" t="n"/>
      <c r="W2657" s="105" t="n"/>
      <c r="X2657" s="105" t="n"/>
    </row>
    <row r="2658" ht="15" customHeight="1">
      <c r="B2658" s="14" t="n"/>
      <c r="C2658" s="101" t="inlineStr">
        <is>
          <t>NÚMERO DE PARTES</t>
        </is>
      </c>
      <c r="D2658" s="101" t="inlineStr">
        <is>
          <t>FF5</t>
        </is>
      </c>
      <c r="E2658" s="101" t="inlineStr">
        <is>
          <t>FIDUCIARIO ESTRUCTURAL</t>
        </is>
      </c>
      <c r="F2658" s="101" t="inlineStr">
        <is>
          <t>4 A 6 PARTES</t>
        </is>
      </c>
      <c r="G2658" s="101" t="n">
        <v>9042</v>
      </c>
      <c r="H2658" s="101" t="n">
        <v>2</v>
      </c>
      <c r="I2658" s="101" t="n">
        <v>2</v>
      </c>
      <c r="J2658" s="101" t="n">
        <v>0</v>
      </c>
      <c r="K2658" s="101" t="n">
        <v>0</v>
      </c>
      <c r="L2658" s="101" t="n">
        <v>0</v>
      </c>
      <c r="M2658" s="101" t="n">
        <v>0</v>
      </c>
      <c r="N2658" s="101" t="n">
        <v>0</v>
      </c>
      <c r="O2658" s="102" t="n"/>
      <c r="P2658" s="102" t="n"/>
      <c r="Q2658" s="102" t="n"/>
      <c r="R2658" s="103" t="n">
        <v>0</v>
      </c>
      <c r="S2658" s="101" t="inlineStr">
        <is>
          <t>Segunda fase (v2.6): sin dato en las bases de BX+; peso 0</t>
        </is>
      </c>
      <c r="T2658" s="104" t="inlineStr">
        <is>
          <t>A · VEHÍCULO</t>
        </is>
      </c>
      <c r="U2658" s="104" t="inlineStr">
        <is>
          <t>NUEVA · VEHÍCULO</t>
        </is>
      </c>
      <c r="V2658" s="104" t="n"/>
      <c r="W2658" s="105" t="n"/>
      <c r="X2658" s="105" t="n"/>
    </row>
    <row r="2659" ht="15" customHeight="1">
      <c r="B2659" s="14" t="n"/>
      <c r="C2659" s="101" t="inlineStr">
        <is>
          <t>NÚMERO DE PARTES</t>
        </is>
      </c>
      <c r="D2659" s="101" t="inlineStr">
        <is>
          <t>FF5</t>
        </is>
      </c>
      <c r="E2659" s="101" t="inlineStr">
        <is>
          <t>FIDUCIARIO ESTRUCTURAL</t>
        </is>
      </c>
      <c r="F2659" s="101" t="inlineStr">
        <is>
          <t>7 A 10 PARTES</t>
        </is>
      </c>
      <c r="G2659" s="101" t="n">
        <v>9043</v>
      </c>
      <c r="H2659" s="101" t="n">
        <v>3</v>
      </c>
      <c r="I2659" s="101" t="n">
        <v>3</v>
      </c>
      <c r="J2659" s="101" t="n">
        <v>0</v>
      </c>
      <c r="K2659" s="101" t="n">
        <v>0</v>
      </c>
      <c r="L2659" s="101" t="n">
        <v>0</v>
      </c>
      <c r="M2659" s="101" t="n">
        <v>0</v>
      </c>
      <c r="N2659" s="101" t="n">
        <v>0</v>
      </c>
      <c r="O2659" s="102" t="n"/>
      <c r="P2659" s="102" t="n"/>
      <c r="Q2659" s="102" t="n"/>
      <c r="R2659" s="103" t="n">
        <v>0</v>
      </c>
      <c r="S2659" s="101" t="inlineStr">
        <is>
          <t>Segunda fase (v2.6): sin dato en las bases de BX+; peso 0</t>
        </is>
      </c>
      <c r="T2659" s="104" t="inlineStr">
        <is>
          <t>A · VEHÍCULO</t>
        </is>
      </c>
      <c r="U2659" s="104" t="inlineStr">
        <is>
          <t>NUEVA · VEHÍCULO</t>
        </is>
      </c>
      <c r="V2659" s="104" t="n"/>
      <c r="W2659" s="105" t="n"/>
      <c r="X2659" s="105" t="n"/>
    </row>
    <row r="2660" ht="15" customHeight="1">
      <c r="B2660" s="14" t="n"/>
      <c r="C2660" s="101" t="inlineStr">
        <is>
          <t>NÚMERO DE PARTES</t>
        </is>
      </c>
      <c r="D2660" s="101" t="inlineStr">
        <is>
          <t>FF5</t>
        </is>
      </c>
      <c r="E2660" s="101" t="inlineStr">
        <is>
          <t>FIDUCIARIO ESTRUCTURAL</t>
        </is>
      </c>
      <c r="F2660" s="101" t="inlineStr">
        <is>
          <t>MÁS DE 10 PARTES O ESTRUCTURA EN CASCADA</t>
        </is>
      </c>
      <c r="G2660" s="101" t="n">
        <v>9044</v>
      </c>
      <c r="H2660" s="101" t="n">
        <v>5</v>
      </c>
      <c r="I2660" s="101" t="n">
        <v>5</v>
      </c>
      <c r="J2660" s="101" t="n">
        <v>0</v>
      </c>
      <c r="K2660" s="101" t="n">
        <v>0</v>
      </c>
      <c r="L2660" s="101" t="n">
        <v>0</v>
      </c>
      <c r="M2660" s="101" t="n">
        <v>0</v>
      </c>
      <c r="N2660" s="101" t="n">
        <v>0</v>
      </c>
      <c r="O2660" s="102" t="n"/>
      <c r="P2660" s="102" t="n"/>
      <c r="Q2660" s="102" t="n"/>
      <c r="R2660" s="103" t="n">
        <v>0</v>
      </c>
      <c r="S2660" s="101" t="inlineStr">
        <is>
          <t>Segunda fase (v2.6): sin dato en las bases de BX+; peso 0</t>
        </is>
      </c>
      <c r="T2660" s="104" t="inlineStr">
        <is>
          <t>A · VEHÍCULO</t>
        </is>
      </c>
      <c r="U2660" s="104" t="inlineStr">
        <is>
          <t>NUEVA · VEHÍCULO</t>
        </is>
      </c>
      <c r="V2660" s="104" t="n"/>
      <c r="W2660" s="105" t="n"/>
      <c r="X2660" s="105" t="n"/>
    </row>
    <row r="2661" ht="15" customHeight="1">
      <c r="B2661" s="14" t="n"/>
      <c r="C2661" s="15" t="inlineStr">
        <is>
          <t>ACTIVIDAD VULNERABLE LFPIORPI</t>
        </is>
      </c>
      <c r="D2661" s="15" t="inlineStr">
        <is>
          <t>FF6</t>
        </is>
      </c>
      <c r="E2661" s="15" t="inlineStr">
        <is>
          <t>FIDUCIARIO ESTRUCTURAL</t>
        </is>
      </c>
      <c r="F2661" s="15" t="inlineStr">
        <is>
          <t>SIN ACTIVIDAD VULNERABLE (TIPO A)</t>
        </is>
      </c>
      <c r="G2661" s="15" t="n">
        <v>9051</v>
      </c>
      <c r="H2661" s="15" t="n">
        <v>1</v>
      </c>
      <c r="I2661" s="15" t="n">
        <v>1</v>
      </c>
      <c r="J2661" s="15" t="n">
        <v>27</v>
      </c>
      <c r="K2661" s="15" t="n">
        <v>27</v>
      </c>
      <c r="L2661" s="15" t="n">
        <v>27</v>
      </c>
      <c r="M2661" s="15" t="n">
        <v>27</v>
      </c>
      <c r="N2661" s="15" t="n">
        <v>27</v>
      </c>
      <c r="O2661" s="14" t="n"/>
      <c r="P2661" s="14" t="n"/>
      <c r="Q2661" s="14" t="n"/>
      <c r="R2661" s="16" t="n">
        <v>0.27</v>
      </c>
      <c r="S2661" s="17" t="inlineStr">
        <is>
          <t>SÍ — vehículo</t>
        </is>
      </c>
      <c r="T2661" s="18" t="inlineStr">
        <is>
          <t>A · VEHÍCULO</t>
        </is>
      </c>
      <c r="U2661" s="18" t="inlineStr">
        <is>
          <t>NUEVA · VEHÍCULO</t>
        </is>
      </c>
      <c r="V2661" s="18" t="n"/>
      <c r="W2661" s="12" t="n"/>
      <c r="X2661" s="12" t="n"/>
      <c r="Y2661" s="128" t="inlineStr">
        <is>
          <t>ACTIVIDAD_VULNERABLE = "Sin AV en expediente", "No" o "Inferida: No probable"</t>
        </is>
      </c>
    </row>
    <row r="2662" ht="15" customHeight="1">
      <c r="B2662" s="14" t="n"/>
      <c r="C2662" s="15" t="inlineStr">
        <is>
          <t>ACTIVIDAD VULNERABLE LFPIORPI</t>
        </is>
      </c>
      <c r="D2662" s="15" t="inlineStr">
        <is>
          <t>FF6</t>
        </is>
      </c>
      <c r="E2662" s="15" t="inlineStr">
        <is>
          <t>FIDUCIARIO ESTRUCTURAL</t>
        </is>
      </c>
      <c r="F2662" s="15" t="inlineStr">
        <is>
          <t>AV POTENCIAL / EN DICTAMEN (TIPO C)</t>
        </is>
      </c>
      <c r="G2662" s="15" t="n">
        <v>9052</v>
      </c>
      <c r="H2662" s="15" t="n">
        <v>3</v>
      </c>
      <c r="I2662" s="15" t="n">
        <v>3</v>
      </c>
      <c r="J2662" s="15" t="n">
        <v>27</v>
      </c>
      <c r="K2662" s="15" t="n">
        <v>81</v>
      </c>
      <c r="L2662" s="15" t="n">
        <v>81</v>
      </c>
      <c r="M2662" s="15" t="n">
        <v>81</v>
      </c>
      <c r="N2662" s="15" t="n">
        <v>81</v>
      </c>
      <c r="O2662" s="14" t="n"/>
      <c r="P2662" s="14" t="n"/>
      <c r="Q2662" s="14" t="n"/>
      <c r="R2662" s="16" t="n">
        <v>0.27</v>
      </c>
      <c r="S2662" s="17" t="inlineStr">
        <is>
          <t>SÍ — vehículo</t>
        </is>
      </c>
      <c r="T2662" s="18" t="inlineStr">
        <is>
          <t>A · VEHÍCULO</t>
        </is>
      </c>
      <c r="U2662" s="18" t="inlineStr">
        <is>
          <t>NUEVA · VEHÍCULO</t>
        </is>
      </c>
      <c r="V2662" s="18" t="n"/>
      <c r="W2662" s="12" t="n"/>
      <c r="X2662" s="12" t="n"/>
      <c r="Y2662" s="128" t="inlineStr">
        <is>
          <t>ACTIVIDAD_VULNERABLE = "Arrendamiento", "Revisar", "Inferida: Sí probable" o "Inferida: Indicio"</t>
        </is>
      </c>
    </row>
    <row r="2663" ht="15" customHeight="1">
      <c r="B2663" s="14" t="n"/>
      <c r="C2663" s="15" t="inlineStr">
        <is>
          <t>ACTIVIDAD VULNERABLE LFPIORPI</t>
        </is>
      </c>
      <c r="D2663" s="15" t="inlineStr">
        <is>
          <t>FF6</t>
        </is>
      </c>
      <c r="E2663" s="15" t="inlineStr">
        <is>
          <t>FIDUCIARIO ESTRUCTURAL</t>
        </is>
      </c>
      <c r="F2663" s="15" t="inlineStr">
        <is>
          <t>AV CONFIRMADA ART. 17 (TIPO B)</t>
        </is>
      </c>
      <c r="G2663" s="15" t="n">
        <v>9053</v>
      </c>
      <c r="H2663" s="15" t="n">
        <v>5</v>
      </c>
      <c r="I2663" s="15" t="n">
        <v>5</v>
      </c>
      <c r="J2663" s="15" t="n">
        <v>27</v>
      </c>
      <c r="K2663" s="15" t="n">
        <v>135</v>
      </c>
      <c r="L2663" s="15" t="n">
        <v>135</v>
      </c>
      <c r="M2663" s="15" t="n">
        <v>135</v>
      </c>
      <c r="N2663" s="15" t="n">
        <v>135</v>
      </c>
      <c r="O2663" s="14" t="n"/>
      <c r="P2663" s="14" t="n"/>
      <c r="Q2663" s="14" t="n"/>
      <c r="R2663" s="16" t="n">
        <v>0.27</v>
      </c>
      <c r="S2663" s="17" t="inlineStr">
        <is>
          <t>SÍ — vehículo</t>
        </is>
      </c>
      <c r="T2663" s="18" t="inlineStr">
        <is>
          <t>A · VEHÍCULO</t>
        </is>
      </c>
      <c r="U2663" s="18" t="inlineStr">
        <is>
          <t>NUEVA · VEHÍCULO</t>
        </is>
      </c>
      <c r="V2663" s="18" t="n"/>
      <c r="W2663" s="12" t="n"/>
      <c r="X2663" s="12" t="n"/>
      <c r="Y2663" s="128" t="inlineStr">
        <is>
          <t>ACTIVIDAD_VULNERABLE = "Desarrollo Inmobiliario" (con o sin arrendamiento)</t>
        </is>
      </c>
    </row>
    <row r="2664" ht="15" customHeight="1">
      <c r="B2664" s="14" t="n"/>
      <c r="C2664" s="15" t="inlineStr">
        <is>
          <t>PROCEDENCIA DE LOS RECURSOS (FID)</t>
        </is>
      </c>
      <c r="D2664" s="15" t="inlineStr">
        <is>
          <t>FF7</t>
        </is>
      </c>
      <c r="E2664" s="15" t="inlineStr">
        <is>
          <t>FIDUCIARIO ESTRUCTURAL</t>
        </is>
      </c>
      <c r="F2664" s="88" t="inlineStr">
        <is>
          <t>RECURSOS BANCARIZADOS CON SOPORTE (AHORROS, DIVIDENDOS, SALARIOS, ETC.)</t>
        </is>
      </c>
      <c r="G2664" s="15" t="n">
        <v>9061</v>
      </c>
      <c r="H2664" s="15" t="n">
        <v>1</v>
      </c>
      <c r="I2664" s="15" t="n">
        <v>1</v>
      </c>
      <c r="J2664" s="15" t="n">
        <v>19</v>
      </c>
      <c r="K2664" s="15" t="n">
        <v>19</v>
      </c>
      <c r="L2664" s="15" t="n">
        <v>19</v>
      </c>
      <c r="M2664" s="15" t="n">
        <v>19</v>
      </c>
      <c r="N2664" s="15" t="n">
        <v>19</v>
      </c>
      <c r="O2664" s="14" t="n"/>
      <c r="P2664" s="14" t="n"/>
      <c r="Q2664" s="14" t="n"/>
      <c r="R2664" s="16" t="n">
        <v>0.19</v>
      </c>
      <c r="S2664" s="17" t="inlineStr">
        <is>
          <t>SÍ — vehículo</t>
        </is>
      </c>
      <c r="T2664" s="18" t="inlineStr">
        <is>
          <t>A · VEHÍCULO</t>
        </is>
      </c>
      <c r="U2664" s="18" t="inlineStr">
        <is>
          <t>NUEVA · VEHÍCULO</t>
        </is>
      </c>
      <c r="V2664" s="18" t="n"/>
      <c r="W2664" s="12" t="n"/>
      <c r="X2664" s="12" t="n"/>
      <c r="Y2664" s="128" t="inlineStr">
        <is>
          <t>Se usa la clave ZVALF0011 del banco contra el factor F8 de esta hoja (columna G): IN, EA, VP… y su nivel en la columna H</t>
        </is>
      </c>
    </row>
    <row r="2665" ht="15" customHeight="1">
      <c r="B2665" s="14" t="n"/>
      <c r="C2665" s="15" t="inlineStr">
        <is>
          <t>PROCEDENCIA DE LOS RECURSOS (FID)</t>
        </is>
      </c>
      <c r="D2665" s="15" t="inlineStr">
        <is>
          <t>FF7</t>
        </is>
      </c>
      <c r="E2665" s="15" t="inlineStr">
        <is>
          <t>FIDUCIARIO ESTRUCTURAL</t>
        </is>
      </c>
      <c r="F2665" s="88" t="inlineStr">
        <is>
          <t>VENTA DE ACTIVOS DOCUMENTADA (INMUEBLES, ACCIONES, ETC.)</t>
        </is>
      </c>
      <c r="G2665" s="15" t="n">
        <v>9062</v>
      </c>
      <c r="H2665" s="15" t="n">
        <v>2</v>
      </c>
      <c r="I2665" s="15" t="n">
        <v>2</v>
      </c>
      <c r="J2665" s="15" t="n">
        <v>19</v>
      </c>
      <c r="K2665" s="15" t="n">
        <v>38</v>
      </c>
      <c r="L2665" s="15" t="n">
        <v>38</v>
      </c>
      <c r="M2665" s="15" t="n">
        <v>38</v>
      </c>
      <c r="N2665" s="15" t="n">
        <v>38</v>
      </c>
      <c r="O2665" s="14" t="n"/>
      <c r="P2665" s="14" t="n"/>
      <c r="Q2665" s="14" t="n"/>
      <c r="R2665" s="16" t="n">
        <v>0.19</v>
      </c>
      <c r="S2665" s="17" t="inlineStr">
        <is>
          <t>SÍ — vehículo</t>
        </is>
      </c>
      <c r="T2665" s="18" t="inlineStr">
        <is>
          <t>A · VEHÍCULO</t>
        </is>
      </c>
      <c r="U2665" s="18" t="inlineStr">
        <is>
          <t>NUEVA · VEHÍCULO</t>
        </is>
      </c>
      <c r="V2665" s="18" t="n"/>
      <c r="W2665" s="12" t="n"/>
      <c r="X2665" s="12" t="n"/>
      <c r="Y2665" s="128" t="inlineStr">
        <is>
          <t>(ver F8)</t>
        </is>
      </c>
    </row>
    <row r="2666" ht="15" customHeight="1">
      <c r="B2666" s="14" t="n"/>
      <c r="C2666" s="15" t="inlineStr">
        <is>
          <t>PROCEDENCIA DE LOS RECURSOS (FID)</t>
        </is>
      </c>
      <c r="D2666" s="15" t="inlineStr">
        <is>
          <t>FF7</t>
        </is>
      </c>
      <c r="E2666" s="15" t="inlineStr">
        <is>
          <t>FIDUCIARIO ESTRUCTURAL</t>
        </is>
      </c>
      <c r="F2666" s="15" t="inlineStr">
        <is>
          <t>APORTACIÓN EN ESPECIE SIN AVALÚO RECIENTE</t>
        </is>
      </c>
      <c r="G2666" s="15" t="n">
        <v>9063</v>
      </c>
      <c r="H2666" s="15" t="n">
        <v>4</v>
      </c>
      <c r="I2666" s="15" t="n">
        <v>4</v>
      </c>
      <c r="J2666" s="15" t="n">
        <v>19</v>
      </c>
      <c r="K2666" s="15" t="n">
        <v>76</v>
      </c>
      <c r="L2666" s="15" t="n">
        <v>76</v>
      </c>
      <c r="M2666" s="15" t="n">
        <v>76</v>
      </c>
      <c r="N2666" s="15" t="n">
        <v>76</v>
      </c>
      <c r="O2666" s="14" t="n"/>
      <c r="P2666" s="14" t="n"/>
      <c r="Q2666" s="14" t="n"/>
      <c r="R2666" s="16" t="n">
        <v>0.19</v>
      </c>
      <c r="S2666" s="17" t="inlineStr">
        <is>
          <t>SÍ — vehículo</t>
        </is>
      </c>
      <c r="T2666" s="18" t="inlineStr">
        <is>
          <t>A · VEHÍCULO</t>
        </is>
      </c>
      <c r="U2666" s="18" t="inlineStr">
        <is>
          <t>NUEVA · VEHÍCULO</t>
        </is>
      </c>
      <c r="V2666" s="18" t="n"/>
      <c r="W2666" s="12" t="n"/>
      <c r="X2666" s="12" t="n"/>
      <c r="Y2666" s="128" t="inlineStr">
        <is>
          <t>(ver F8)</t>
        </is>
      </c>
    </row>
    <row r="2667" ht="15" customHeight="1">
      <c r="B2667" s="14" t="n"/>
      <c r="C2667" s="15" t="inlineStr">
        <is>
          <t>PROCEDENCIA DE LOS RECURSOS (FID)</t>
        </is>
      </c>
      <c r="D2667" s="15" t="inlineStr">
        <is>
          <t>FF7</t>
        </is>
      </c>
      <c r="E2667" s="15" t="inlineStr">
        <is>
          <t>FIDUCIARIO ESTRUCTURAL</t>
        </is>
      </c>
      <c r="F2667" s="15" t="inlineStr">
        <is>
          <t>ORIGEN NO VERIFICABLE / EXTRANJERO SIN SOPORTE</t>
        </is>
      </c>
      <c r="G2667" s="15" t="n">
        <v>9064</v>
      </c>
      <c r="H2667" s="15" t="n">
        <v>5</v>
      </c>
      <c r="I2667" s="15" t="n">
        <v>5</v>
      </c>
      <c r="J2667" s="15" t="n">
        <v>19</v>
      </c>
      <c r="K2667" s="15" t="n">
        <v>95</v>
      </c>
      <c r="L2667" s="15" t="n">
        <v>95</v>
      </c>
      <c r="M2667" s="15" t="n">
        <v>95</v>
      </c>
      <c r="N2667" s="15" t="n">
        <v>95</v>
      </c>
      <c r="O2667" s="14" t="n"/>
      <c r="P2667" s="14" t="n"/>
      <c r="Q2667" s="14" t="n"/>
      <c r="R2667" s="16" t="n">
        <v>0.19</v>
      </c>
      <c r="S2667" s="17" t="inlineStr">
        <is>
          <t>SÍ — vehículo</t>
        </is>
      </c>
      <c r="T2667" s="18" t="inlineStr">
        <is>
          <t>A · VEHÍCULO</t>
        </is>
      </c>
      <c r="U2667" s="18" t="inlineStr">
        <is>
          <t>NUEVA · VEHÍCULO</t>
        </is>
      </c>
      <c r="V2667" s="18" t="n"/>
      <c r="W2667" s="12" t="n"/>
      <c r="X2667" s="12" t="n"/>
      <c r="Y2667" s="128" t="inlineStr">
        <is>
          <t>(ver F8)</t>
        </is>
      </c>
    </row>
    <row r="2668" ht="15" customHeight="1">
      <c r="B2668" s="14" t="n"/>
      <c r="C2668" s="15" t="inlineStr">
        <is>
          <t>OPERACIONES USD / TRANSFRONTERIZAS (FID)</t>
        </is>
      </c>
      <c r="D2668" s="15" t="inlineStr">
        <is>
          <t>FF8</t>
        </is>
      </c>
      <c r="E2668" s="15" t="inlineStr">
        <is>
          <t>FIDUCIARIO ESTRUCTURAL</t>
        </is>
      </c>
      <c r="F2668" s="15" t="inlineStr">
        <is>
          <t>SIN OPERACIONES USD NI EXTRANJERO</t>
        </is>
      </c>
      <c r="G2668" s="15" t="n">
        <v>9071</v>
      </c>
      <c r="H2668" s="15" t="n">
        <v>1</v>
      </c>
      <c r="I2668" s="15" t="n">
        <v>1</v>
      </c>
      <c r="J2668" s="15" t="n">
        <v>11</v>
      </c>
      <c r="K2668" s="15" t="n">
        <v>11</v>
      </c>
      <c r="L2668" s="15" t="n">
        <v>11</v>
      </c>
      <c r="M2668" s="15" t="n">
        <v>11</v>
      </c>
      <c r="N2668" s="15" t="n">
        <v>11</v>
      </c>
      <c r="O2668" s="14" t="n"/>
      <c r="P2668" s="14" t="n"/>
      <c r="Q2668" s="14" t="n"/>
      <c r="R2668" s="16" t="n">
        <v>0.11</v>
      </c>
      <c r="S2668" s="17" t="inlineStr">
        <is>
          <t>SÍ — vehículo</t>
        </is>
      </c>
      <c r="T2668" s="18" t="inlineStr">
        <is>
          <t>A · VEHÍCULO</t>
        </is>
      </c>
      <c r="U2668" s="18" t="inlineStr">
        <is>
          <t>NUEVA · VEHÍCULO</t>
        </is>
      </c>
      <c r="V2668" s="18" t="n"/>
      <c r="W2668" s="12" t="n"/>
      <c r="X2668" s="12" t="n"/>
      <c r="Y2668" s="128" t="inlineStr">
        <is>
          <t>ZVALF0021 = "MXN"</t>
        </is>
      </c>
    </row>
    <row r="2669" ht="15" customHeight="1">
      <c r="B2669" s="14" t="n"/>
      <c r="C2669" s="15" t="inlineStr">
        <is>
          <t>OPERACIONES USD / TRANSFRONTERIZAS (FID)</t>
        </is>
      </c>
      <c r="D2669" s="15" t="inlineStr">
        <is>
          <t>FF8</t>
        </is>
      </c>
      <c r="E2669" s="15" t="inlineStr">
        <is>
          <t>FIDUCIARIO ESTRUCTURAL</t>
        </is>
      </c>
      <c r="F2669" s="15" t="inlineStr">
        <is>
          <t>USD OCASIONAL / PARTE EXTRANJERA</t>
        </is>
      </c>
      <c r="G2669" s="15" t="n">
        <v>9072</v>
      </c>
      <c r="H2669" s="15" t="n">
        <v>3</v>
      </c>
      <c r="I2669" s="15" t="n">
        <v>3</v>
      </c>
      <c r="J2669" s="15" t="n">
        <v>11</v>
      </c>
      <c r="K2669" s="15" t="n">
        <v>33</v>
      </c>
      <c r="L2669" s="15" t="n">
        <v>33</v>
      </c>
      <c r="M2669" s="15" t="n">
        <v>33</v>
      </c>
      <c r="N2669" s="15" t="n">
        <v>33</v>
      </c>
      <c r="O2669" s="14" t="n"/>
      <c r="P2669" s="14" t="n"/>
      <c r="Q2669" s="14" t="n"/>
      <c r="R2669" s="16" t="n">
        <v>0.11</v>
      </c>
      <c r="S2669" s="17" t="inlineStr">
        <is>
          <t>SÍ — vehículo</t>
        </is>
      </c>
      <c r="T2669" s="18" t="inlineStr">
        <is>
          <t>A · VEHÍCULO</t>
        </is>
      </c>
      <c r="U2669" s="18" t="inlineStr">
        <is>
          <t>NUEVA · VEHÍCULO</t>
        </is>
      </c>
      <c r="V2669" s="18" t="n"/>
      <c r="W2669" s="12" t="n"/>
      <c r="X2669" s="12" t="n"/>
      <c r="Y2669" s="128" t="inlineStr">
        <is>
          <t>ZVALF0021 = "USD", "EUR", "CAD" u otra moneda extranjera</t>
        </is>
      </c>
    </row>
    <row r="2670" ht="15" customHeight="1">
      <c r="B2670" s="14" t="n"/>
      <c r="C2670" s="15" t="inlineStr">
        <is>
          <t>OPERACIONES USD / TRANSFRONTERIZAS (FID)</t>
        </is>
      </c>
      <c r="D2670" s="15" t="inlineStr">
        <is>
          <t>FF8</t>
        </is>
      </c>
      <c r="E2670" s="15" t="inlineStr">
        <is>
          <t>FIDUCIARIO ESTRUCTURAL</t>
        </is>
      </c>
      <c r="F2670" s="15" t="inlineStr">
        <is>
          <t>FLUJOS RECURRENTES USD O JURISDICCIÓN DE RIESGO</t>
        </is>
      </c>
      <c r="G2670" s="15" t="n">
        <v>9073</v>
      </c>
      <c r="H2670" s="15" t="n">
        <v>5</v>
      </c>
      <c r="I2670" s="15" t="n">
        <v>5</v>
      </c>
      <c r="J2670" s="15" t="n">
        <v>11</v>
      </c>
      <c r="K2670" s="15" t="n">
        <v>55</v>
      </c>
      <c r="L2670" s="15" t="n">
        <v>55</v>
      </c>
      <c r="M2670" s="15" t="n">
        <v>55</v>
      </c>
      <c r="N2670" s="15" t="n">
        <v>55</v>
      </c>
      <c r="O2670" s="14" t="n"/>
      <c r="P2670" s="14" t="n"/>
      <c r="Q2670" s="14" t="n"/>
      <c r="R2670" s="16" t="n">
        <v>0.11</v>
      </c>
      <c r="S2670" s="17" t="inlineStr">
        <is>
          <t>SÍ — vehículo</t>
        </is>
      </c>
      <c r="T2670" s="18" t="inlineStr">
        <is>
          <t>A · VEHÍCULO</t>
        </is>
      </c>
      <c r="U2670" s="18" t="inlineStr">
        <is>
          <t>NUEVA · VEHÍCULO</t>
        </is>
      </c>
      <c r="V2670" s="18" t="n"/>
      <c r="W2670" s="12" t="n"/>
      <c r="X2670" s="12" t="n"/>
      <c r="Y2670" s="128" t="inlineStr">
        <is>
          <t>Requiere monitoreo transaccional (V2)</t>
        </is>
      </c>
    </row>
    <row r="2671" ht="15" customHeight="1">
      <c r="B2671" s="14" t="n"/>
      <c r="C2671" s="101" t="inlineStr">
        <is>
          <t>OPERACIÓN DISTINTA AL FIN DEL CONTRATO (V2)</t>
        </is>
      </c>
      <c r="D2671" s="101" t="inlineStr">
        <is>
          <t>FF9</t>
        </is>
      </c>
      <c r="E2671" s="101" t="inlineStr">
        <is>
          <t>FIDUCIARIO ESTRUCTURAL</t>
        </is>
      </c>
      <c r="F2671" s="101" t="inlineStr">
        <is>
          <t>OPERA CONFORME AL CONTRATO / AÚN NO EVALUADO</t>
        </is>
      </c>
      <c r="G2671" s="101" t="n">
        <v>9081</v>
      </c>
      <c r="H2671" s="101" t="n">
        <v>1</v>
      </c>
      <c r="I2671" s="101" t="n">
        <v>1</v>
      </c>
      <c r="J2671" s="101" t="n">
        <v>0</v>
      </c>
      <c r="K2671" s="101" t="n">
        <v>0</v>
      </c>
      <c r="L2671" s="101" t="n">
        <v>0</v>
      </c>
      <c r="M2671" s="101" t="n">
        <v>0</v>
      </c>
      <c r="N2671" s="101" t="n">
        <v>0</v>
      </c>
      <c r="O2671" s="102" t="n"/>
      <c r="P2671" s="102" t="n"/>
      <c r="Q2671" s="102" t="n"/>
      <c r="R2671" s="103" t="n">
        <v>0</v>
      </c>
      <c r="S2671" s="101" t="inlineStr">
        <is>
          <t>Segunda fase (v2.6): sin dato en las bases de BX+; peso 0</t>
        </is>
      </c>
      <c r="T2671" s="104" t="inlineStr">
        <is>
          <t>A · VEHÍCULO</t>
        </is>
      </c>
      <c r="U2671" s="104" t="inlineStr">
        <is>
          <t>NUEVA · VEHÍCULO</t>
        </is>
      </c>
      <c r="V2671" s="104" t="n"/>
      <c r="W2671" s="105" t="n"/>
      <c r="X2671" s="105" t="n"/>
    </row>
    <row r="2672" ht="15" customHeight="1">
      <c r="B2672" s="14" t="n"/>
      <c r="C2672" s="101" t="inlineStr">
        <is>
          <t>OPERACIÓN DISTINTA AL FIN DEL CONTRATO (V2)</t>
        </is>
      </c>
      <c r="D2672" s="101" t="inlineStr">
        <is>
          <t>FF9</t>
        </is>
      </c>
      <c r="E2672" s="101" t="inlineStr">
        <is>
          <t>FIDUCIARIO ESTRUCTURAL</t>
        </is>
      </c>
      <c r="F2672" s="101" t="inlineStr">
        <is>
          <t>OPERACIONES POCO USUALES PARA EL FIN DEL CONTRATO</t>
        </is>
      </c>
      <c r="G2672" s="101" t="n">
        <v>9082</v>
      </c>
      <c r="H2672" s="101" t="n">
        <v>4</v>
      </c>
      <c r="I2672" s="101" t="n">
        <v>4</v>
      </c>
      <c r="J2672" s="101" t="n">
        <v>0</v>
      </c>
      <c r="K2672" s="101" t="n">
        <v>0</v>
      </c>
      <c r="L2672" s="101" t="n">
        <v>0</v>
      </c>
      <c r="M2672" s="101" t="n">
        <v>0</v>
      </c>
      <c r="N2672" s="101" t="n">
        <v>0</v>
      </c>
      <c r="O2672" s="102" t="n"/>
      <c r="P2672" s="102" t="n"/>
      <c r="Q2672" s="102" t="n"/>
      <c r="R2672" s="103" t="n">
        <v>0</v>
      </c>
      <c r="S2672" s="101" t="inlineStr">
        <is>
          <t>Segunda fase (v2.6): sin dato en las bases de BX+; peso 0</t>
        </is>
      </c>
      <c r="T2672" s="104" t="inlineStr">
        <is>
          <t>A · VEHÍCULO</t>
        </is>
      </c>
      <c r="U2672" s="104" t="inlineStr">
        <is>
          <t>NUEVA · VEHÍCULO</t>
        </is>
      </c>
      <c r="V2672" s="104" t="n"/>
      <c r="W2672" s="105" t="n"/>
      <c r="X2672" s="105" t="n"/>
    </row>
    <row r="2673" ht="15" customHeight="1">
      <c r="B2673" s="14" t="n"/>
      <c r="C2673" s="101" t="inlineStr">
        <is>
          <t>OPERACIÓN DISTINTA AL FIN DEL CONTRATO (V2)</t>
        </is>
      </c>
      <c r="D2673" s="101" t="inlineStr">
        <is>
          <t>FF9</t>
        </is>
      </c>
      <c r="E2673" s="101" t="inlineStr">
        <is>
          <t>FIDUCIARIO ESTRUCTURAL</t>
        </is>
      </c>
      <c r="F2673" s="101" t="inlineStr">
        <is>
          <t>OPERACIONES FUERA DEL OBJETO DEL CONTRATO</t>
        </is>
      </c>
      <c r="G2673" s="101" t="n">
        <v>9083</v>
      </c>
      <c r="H2673" s="101" t="n">
        <v>5</v>
      </c>
      <c r="I2673" s="101" t="n">
        <v>5</v>
      </c>
      <c r="J2673" s="101" t="n">
        <v>0</v>
      </c>
      <c r="K2673" s="101" t="n">
        <v>0</v>
      </c>
      <c r="L2673" s="101" t="n">
        <v>0</v>
      </c>
      <c r="M2673" s="101" t="n">
        <v>0</v>
      </c>
      <c r="N2673" s="101" t="n">
        <v>0</v>
      </c>
      <c r="O2673" s="102" t="n"/>
      <c r="P2673" s="102" t="n"/>
      <c r="Q2673" s="102" t="n"/>
      <c r="R2673" s="103" t="n">
        <v>0</v>
      </c>
      <c r="S2673" s="101" t="inlineStr">
        <is>
          <t>Segunda fase (v2.6): sin dato en las bases de BX+; peso 0</t>
        </is>
      </c>
      <c r="T2673" s="104" t="inlineStr">
        <is>
          <t>A · VEHÍCULO</t>
        </is>
      </c>
      <c r="U2673" s="104" t="inlineStr">
        <is>
          <t>NUEVA · VEHÍCULO</t>
        </is>
      </c>
      <c r="V2673" s="104" t="n"/>
      <c r="W2673" s="105" t="n"/>
      <c r="X2673" s="105" t="n"/>
    </row>
    <row r="2674" ht="15" customHeight="1">
      <c r="B2674" s="19" t="n"/>
      <c r="C2674" s="20" t="inlineStr">
        <is>
          <t>ROL EN EL FIDEICOMISO</t>
        </is>
      </c>
      <c r="D2674" s="20" t="inlineStr">
        <is>
          <t>FIR</t>
        </is>
      </c>
      <c r="E2674" s="20" t="inlineStr">
        <is>
          <t>FIDUCIARIO INTEGRANTE</t>
        </is>
      </c>
      <c r="F2674" s="20" t="inlineStr">
        <is>
          <t>FIDEICOMITENTE</t>
        </is>
      </c>
      <c r="G2674" s="20" t="n">
        <v>9091</v>
      </c>
      <c r="H2674" s="20" t="n">
        <v>4</v>
      </c>
      <c r="I2674" s="20" t="n">
        <v>4</v>
      </c>
      <c r="J2674" s="20" t="n">
        <v>12</v>
      </c>
      <c r="K2674" s="20" t="n">
        <v>48</v>
      </c>
      <c r="L2674" s="20" t="n">
        <v>48</v>
      </c>
      <c r="M2674" s="20" t="n">
        <v>48</v>
      </c>
      <c r="N2674" s="20" t="n">
        <v>48</v>
      </c>
      <c r="O2674" s="19" t="n"/>
      <c r="P2674" s="19" t="n"/>
      <c r="Q2674" s="19" t="n"/>
      <c r="R2674" s="21" t="n">
        <v>0.12</v>
      </c>
      <c r="S2674" s="22" t="inlineStr">
        <is>
          <t>SÍ — integrante (rol)</t>
        </is>
      </c>
      <c r="T2674" s="23" t="inlineStr">
        <is>
          <t>B · INTEGRANTE</t>
        </is>
      </c>
      <c r="U2674" s="23" t="inlineStr">
        <is>
          <t>NUEVA · PARTICIPANTE</t>
        </is>
      </c>
      <c r="V2674" s="23" t="n"/>
      <c r="W2674" s="12" t="n"/>
      <c r="X2674" s="12" t="inlineStr">
        <is>
          <t>Multiplicador 20 en la ruta heredada del banco; 12 en la ruta propia (FI8)</t>
        </is>
      </c>
    </row>
    <row r="2675" ht="15" customHeight="1">
      <c r="B2675" s="19" t="n"/>
      <c r="C2675" s="20" t="inlineStr">
        <is>
          <t>ROL EN EL FIDEICOMISO</t>
        </is>
      </c>
      <c r="D2675" s="20" t="inlineStr">
        <is>
          <t>FIR</t>
        </is>
      </c>
      <c r="E2675" s="20" t="inlineStr">
        <is>
          <t>FIDUCIARIO INTEGRANTE</t>
        </is>
      </c>
      <c r="F2675" s="20" t="inlineStr">
        <is>
          <t>FIDEICOMITENTE-FIDEICOMISARIO (DOBLE ROL)</t>
        </is>
      </c>
      <c r="G2675" s="20" t="n">
        <v>9092</v>
      </c>
      <c r="H2675" s="20" t="n">
        <v>5</v>
      </c>
      <c r="I2675" s="20" t="n">
        <v>5</v>
      </c>
      <c r="J2675" s="20" t="n">
        <v>12</v>
      </c>
      <c r="K2675" s="20" t="n">
        <v>60</v>
      </c>
      <c r="L2675" s="20" t="n">
        <v>60</v>
      </c>
      <c r="M2675" s="20" t="n">
        <v>60</v>
      </c>
      <c r="N2675" s="20" t="n">
        <v>60</v>
      </c>
      <c r="O2675" s="19" t="n"/>
      <c r="P2675" s="19" t="n"/>
      <c r="Q2675" s="19" t="n"/>
      <c r="R2675" s="21" t="n">
        <v>0.12</v>
      </c>
      <c r="S2675" s="22" t="inlineStr">
        <is>
          <t>SÍ — integrante (rol)</t>
        </is>
      </c>
      <c r="T2675" s="23" t="inlineStr">
        <is>
          <t>B · INTEGRANTE</t>
        </is>
      </c>
      <c r="U2675" s="23" t="inlineStr">
        <is>
          <t>NUEVA · PARTICIPANTE</t>
        </is>
      </c>
      <c r="V2675" s="23" t="n"/>
      <c r="W2675" s="12" t="n"/>
      <c r="X2675" s="12" t="inlineStr">
        <is>
          <t>Multiplicador 20 en la ruta heredada del banco; 12 en la ruta propia (FI8)</t>
        </is>
      </c>
    </row>
    <row r="2676" ht="15" customHeight="1">
      <c r="B2676" s="19" t="n"/>
      <c r="C2676" s="20" t="inlineStr">
        <is>
          <t>ROL EN EL FIDEICOMISO</t>
        </is>
      </c>
      <c r="D2676" s="20" t="inlineStr">
        <is>
          <t>FIR</t>
        </is>
      </c>
      <c r="E2676" s="20" t="inlineStr">
        <is>
          <t>FIDUCIARIO INTEGRANTE</t>
        </is>
      </c>
      <c r="F2676" s="20" t="inlineStr">
        <is>
          <t>MIEMBRO DEL COMITÉ TÉCNICO</t>
        </is>
      </c>
      <c r="G2676" s="20" t="n">
        <v>9093</v>
      </c>
      <c r="H2676" s="20" t="n">
        <v>4</v>
      </c>
      <c r="I2676" s="20" t="n">
        <v>4</v>
      </c>
      <c r="J2676" s="20" t="n">
        <v>12</v>
      </c>
      <c r="K2676" s="20" t="n">
        <v>48</v>
      </c>
      <c r="L2676" s="20" t="n">
        <v>48</v>
      </c>
      <c r="M2676" s="20" t="n">
        <v>48</v>
      </c>
      <c r="N2676" s="20" t="n">
        <v>48</v>
      </c>
      <c r="O2676" s="19" t="n"/>
      <c r="P2676" s="19" t="n"/>
      <c r="Q2676" s="19" t="n"/>
      <c r="R2676" s="21" t="n">
        <v>0.12</v>
      </c>
      <c r="S2676" s="22" t="inlineStr">
        <is>
          <t>SÍ — integrante (rol)</t>
        </is>
      </c>
      <c r="T2676" s="23" t="inlineStr">
        <is>
          <t>B · INTEGRANTE</t>
        </is>
      </c>
      <c r="U2676" s="23" t="inlineStr">
        <is>
          <t>NUEVA · PARTICIPANTE</t>
        </is>
      </c>
      <c r="V2676" s="23" t="n"/>
      <c r="W2676" s="12" t="n"/>
      <c r="X2676" s="12" t="inlineStr">
        <is>
          <t>Multiplicador 20 en la ruta heredada del banco; 12 en la ruta propia (FI8)</t>
        </is>
      </c>
    </row>
    <row r="2677" ht="15" customHeight="1">
      <c r="B2677" s="19" t="n"/>
      <c r="C2677" s="20" t="inlineStr">
        <is>
          <t>ROL EN EL FIDEICOMISO</t>
        </is>
      </c>
      <c r="D2677" s="20" t="inlineStr">
        <is>
          <t>FIR</t>
        </is>
      </c>
      <c r="E2677" s="20" t="inlineStr">
        <is>
          <t>FIDUCIARIO INTEGRANTE</t>
        </is>
      </c>
      <c r="F2677" s="20" t="inlineStr">
        <is>
          <t>FIDEICOMISARIO</t>
        </is>
      </c>
      <c r="G2677" s="20" t="n">
        <v>9094</v>
      </c>
      <c r="H2677" s="20" t="n">
        <v>3</v>
      </c>
      <c r="I2677" s="20" t="n">
        <v>3</v>
      </c>
      <c r="J2677" s="20" t="n">
        <v>12</v>
      </c>
      <c r="K2677" s="20" t="n">
        <v>36</v>
      </c>
      <c r="L2677" s="20" t="n">
        <v>36</v>
      </c>
      <c r="M2677" s="20" t="n">
        <v>36</v>
      </c>
      <c r="N2677" s="20" t="n">
        <v>36</v>
      </c>
      <c r="O2677" s="19" t="n"/>
      <c r="P2677" s="19" t="n"/>
      <c r="Q2677" s="19" t="n"/>
      <c r="R2677" s="21" t="n">
        <v>0.12</v>
      </c>
      <c r="S2677" s="22" t="inlineStr">
        <is>
          <t>SÍ — integrante (rol)</t>
        </is>
      </c>
      <c r="T2677" s="23" t="inlineStr">
        <is>
          <t>B · INTEGRANTE</t>
        </is>
      </c>
      <c r="U2677" s="23" t="inlineStr">
        <is>
          <t>NUEVA · PARTICIPANTE</t>
        </is>
      </c>
      <c r="V2677" s="23" t="n"/>
      <c r="W2677" s="12" t="n"/>
      <c r="X2677" s="12" t="inlineStr">
        <is>
          <t>Multiplicador 20 en la ruta heredada del banco; 12 en la ruta propia (FI8)</t>
        </is>
      </c>
    </row>
    <row r="2678" ht="15" customHeight="1">
      <c r="B2678" s="19" t="n"/>
      <c r="C2678" s="20" t="inlineStr">
        <is>
          <t>ROL EN EL FIDEICOMISO</t>
        </is>
      </c>
      <c r="D2678" s="20" t="inlineStr">
        <is>
          <t>FIR</t>
        </is>
      </c>
      <c r="E2678" s="20" t="inlineStr">
        <is>
          <t>FIDUCIARIO INTEGRANTE</t>
        </is>
      </c>
      <c r="F2678" s="20" t="inlineStr">
        <is>
          <t>APODERADO / DELEGADO</t>
        </is>
      </c>
      <c r="G2678" s="20" t="n">
        <v>9095</v>
      </c>
      <c r="H2678" s="20" t="n">
        <v>2</v>
      </c>
      <c r="I2678" s="20" t="n">
        <v>2</v>
      </c>
      <c r="J2678" s="20" t="n">
        <v>12</v>
      </c>
      <c r="K2678" s="20" t="n">
        <v>36</v>
      </c>
      <c r="L2678" s="20" t="n">
        <v>36</v>
      </c>
      <c r="M2678" s="20" t="n">
        <v>36</v>
      </c>
      <c r="N2678" s="20" t="n">
        <v>36</v>
      </c>
      <c r="O2678" s="19" t="n"/>
      <c r="P2678" s="19" t="n"/>
      <c r="Q2678" s="19" t="n"/>
      <c r="R2678" s="21" t="n">
        <v>0.12</v>
      </c>
      <c r="S2678" s="22" t="inlineStr">
        <is>
          <t>SÍ — integrante (rol)</t>
        </is>
      </c>
      <c r="T2678" s="23" t="inlineStr">
        <is>
          <t>B · INTEGRANTE</t>
        </is>
      </c>
      <c r="U2678" s="23" t="inlineStr">
        <is>
          <t>NUEVA · PARTICIPANTE</t>
        </is>
      </c>
      <c r="V2678" s="23" t="n"/>
      <c r="W2678" s="12" t="n"/>
      <c r="X2678" s="12" t="inlineStr">
        <is>
          <t>NIVEL AJUSTADO al reanclar el catálogo a piso 1. Multiplicador 20 en la ruta heredada; 12 en la ruta propia (FI8)</t>
        </is>
      </c>
    </row>
    <row r="2679" ht="15" customHeight="1">
      <c r="B2679" s="19" t="n"/>
      <c r="C2679" s="20" t="inlineStr">
        <is>
          <t>ROL EN EL FIDEICOMISO</t>
        </is>
      </c>
      <c r="D2679" s="20" t="inlineStr">
        <is>
          <t>FIR</t>
        </is>
      </c>
      <c r="E2679" s="20" t="inlineStr">
        <is>
          <t>FIDUCIARIO INTEGRANTE</t>
        </is>
      </c>
      <c r="F2679" s="89" t="inlineStr">
        <is>
          <t>TERCERO ADMINISTRADOR / GARANTE / DEPOSITARIO</t>
        </is>
      </c>
      <c r="G2679" s="20" t="n">
        <v>9096</v>
      </c>
      <c r="H2679" s="20" t="n">
        <v>1</v>
      </c>
      <c r="I2679" s="20" t="n">
        <v>1</v>
      </c>
      <c r="J2679" s="20" t="n">
        <v>12</v>
      </c>
      <c r="K2679" s="20" t="n">
        <v>24</v>
      </c>
      <c r="L2679" s="20" t="n">
        <v>24</v>
      </c>
      <c r="M2679" s="20" t="n">
        <v>24</v>
      </c>
      <c r="N2679" s="20" t="n">
        <v>24</v>
      </c>
      <c r="O2679" s="19" t="n"/>
      <c r="P2679" s="19" t="n"/>
      <c r="Q2679" s="19" t="n"/>
      <c r="R2679" s="21" t="n">
        <v>0.12</v>
      </c>
      <c r="S2679" s="22" t="inlineStr">
        <is>
          <t>SÍ — integrante (rol)</t>
        </is>
      </c>
      <c r="T2679" s="23" t="inlineStr">
        <is>
          <t>B · INTEGRANTE</t>
        </is>
      </c>
      <c r="U2679" s="23" t="inlineStr">
        <is>
          <t>NUEVA · PARTICIPANTE</t>
        </is>
      </c>
      <c r="V2679" s="23" t="n"/>
      <c r="W2679" s="12" t="n"/>
      <c r="X2679" s="12" t="inlineStr">
        <is>
          <t>NIVEL AJUSTADO al reanclar el catálogo a piso 1. Multiplicador 20 en la ruta heredada; 12 en la ruta propia (FI8)</t>
        </is>
      </c>
    </row>
    <row r="2680" ht="15" customHeight="1">
      <c r="F2680" s="24" t="inlineStr">
        <is>
          <t>NOTA: EL FIDUCIARIO (LA INSTITUCIÓN) NO SE CALIFICA — ES EL SUJETO REGULADO, NO UN CLIENTE.</t>
        </is>
      </c>
      <c r="T2680" s="11" t="n"/>
      <c r="U2680" s="11" t="inlineStr">
        <is>
          <t>DEL BANCO (se hereda)</t>
        </is>
      </c>
      <c r="V2680" s="11" t="n"/>
      <c r="W2680" s="12" t="n"/>
      <c r="X2680" s="12" t="n"/>
    </row>
    <row r="2681">
      <c r="B2681" s="13" t="inlineStr">
        <is>
          <t>CATÁLOGOS OPERATIVOS V1 (Lex Quo) — equivalentes a las listas de la aplicación web. Los catálogos completos del banco (arriba) se conservan como referencia; para calificar fideicomisos se usan estas listas. Claves serie 9100.</t>
        </is>
      </c>
    </row>
    <row r="2682" ht="26" customHeight="1">
      <c r="C2682" s="25" t="inlineStr">
        <is>
          <t>TIPO DE PERSONA (OPERATIVO V1)</t>
        </is>
      </c>
      <c r="D2682" s="25" t="inlineStr">
        <is>
          <t>FI1</t>
        </is>
      </c>
      <c r="E2682" s="25" t="inlineStr">
        <is>
          <t>FIDUCIARIO INTEGRANTE</t>
        </is>
      </c>
      <c r="F2682" s="25" t="inlineStr">
        <is>
          <t>PERSONA FÍSICA</t>
        </is>
      </c>
      <c r="G2682" s="25" t="n">
        <v>9101</v>
      </c>
      <c r="H2682" s="25" t="n">
        <v>1</v>
      </c>
      <c r="J2682" t="n">
        <v>15</v>
      </c>
      <c r="R2682" t="n">
        <v>0.15</v>
      </c>
      <c r="T2682" s="11" t="inlineStr">
        <is>
          <t>B · INTEGRANTE</t>
        </is>
      </c>
      <c r="U2682" s="11" t="inlineStr">
        <is>
          <t>AGRUPACIÓN FID (solo si no es cliente del banco)</t>
        </is>
      </c>
      <c r="V2682" s="11" t="n"/>
      <c r="W2682" s="12" t="n"/>
      <c r="X2682" s="12" t="n"/>
      <c r="Y2682" s="128" t="inlineStr">
        <is>
          <t>ZTIPOCTE (F18) = 1</t>
        </is>
      </c>
    </row>
    <row r="2683" ht="26" customHeight="1">
      <c r="C2683" s="25" t="inlineStr">
        <is>
          <t>TIPO DE PERSONA (OPERATIVO V1)</t>
        </is>
      </c>
      <c r="D2683" s="25" t="inlineStr">
        <is>
          <t>FI1</t>
        </is>
      </c>
      <c r="E2683" s="25" t="inlineStr">
        <is>
          <t>FIDUCIARIO INTEGRANTE</t>
        </is>
      </c>
      <c r="F2683" s="25" t="inlineStr">
        <is>
          <t>PF CON ACTIVIDAD EMPRESARIAL</t>
        </is>
      </c>
      <c r="G2683" s="25" t="n">
        <v>9102</v>
      </c>
      <c r="H2683" s="25" t="n">
        <v>2</v>
      </c>
      <c r="J2683" t="n">
        <v>15</v>
      </c>
      <c r="R2683" t="n">
        <v>0.15</v>
      </c>
      <c r="T2683" s="11" t="inlineStr">
        <is>
          <t>B · INTEGRANTE</t>
        </is>
      </c>
      <c r="U2683" s="11" t="inlineStr">
        <is>
          <t>AGRUPACIÓN FID (solo si no es cliente del banco)</t>
        </is>
      </c>
      <c r="V2683" s="11" t="n"/>
      <c r="W2683" s="12" t="n"/>
      <c r="X2683" s="12" t="n"/>
      <c r="Y2683" s="128" t="inlineStr">
        <is>
          <t>ZTIPOCTE (F18) = 2</t>
        </is>
      </c>
    </row>
    <row r="2684" ht="26" customHeight="1">
      <c r="C2684" s="25" t="inlineStr">
        <is>
          <t>TIPO DE PERSONA (OPERATIVO V1)</t>
        </is>
      </c>
      <c r="D2684" s="25" t="inlineStr">
        <is>
          <t>FI1</t>
        </is>
      </c>
      <c r="E2684" s="25" t="inlineStr">
        <is>
          <t>FIDUCIARIO INTEGRANTE</t>
        </is>
      </c>
      <c r="F2684" s="25" t="inlineStr">
        <is>
          <t>PERSONA MORAL</t>
        </is>
      </c>
      <c r="G2684" s="25" t="n">
        <v>9103</v>
      </c>
      <c r="H2684" s="25" t="n">
        <v>3</v>
      </c>
      <c r="J2684" t="n">
        <v>15</v>
      </c>
      <c r="R2684" t="n">
        <v>0.15</v>
      </c>
      <c r="T2684" s="11" t="inlineStr">
        <is>
          <t>B · INTEGRANTE</t>
        </is>
      </c>
      <c r="U2684" s="11" t="inlineStr">
        <is>
          <t>AGRUPACIÓN FID (solo si no es cliente del banco)</t>
        </is>
      </c>
      <c r="V2684" s="11" t="n"/>
      <c r="W2684" s="12" t="n"/>
      <c r="X2684" s="12" t="n"/>
      <c r="Y2684" s="128" t="inlineStr">
        <is>
          <t>ZTIPOCTE (F18) = 3</t>
        </is>
      </c>
    </row>
    <row r="2685" ht="26" customHeight="1">
      <c r="C2685" s="25" t="inlineStr">
        <is>
          <t>TIPO DE PERSONA (OPERATIVO V1)</t>
        </is>
      </c>
      <c r="D2685" s="25" t="inlineStr">
        <is>
          <t>FI1</t>
        </is>
      </c>
      <c r="E2685" s="25" t="inlineStr">
        <is>
          <t>FIDUCIARIO INTEGRANTE</t>
        </is>
      </c>
      <c r="F2685" s="25" t="inlineStr">
        <is>
          <t>MANDATO</t>
        </is>
      </c>
      <c r="G2685" s="25" t="n">
        <v>9104</v>
      </c>
      <c r="H2685" s="25" t="n">
        <v>4</v>
      </c>
      <c r="J2685" t="n">
        <v>15</v>
      </c>
      <c r="R2685" t="n">
        <v>0.15</v>
      </c>
      <c r="T2685" s="11" t="inlineStr">
        <is>
          <t>B · INTEGRANTE</t>
        </is>
      </c>
      <c r="U2685" s="11" t="inlineStr">
        <is>
          <t>AGRUPACIÓN FID (solo si no es cliente del banco)</t>
        </is>
      </c>
      <c r="V2685" s="11" t="n"/>
      <c r="W2685" s="12" t="n"/>
      <c r="X2685" s="12" t="n"/>
      <c r="Y2685" s="128" t="inlineStr">
        <is>
          <t>ZTIPOCTE (F18) = 5</t>
        </is>
      </c>
    </row>
    <row r="2686" ht="26" customHeight="1">
      <c r="C2686" s="25" t="inlineStr">
        <is>
          <t>TIPO DE PERSONA (OPERATIVO V1)</t>
        </is>
      </c>
      <c r="D2686" s="25" t="inlineStr">
        <is>
          <t>FI1</t>
        </is>
      </c>
      <c r="E2686" s="25" t="inlineStr">
        <is>
          <t>FIDUCIARIO INTEGRANTE</t>
        </is>
      </c>
      <c r="F2686" s="25" t="inlineStr">
        <is>
          <t>FIDEICOMISO / VEHÍCULO</t>
        </is>
      </c>
      <c r="G2686" s="25" t="n">
        <v>9105</v>
      </c>
      <c r="H2686" s="25" t="n">
        <v>5</v>
      </c>
      <c r="J2686" t="n">
        <v>15</v>
      </c>
      <c r="R2686" t="n">
        <v>0.15</v>
      </c>
      <c r="T2686" s="11" t="inlineStr">
        <is>
          <t>B · INTEGRANTE</t>
        </is>
      </c>
      <c r="U2686" s="11" t="inlineStr">
        <is>
          <t>AGRUPACIÓN FID (solo si no es cliente del banco)</t>
        </is>
      </c>
      <c r="V2686" s="11" t="n"/>
      <c r="W2686" s="12" t="n"/>
      <c r="X2686" s="12" t="n"/>
      <c r="Y2686" s="128" t="inlineStr">
        <is>
          <t>ZTIPOCTE (F18) = 4 (fideicomiso)</t>
        </is>
      </c>
    </row>
    <row r="2687">
      <c r="C2687" s="25" t="n"/>
      <c r="D2687" s="25" t="n"/>
      <c r="E2687" s="25" t="n"/>
      <c r="F2687" s="25" t="n"/>
      <c r="G2687" s="25" t="n"/>
      <c r="H2687" s="25" t="n"/>
    </row>
    <row r="2688" ht="26" customHeight="1">
      <c r="C2688" s="25" t="inlineStr">
        <is>
          <t>ACTIVIDAD ECONÓMICA (OPERATIVO V1)</t>
        </is>
      </c>
      <c r="D2688" s="25" t="inlineStr">
        <is>
          <t>FI2</t>
        </is>
      </c>
      <c r="E2688" s="25" t="inlineStr">
        <is>
          <t>FIDUCIARIO INTEGRANTE</t>
        </is>
      </c>
      <c r="F2688" s="25" t="inlineStr">
        <is>
          <t>SIN ACTIVIDAD DE RIESGO / ASALARIADO</t>
        </is>
      </c>
      <c r="G2688" s="25" t="n">
        <v>9111</v>
      </c>
      <c r="H2688" s="25" t="n">
        <v>1</v>
      </c>
      <c r="J2688" t="n">
        <v>23</v>
      </c>
      <c r="R2688" t="n">
        <v>0.23</v>
      </c>
      <c r="T2688" s="11" t="inlineStr">
        <is>
          <t>B · INTEGRANTE</t>
        </is>
      </c>
      <c r="U2688" s="11" t="inlineStr">
        <is>
          <t>AGRUPACIÓN FID (solo si no es cliente del banco)</t>
        </is>
      </c>
      <c r="V2688" s="11" t="n"/>
      <c r="W2688" s="12" t="n"/>
      <c r="X2688" s="12" t="n"/>
      <c r="Y2688" s="128" t="inlineStr">
        <is>
          <t>ZVALF0003 (F12): clave de actividad del banco; ver factor F12 columna G</t>
        </is>
      </c>
    </row>
    <row r="2689" ht="26" customHeight="1">
      <c r="C2689" s="25" t="inlineStr">
        <is>
          <t>ACTIVIDAD ECONÓMICA (OPERATIVO V1)</t>
        </is>
      </c>
      <c r="D2689" s="25" t="inlineStr">
        <is>
          <t>FI2</t>
        </is>
      </c>
      <c r="E2689" s="25" t="inlineStr">
        <is>
          <t>FIDUCIARIO INTEGRANTE</t>
        </is>
      </c>
      <c r="F2689" s="25" t="inlineStr">
        <is>
          <t>SERVICIOS PROFESIONALES</t>
        </is>
      </c>
      <c r="G2689" s="25" t="n">
        <v>9112</v>
      </c>
      <c r="H2689" s="25" t="n">
        <v>2</v>
      </c>
      <c r="J2689" t="n">
        <v>23</v>
      </c>
      <c r="R2689" t="n">
        <v>0.23</v>
      </c>
      <c r="T2689" s="11" t="inlineStr">
        <is>
          <t>B · INTEGRANTE</t>
        </is>
      </c>
      <c r="U2689" s="11" t="inlineStr">
        <is>
          <t>AGRUPACIÓN FID (solo si no es cliente del banco)</t>
        </is>
      </c>
      <c r="V2689" s="11" t="n"/>
      <c r="W2689" s="12" t="n"/>
      <c r="X2689" s="12" t="n"/>
    </row>
    <row r="2690" ht="26" customHeight="1">
      <c r="C2690" s="25" t="inlineStr">
        <is>
          <t>ACTIVIDAD ECONÓMICA (OPERATIVO V1)</t>
        </is>
      </c>
      <c r="D2690" s="25" t="inlineStr">
        <is>
          <t>FI2</t>
        </is>
      </c>
      <c r="E2690" s="25" t="inlineStr">
        <is>
          <t>FIDUCIARIO INTEGRANTE</t>
        </is>
      </c>
      <c r="F2690" s="25" t="inlineStr">
        <is>
          <t>COMERCIO GENERAL</t>
        </is>
      </c>
      <c r="G2690" s="25" t="n">
        <v>9113</v>
      </c>
      <c r="H2690" s="25" t="n">
        <v>2</v>
      </c>
      <c r="J2690" t="n">
        <v>23</v>
      </c>
      <c r="R2690" t="n">
        <v>0.23</v>
      </c>
      <c r="T2690" s="11" t="inlineStr">
        <is>
          <t>B · INTEGRANTE</t>
        </is>
      </c>
      <c r="U2690" s="11" t="inlineStr">
        <is>
          <t>AGRUPACIÓN FID (solo si no es cliente del banco)</t>
        </is>
      </c>
      <c r="V2690" s="11" t="n"/>
      <c r="W2690" s="12" t="n"/>
      <c r="X2690" s="12" t="n"/>
    </row>
    <row r="2691" ht="26" customHeight="1">
      <c r="C2691" s="25" t="inlineStr">
        <is>
          <t>ACTIVIDAD ECONÓMICA (OPERATIVO V1)</t>
        </is>
      </c>
      <c r="D2691" s="25" t="inlineStr">
        <is>
          <t>FI2</t>
        </is>
      </c>
      <c r="E2691" s="25" t="inlineStr">
        <is>
          <t>FIDUCIARIO INTEGRANTE</t>
        </is>
      </c>
      <c r="F2691" s="25" t="inlineStr">
        <is>
          <t>INSTITUCIÓN DE CRÉDITO (BANCO)</t>
        </is>
      </c>
      <c r="G2691" s="25" t="n">
        <v>9114</v>
      </c>
      <c r="H2691" s="25" t="n">
        <v>2</v>
      </c>
      <c r="J2691" t="n">
        <v>23</v>
      </c>
      <c r="R2691" t="n">
        <v>0.23</v>
      </c>
      <c r="T2691" s="11" t="inlineStr">
        <is>
          <t>B · INTEGRANTE</t>
        </is>
      </c>
      <c r="U2691" s="11" t="inlineStr">
        <is>
          <t>AGRUPACIÓN FID (solo si no es cliente del banco)</t>
        </is>
      </c>
      <c r="V2691" s="11" t="n"/>
      <c r="W2691" s="12" t="n"/>
      <c r="X2691" s="12" t="n"/>
    </row>
    <row r="2692" ht="26" customHeight="1">
      <c r="C2692" s="25" t="inlineStr">
        <is>
          <t>ACTIVIDAD ECONÓMICA (OPERATIVO V1)</t>
        </is>
      </c>
      <c r="D2692" s="25" t="inlineStr">
        <is>
          <t>FI2</t>
        </is>
      </c>
      <c r="E2692" s="25" t="inlineStr">
        <is>
          <t>FIDUCIARIO INTEGRANTE</t>
        </is>
      </c>
      <c r="F2692" s="25" t="inlineStr">
        <is>
          <t>SECTOR FINANCIERO REGULADO</t>
        </is>
      </c>
      <c r="G2692" s="25" t="n">
        <v>9115</v>
      </c>
      <c r="H2692" s="25" t="n">
        <v>3</v>
      </c>
      <c r="J2692" t="n">
        <v>23</v>
      </c>
      <c r="R2692" t="n">
        <v>0.23</v>
      </c>
      <c r="T2692" s="11" t="inlineStr">
        <is>
          <t>B · INTEGRANTE</t>
        </is>
      </c>
      <c r="U2692" s="11" t="inlineStr">
        <is>
          <t>AGRUPACIÓN FID (solo si no es cliente del banco)</t>
        </is>
      </c>
      <c r="V2692" s="11" t="n"/>
      <c r="W2692" s="12" t="n"/>
      <c r="X2692" s="12" t="n"/>
    </row>
    <row r="2693" ht="26" customHeight="1">
      <c r="C2693" s="25" t="inlineStr">
        <is>
          <t>ACTIVIDAD ECONÓMICA (OPERATIVO V1)</t>
        </is>
      </c>
      <c r="D2693" s="25" t="inlineStr">
        <is>
          <t>FI2</t>
        </is>
      </c>
      <c r="E2693" s="25" t="inlineStr">
        <is>
          <t>FIDUCIARIO INTEGRANTE</t>
        </is>
      </c>
      <c r="F2693" s="25" t="inlineStr">
        <is>
          <t>NO CAPTURADA</t>
        </is>
      </c>
      <c r="G2693" s="25" t="n">
        <v>9116</v>
      </c>
      <c r="H2693" s="25" t="n">
        <v>3</v>
      </c>
      <c r="J2693" t="n">
        <v>23</v>
      </c>
      <c r="R2693" t="n">
        <v>0.23</v>
      </c>
      <c r="T2693" s="11" t="inlineStr">
        <is>
          <t>B · INTEGRANTE</t>
        </is>
      </c>
      <c r="U2693" s="11" t="inlineStr">
        <is>
          <t>AGRUPACIÓN FID (solo si no es cliente del banco)</t>
        </is>
      </c>
      <c r="V2693" s="11" t="n"/>
      <c r="W2693" s="12" t="n"/>
      <c r="X2693" s="12" t="n"/>
    </row>
    <row r="2694" ht="26" customHeight="1">
      <c r="C2694" s="25" t="inlineStr">
        <is>
          <t>ACTIVIDAD ECONÓMICA (OPERATIVO V1)</t>
        </is>
      </c>
      <c r="D2694" s="25" t="inlineStr">
        <is>
          <t>FI2</t>
        </is>
      </c>
      <c r="E2694" s="25" t="inlineStr">
        <is>
          <t>FIDUCIARIO INTEGRANTE</t>
        </is>
      </c>
      <c r="F2694" s="25" t="inlineStr">
        <is>
          <t>INMOBILIARIO / CONSTRUCCIÓN</t>
        </is>
      </c>
      <c r="G2694" s="25" t="n">
        <v>9117</v>
      </c>
      <c r="H2694" s="25" t="n">
        <v>4</v>
      </c>
      <c r="J2694" t="n">
        <v>23</v>
      </c>
      <c r="R2694" t="n">
        <v>0.23</v>
      </c>
      <c r="T2694" s="11" t="inlineStr">
        <is>
          <t>B · INTEGRANTE</t>
        </is>
      </c>
      <c r="U2694" s="11" t="inlineStr">
        <is>
          <t>AGRUPACIÓN FID (solo si no es cliente del banco)</t>
        </is>
      </c>
      <c r="V2694" s="11" t="n"/>
      <c r="W2694" s="12" t="n"/>
      <c r="X2694" s="12" t="n"/>
    </row>
    <row r="2695" ht="26" customHeight="1">
      <c r="C2695" s="25" t="inlineStr">
        <is>
          <t>ACTIVIDAD ECONÓMICA (OPERATIVO V1)</t>
        </is>
      </c>
      <c r="D2695" s="25" t="inlineStr">
        <is>
          <t>FI2</t>
        </is>
      </c>
      <c r="E2695" s="25" t="inlineStr">
        <is>
          <t>FIDUCIARIO INTEGRANTE</t>
        </is>
      </c>
      <c r="F2695" s="25" t="inlineStr">
        <is>
          <t>ENTIDAD AUXILIAR DEL CRÉDITO (SOFOM/SOFIPO/ARRENDADORA/ASEGURADORA)</t>
        </is>
      </c>
      <c r="G2695" s="25" t="n">
        <v>9118</v>
      </c>
      <c r="H2695" s="25" t="n">
        <v>4</v>
      </c>
      <c r="J2695" t="n">
        <v>23</v>
      </c>
      <c r="R2695" t="n">
        <v>0.23</v>
      </c>
      <c r="T2695" s="11" t="inlineStr">
        <is>
          <t>B · INTEGRANTE</t>
        </is>
      </c>
      <c r="U2695" s="11" t="inlineStr">
        <is>
          <t>AGRUPACIÓN FID (solo si no es cliente del banco)</t>
        </is>
      </c>
      <c r="V2695" s="11" t="n"/>
      <c r="W2695" s="12" t="n"/>
      <c r="X2695" s="12" t="n"/>
    </row>
    <row r="2696" ht="26" customHeight="1">
      <c r="C2696" s="25" t="inlineStr">
        <is>
          <t>ACTIVIDAD ECONÓMICA (OPERATIVO V1)</t>
        </is>
      </c>
      <c r="D2696" s="25" t="inlineStr">
        <is>
          <t>FI2</t>
        </is>
      </c>
      <c r="E2696" s="25" t="inlineStr">
        <is>
          <t>FIDUCIARIO INTEGRANTE</t>
        </is>
      </c>
      <c r="F2696" s="25" t="inlineStr">
        <is>
          <t>COMERCIO EXTERIOR</t>
        </is>
      </c>
      <c r="G2696" s="25" t="n">
        <v>9119</v>
      </c>
      <c r="H2696" s="25" t="n">
        <v>4</v>
      </c>
      <c r="J2696" t="n">
        <v>23</v>
      </c>
      <c r="R2696" t="n">
        <v>0.23</v>
      </c>
      <c r="T2696" s="11" t="inlineStr">
        <is>
          <t>B · INTEGRANTE</t>
        </is>
      </c>
      <c r="U2696" s="11" t="inlineStr">
        <is>
          <t>AGRUPACIÓN FID (solo si no es cliente del banco)</t>
        </is>
      </c>
      <c r="V2696" s="11" t="n"/>
      <c r="W2696" s="12" t="n"/>
      <c r="X2696" s="12" t="n"/>
    </row>
    <row r="2697" ht="26" customHeight="1">
      <c r="C2697" s="25" t="inlineStr">
        <is>
          <t>ACTIVIDAD ECONÓMICA (OPERATIVO V1)</t>
        </is>
      </c>
      <c r="D2697" s="25" t="inlineStr">
        <is>
          <t>FI2</t>
        </is>
      </c>
      <c r="E2697" s="25" t="inlineStr">
        <is>
          <t>FIDUCIARIO INTEGRANTE</t>
        </is>
      </c>
      <c r="F2697" s="90" t="inlineStr">
        <is>
          <t>ACTIVIDAD CON ALTO MANEJO DE EFECTIVO (CASAS DE EMPEÑO, GASOLINERAS, RESTAURANTES, COMERCIO AL MENUDEO)</t>
        </is>
      </c>
      <c r="G2697" s="25" t="n">
        <v>9120</v>
      </c>
      <c r="H2697" s="25" t="n">
        <v>5</v>
      </c>
      <c r="J2697" t="n">
        <v>23</v>
      </c>
      <c r="R2697" t="n">
        <v>0.23</v>
      </c>
      <c r="T2697" s="11" t="inlineStr">
        <is>
          <t>B · INTEGRANTE</t>
        </is>
      </c>
      <c r="U2697" s="11" t="inlineStr">
        <is>
          <t>AGRUPACIÓN FID (solo si no es cliente del banco)</t>
        </is>
      </c>
      <c r="V2697" s="11" t="n"/>
      <c r="W2697" s="12" t="n"/>
      <c r="X2697" s="12" t="n"/>
    </row>
    <row r="2698" ht="26" customHeight="1">
      <c r="C2698" s="25" t="inlineStr">
        <is>
          <t>PAÍS (NACIMIENTO/NACIONALIDAD/DOMICILIO) (OPERATIVO V1)</t>
        </is>
      </c>
      <c r="D2698" s="25" t="inlineStr">
        <is>
          <t>FI3-FI5</t>
        </is>
      </c>
      <c r="E2698" s="25" t="inlineStr">
        <is>
          <t>FIDUCIARIO INTEGRANTE</t>
        </is>
      </c>
      <c r="F2698" s="25" t="inlineStr">
        <is>
          <t>MÉXICO</t>
        </is>
      </c>
      <c r="G2698" s="25" t="n">
        <v>9121</v>
      </c>
      <c r="H2698" s="25" t="n">
        <v>1</v>
      </c>
      <c r="T2698" s="11" t="inlineStr">
        <is>
          <t>B · INTEGRANTE</t>
        </is>
      </c>
      <c r="U2698" s="11" t="inlineStr">
        <is>
          <t>AGRUPACIÓN FID (solo si no es cliente del banco)</t>
        </is>
      </c>
      <c r="V2698" s="11" t="n"/>
      <c r="W2698" s="12" t="n"/>
      <c r="X2698" s="12" t="inlineStr">
        <is>
          <t>Pesos por campo: país de nacimiento 9 · nacionalidad 11 · país del domicilio 11</t>
        </is>
      </c>
      <c r="Y2698" s="128" t="inlineStr">
        <is>
          <t>ZVALF0007 / 0008 / 0009 (F4–F6): código de país del banco, p. ej. MX</t>
        </is>
      </c>
    </row>
    <row r="2699" ht="26" customHeight="1">
      <c r="C2699" s="25" t="inlineStr">
        <is>
          <t>PAÍS (NACIMIENTO/NACIONALIDAD/DOMICILIO) (OPERATIVO V1)</t>
        </is>
      </c>
      <c r="D2699" s="25" t="inlineStr">
        <is>
          <t>FI3-FI5</t>
        </is>
      </c>
      <c r="E2699" s="25" t="inlineStr">
        <is>
          <t>FIDUCIARIO INTEGRANTE</t>
        </is>
      </c>
      <c r="F2699" s="25" t="inlineStr">
        <is>
          <t>NORTEAMÉRICA / EUROPA (BAJO RIESGO)</t>
        </is>
      </c>
      <c r="G2699" s="25" t="n">
        <v>9122</v>
      </c>
      <c r="H2699" s="25" t="n">
        <v>2</v>
      </c>
      <c r="T2699" s="11" t="inlineStr">
        <is>
          <t>B · INTEGRANTE</t>
        </is>
      </c>
      <c r="U2699" s="11" t="inlineStr">
        <is>
          <t>AGRUPACIÓN FID (solo si no es cliente del banco)</t>
        </is>
      </c>
      <c r="V2699" s="11" t="n"/>
      <c r="W2699" s="12" t="n"/>
      <c r="X2699" s="12" t="inlineStr">
        <is>
          <t>Pesos por campo: país de nacimiento 9 · nacionalidad 11 · país del domicilio 11</t>
        </is>
      </c>
    </row>
    <row r="2700" ht="26" customHeight="1">
      <c r="C2700" s="25" t="inlineStr">
        <is>
          <t>PAÍS (NACIMIENTO/NACIONALIDAD/DOMICILIO) (OPERATIVO V1)</t>
        </is>
      </c>
      <c r="D2700" s="25" t="inlineStr">
        <is>
          <t>FI3-FI5</t>
        </is>
      </c>
      <c r="E2700" s="25" t="inlineStr">
        <is>
          <t>FIDUCIARIO INTEGRANTE</t>
        </is>
      </c>
      <c r="F2700" s="25" t="inlineStr">
        <is>
          <t>OTRO PAÍS</t>
        </is>
      </c>
      <c r="G2700" s="25" t="n">
        <v>9123</v>
      </c>
      <c r="H2700" s="25" t="n">
        <v>3</v>
      </c>
      <c r="T2700" s="11" t="inlineStr">
        <is>
          <t>B · INTEGRANTE</t>
        </is>
      </c>
      <c r="U2700" s="11" t="inlineStr">
        <is>
          <t>AGRUPACIÓN FID (solo si no es cliente del banco)</t>
        </is>
      </c>
      <c r="V2700" s="11" t="n"/>
      <c r="W2700" s="12" t="n"/>
      <c r="X2700" s="12" t="inlineStr">
        <is>
          <t>Pesos por campo: país de nacimiento 9 · nacionalidad 11 · país del domicilio 11</t>
        </is>
      </c>
    </row>
    <row r="2701" ht="26" customHeight="1">
      <c r="C2701" s="25" t="inlineStr">
        <is>
          <t>PAÍS (NACIMIENTO/NACIONALIDAD/DOMICILIO) (OPERATIVO V1)</t>
        </is>
      </c>
      <c r="D2701" s="25" t="inlineStr">
        <is>
          <t>FI3-FI5</t>
        </is>
      </c>
      <c r="E2701" s="25" t="inlineStr">
        <is>
          <t>FIDUCIARIO INTEGRANTE</t>
        </is>
      </c>
      <c r="F2701" s="25" t="inlineStr">
        <is>
          <t>RÉGIMEN FISCAL PREFERENTE</t>
        </is>
      </c>
      <c r="G2701" s="25" t="n">
        <v>9124</v>
      </c>
      <c r="H2701" s="25" t="n">
        <v>4</v>
      </c>
      <c r="T2701" s="11" t="inlineStr">
        <is>
          <t>B · INTEGRANTE</t>
        </is>
      </c>
      <c r="U2701" s="11" t="inlineStr">
        <is>
          <t>AGRUPACIÓN FID (solo si no es cliente del banco)</t>
        </is>
      </c>
      <c r="V2701" s="11" t="n"/>
      <c r="W2701" s="12" t="n"/>
      <c r="X2701" s="12" t="inlineStr">
        <is>
          <t>Pesos por campo: país de nacimiento 9 · nacionalidad 11 · país del domicilio 11</t>
        </is>
      </c>
    </row>
    <row r="2702" ht="26" customHeight="1">
      <c r="C2702" s="25" t="inlineStr">
        <is>
          <t>PAÍS (NACIMIENTO/NACIONALIDAD/DOMICILIO) (OPERATIVO V1)</t>
        </is>
      </c>
      <c r="D2702" s="25" t="inlineStr">
        <is>
          <t>FI3-FI5</t>
        </is>
      </c>
      <c r="E2702" s="25" t="inlineStr">
        <is>
          <t>FIDUCIARIO INTEGRANTE</t>
        </is>
      </c>
      <c r="F2702" s="25" t="inlineStr">
        <is>
          <t>LISTA GAFI GRIS</t>
        </is>
      </c>
      <c r="G2702" s="25" t="n">
        <v>9125</v>
      </c>
      <c r="H2702" s="25" t="n">
        <v>5</v>
      </c>
      <c r="T2702" s="11" t="inlineStr">
        <is>
          <t>B · INTEGRANTE</t>
        </is>
      </c>
      <c r="U2702" s="11" t="inlineStr">
        <is>
          <t>AGRUPACIÓN FID (solo si no es cliente del banco)</t>
        </is>
      </c>
      <c r="V2702" s="11" t="n"/>
      <c r="W2702" s="12" t="n"/>
      <c r="X2702" s="12" t="inlineStr">
        <is>
          <t>Pesos por campo: país de nacimiento 9 · nacionalidad 11 · país del domicilio 11</t>
        </is>
      </c>
    </row>
    <row r="2703" ht="26" customHeight="1">
      <c r="C2703" s="25" t="inlineStr">
        <is>
          <t>PAÍS (NACIMIENTO/NACIONALIDAD/DOMICILIO) (OPERATIVO V1)</t>
        </is>
      </c>
      <c r="D2703" s="25" t="inlineStr">
        <is>
          <t>FI3-FI5</t>
        </is>
      </c>
      <c r="E2703" s="25" t="inlineStr">
        <is>
          <t>FIDUCIARIO INTEGRANTE</t>
        </is>
      </c>
      <c r="F2703" s="25" t="inlineStr">
        <is>
          <t>LISTA GAFI NEGRA / SANCIONADO</t>
        </is>
      </c>
      <c r="G2703" s="25" t="n">
        <v>9126</v>
      </c>
      <c r="H2703" s="25" t="n">
        <v>5</v>
      </c>
      <c r="T2703" s="11" t="inlineStr">
        <is>
          <t>B · INTEGRANTE</t>
        </is>
      </c>
      <c r="U2703" s="11" t="inlineStr">
        <is>
          <t>AGRUPACIÓN FID (solo si no es cliente del banco)</t>
        </is>
      </c>
      <c r="V2703" s="11" t="n"/>
      <c r="W2703" s="12" t="n"/>
      <c r="X2703" s="12" t="inlineStr">
        <is>
          <t>Pesos por campo: país de nacimiento 9 · nacionalidad 11 · país del domicilio 11</t>
        </is>
      </c>
    </row>
    <row r="2704" ht="26" customHeight="1">
      <c r="C2704" s="25" t="inlineStr">
        <is>
          <t>ESTADO DEL DOMICILIO (OPERATIVO V1)</t>
        </is>
      </c>
      <c r="D2704" s="25" t="inlineStr">
        <is>
          <t>FI6</t>
        </is>
      </c>
      <c r="E2704" s="25" t="inlineStr">
        <is>
          <t>FIDUCIARIO INTEGRANTE</t>
        </is>
      </c>
      <c r="F2704" s="25" t="inlineStr">
        <is>
          <t>BAJA INCIDENCIA DELICTIVA</t>
        </is>
      </c>
      <c r="G2704" s="25" t="n">
        <v>9131</v>
      </c>
      <c r="H2704" s="25" t="n">
        <v>1</v>
      </c>
      <c r="J2704" t="n">
        <v>12</v>
      </c>
      <c r="R2704" t="n">
        <v>0.12</v>
      </c>
      <c r="T2704" s="11" t="inlineStr">
        <is>
          <t>B · INTEGRANTE</t>
        </is>
      </c>
      <c r="U2704" s="11" t="inlineStr">
        <is>
          <t>AGRUPACIÓN FID (solo si no es cliente del banco)</t>
        </is>
      </c>
      <c r="V2704" s="11" t="n"/>
      <c r="W2704" s="12" t="n"/>
      <c r="X2704" s="12" t="n"/>
      <c r="Y2704" s="128" t="inlineStr">
        <is>
          <t>ZVALF0001 (F7): clave de estado del banco, p. ej. 09</t>
        </is>
      </c>
    </row>
    <row r="2705" ht="26" customHeight="1">
      <c r="C2705" s="25" t="inlineStr">
        <is>
          <t>ESTADO DEL DOMICILIO (OPERATIVO V1)</t>
        </is>
      </c>
      <c r="D2705" s="25" t="inlineStr">
        <is>
          <t>FI6</t>
        </is>
      </c>
      <c r="E2705" s="25" t="inlineStr">
        <is>
          <t>FIDUCIARIO INTEGRANTE</t>
        </is>
      </c>
      <c r="F2705" s="25" t="inlineStr">
        <is>
          <t>INCIDENCIA MEDIA</t>
        </is>
      </c>
      <c r="G2705" s="25" t="n">
        <v>9132</v>
      </c>
      <c r="H2705" s="25" t="n">
        <v>2</v>
      </c>
      <c r="J2705" t="n">
        <v>12</v>
      </c>
      <c r="R2705" t="n">
        <v>0.12</v>
      </c>
      <c r="T2705" s="11" t="inlineStr">
        <is>
          <t>B · INTEGRANTE</t>
        </is>
      </c>
      <c r="U2705" s="11" t="inlineStr">
        <is>
          <t>AGRUPACIÓN FID (solo si no es cliente del banco)</t>
        </is>
      </c>
      <c r="V2705" s="11" t="n"/>
      <c r="W2705" s="12" t="n"/>
      <c r="X2705" s="12" t="n"/>
    </row>
    <row r="2706" ht="26" customHeight="1">
      <c r="C2706" s="25" t="inlineStr">
        <is>
          <t>ESTADO DEL DOMICILIO (OPERATIVO V1)</t>
        </is>
      </c>
      <c r="D2706" s="25" t="inlineStr">
        <is>
          <t>FI6</t>
        </is>
      </c>
      <c r="E2706" s="25" t="inlineStr">
        <is>
          <t>FIDUCIARIO INTEGRANTE</t>
        </is>
      </c>
      <c r="F2706" s="25" t="inlineStr">
        <is>
          <t>DOMICILIO EN EL EXTRANJERO</t>
        </is>
      </c>
      <c r="G2706" s="25" t="n">
        <v>9133</v>
      </c>
      <c r="H2706" s="25" t="n">
        <v>3</v>
      </c>
      <c r="J2706" t="n">
        <v>12</v>
      </c>
      <c r="R2706" t="n">
        <v>0.12</v>
      </c>
      <c r="T2706" s="11" t="inlineStr">
        <is>
          <t>B · INTEGRANTE</t>
        </is>
      </c>
      <c r="U2706" s="11" t="inlineStr">
        <is>
          <t>AGRUPACIÓN FID (solo si no es cliente del banco)</t>
        </is>
      </c>
      <c r="V2706" s="11" t="n"/>
      <c r="W2706" s="12" t="n"/>
      <c r="X2706" s="12" t="n"/>
    </row>
    <row r="2707" ht="26" customHeight="1">
      <c r="C2707" s="25" t="inlineStr">
        <is>
          <t>ESTADO DEL DOMICILIO (OPERATIVO V1)</t>
        </is>
      </c>
      <c r="D2707" s="25" t="inlineStr">
        <is>
          <t>FI6</t>
        </is>
      </c>
      <c r="E2707" s="25" t="inlineStr">
        <is>
          <t>FIDUCIARIO INTEGRANTE</t>
        </is>
      </c>
      <c r="F2707" s="25" t="inlineStr">
        <is>
          <t>ALTA INCIDENCIA DELICTIVA</t>
        </is>
      </c>
      <c r="G2707" s="25" t="n">
        <v>9134</v>
      </c>
      <c r="H2707" s="25" t="n">
        <v>4</v>
      </c>
      <c r="J2707" t="n">
        <v>12</v>
      </c>
      <c r="R2707" t="n">
        <v>0.12</v>
      </c>
      <c r="T2707" s="11" t="inlineStr">
        <is>
          <t>B · INTEGRANTE</t>
        </is>
      </c>
      <c r="U2707" s="11" t="inlineStr">
        <is>
          <t>AGRUPACIÓN FID (solo si no es cliente del banco)</t>
        </is>
      </c>
      <c r="V2707" s="11" t="n"/>
      <c r="W2707" s="12" t="n"/>
      <c r="X2707" s="12" t="n"/>
    </row>
    <row r="2708" ht="26" customHeight="1">
      <c r="C2708" s="25" t="inlineStr">
        <is>
          <t>ESTADO DEL DOMICILIO (OPERATIVO V1)</t>
        </is>
      </c>
      <c r="D2708" s="25" t="inlineStr">
        <is>
          <t>FI6</t>
        </is>
      </c>
      <c r="E2708" s="25" t="inlineStr">
        <is>
          <t>FIDUCIARIO INTEGRANTE</t>
        </is>
      </c>
      <c r="F2708" s="25" t="inlineStr">
        <is>
          <t>FRONTERA / PUERTO</t>
        </is>
      </c>
      <c r="G2708" s="25" t="n">
        <v>9135</v>
      </c>
      <c r="H2708" s="25" t="n">
        <v>4</v>
      </c>
      <c r="J2708" t="n">
        <v>12</v>
      </c>
      <c r="R2708" t="n">
        <v>0.12</v>
      </c>
      <c r="T2708" s="11" t="inlineStr">
        <is>
          <t>B · INTEGRANTE</t>
        </is>
      </c>
      <c r="U2708" s="11" t="inlineStr">
        <is>
          <t>AGRUPACIÓN FID (solo si no es cliente del banco)</t>
        </is>
      </c>
      <c r="V2708" s="11" t="n"/>
      <c r="W2708" s="12" t="n"/>
      <c r="X2708" s="12" t="n"/>
    </row>
    <row r="2709" ht="26" customHeight="1">
      <c r="C2709" s="25" t="inlineStr">
        <is>
          <t>EDAD / ANTIGÜEDAD DE CONSTITUCIÓN (OPERATIVO V1)</t>
        </is>
      </c>
      <c r="D2709" s="25" t="inlineStr">
        <is>
          <t>FI7</t>
        </is>
      </c>
      <c r="E2709" s="25" t="inlineStr">
        <is>
          <t>FIDUCIARIO INTEGRANTE</t>
        </is>
      </c>
      <c r="F2709" s="25" t="inlineStr">
        <is>
          <t>MÁS DE 10 AÑOS</t>
        </is>
      </c>
      <c r="G2709" s="25" t="n">
        <v>9141</v>
      </c>
      <c r="H2709" s="25" t="n">
        <v>1</v>
      </c>
      <c r="J2709" t="n">
        <v>7</v>
      </c>
      <c r="R2709" t="n">
        <v>0.07000000000000001</v>
      </c>
      <c r="T2709" s="11" t="inlineStr">
        <is>
          <t>B · INTEGRANTE</t>
        </is>
      </c>
      <c r="U2709" s="11" t="inlineStr">
        <is>
          <t>AGRUPACIÓN FID (solo si no es cliente del banco)</t>
        </is>
      </c>
      <c r="V2709" s="11" t="n"/>
      <c r="W2709" s="12" t="n"/>
      <c r="X2709" s="12" t="n"/>
      <c r="Y2709" s="128" t="inlineStr">
        <is>
          <t>ZVALF0020 (F2): fecha de constitución aaaammdd</t>
        </is>
      </c>
    </row>
    <row r="2710" ht="26" customHeight="1">
      <c r="C2710" s="25" t="inlineStr">
        <is>
          <t>EDAD / ANTIGÜEDAD DE CONSTITUCIÓN (OPERATIVO V1)</t>
        </is>
      </c>
      <c r="D2710" s="25" t="inlineStr">
        <is>
          <t>FI7</t>
        </is>
      </c>
      <c r="E2710" s="25" t="inlineStr">
        <is>
          <t>FIDUCIARIO INTEGRANTE</t>
        </is>
      </c>
      <c r="F2710" s="25" t="inlineStr">
        <is>
          <t>3 A 10 AÑOS</t>
        </is>
      </c>
      <c r="G2710" s="25" t="n">
        <v>9142</v>
      </c>
      <c r="H2710" s="25" t="n">
        <v>2</v>
      </c>
      <c r="J2710" t="n">
        <v>7</v>
      </c>
      <c r="R2710" t="n">
        <v>0.07000000000000001</v>
      </c>
      <c r="T2710" s="11" t="inlineStr">
        <is>
          <t>B · INTEGRANTE</t>
        </is>
      </c>
      <c r="U2710" s="11" t="inlineStr">
        <is>
          <t>AGRUPACIÓN FID (solo si no es cliente del banco)</t>
        </is>
      </c>
      <c r="V2710" s="11" t="n"/>
      <c r="W2710" s="12" t="n"/>
      <c r="X2710" s="12" t="n"/>
    </row>
    <row r="2711" ht="26" customHeight="1">
      <c r="C2711" s="25" t="inlineStr">
        <is>
          <t>EDAD / ANTIGÜEDAD DE CONSTITUCIÓN (OPERATIVO V1)</t>
        </is>
      </c>
      <c r="D2711" s="25" t="inlineStr">
        <is>
          <t>FI7</t>
        </is>
      </c>
      <c r="E2711" s="25" t="inlineStr">
        <is>
          <t>FIDUCIARIO INTEGRANTE</t>
        </is>
      </c>
      <c r="F2711" s="25" t="inlineStr">
        <is>
          <t>1 A 3 AÑOS</t>
        </is>
      </c>
      <c r="G2711" s="25" t="n">
        <v>9143</v>
      </c>
      <c r="H2711" s="25" t="n">
        <v>4</v>
      </c>
      <c r="J2711" t="n">
        <v>7</v>
      </c>
      <c r="R2711" t="n">
        <v>0.07000000000000001</v>
      </c>
      <c r="T2711" s="11" t="inlineStr">
        <is>
          <t>B · INTEGRANTE</t>
        </is>
      </c>
      <c r="U2711" s="11" t="inlineStr">
        <is>
          <t>AGRUPACIÓN FID (solo si no es cliente del banco)</t>
        </is>
      </c>
      <c r="V2711" s="11" t="n"/>
      <c r="W2711" s="12" t="n"/>
      <c r="X2711" s="12" t="n"/>
    </row>
    <row r="2712" ht="26" customHeight="1">
      <c r="C2712" s="25" t="inlineStr">
        <is>
          <t>EDAD / ANTIGÜEDAD DE CONSTITUCIÓN (OPERATIVO V1)</t>
        </is>
      </c>
      <c r="D2712" s="25" t="inlineStr">
        <is>
          <t>FI7</t>
        </is>
      </c>
      <c r="E2712" s="25" t="inlineStr">
        <is>
          <t>FIDUCIARIO INTEGRANTE</t>
        </is>
      </c>
      <c r="F2712" s="25" t="inlineStr">
        <is>
          <t>MENOS DE 1 AÑO</t>
        </is>
      </c>
      <c r="G2712" s="25" t="n">
        <v>9144</v>
      </c>
      <c r="H2712" s="25" t="n">
        <v>5</v>
      </c>
      <c r="J2712" t="n">
        <v>7</v>
      </c>
      <c r="R2712" t="n">
        <v>0.07000000000000001</v>
      </c>
      <c r="T2712" s="11" t="inlineStr">
        <is>
          <t>B · INTEGRANTE</t>
        </is>
      </c>
      <c r="U2712" s="11" t="inlineStr">
        <is>
          <t>AGRUPACIÓN FID (solo si no es cliente del banco)</t>
        </is>
      </c>
      <c r="V2712" s="11" t="n"/>
      <c r="W2712" s="12" t="n"/>
      <c r="X2712" s="12" t="n"/>
    </row>
    <row r="2713" ht="26" customHeight="1">
      <c r="C2713" s="25" t="inlineStr">
        <is>
          <t>EDAD PERSONA FÍSICA (OPERATIVO V1)</t>
        </is>
      </c>
      <c r="D2713" s="25" t="inlineStr">
        <is>
          <t>FI7</t>
        </is>
      </c>
      <c r="E2713" s="25" t="inlineStr">
        <is>
          <t>FIDUCIARIO INTEGRANTE</t>
        </is>
      </c>
      <c r="F2713" s="25" t="inlineStr">
        <is>
          <t>25 A 50 AÑOS</t>
        </is>
      </c>
      <c r="G2713" s="25" t="n">
        <v>9145</v>
      </c>
      <c r="H2713" s="25" t="n">
        <v>1</v>
      </c>
      <c r="J2713" t="n">
        <v>7</v>
      </c>
      <c r="R2713" t="n">
        <v>0.07000000000000001</v>
      </c>
      <c r="T2713" s="11" t="inlineStr">
        <is>
          <t>B · INTEGRANTE</t>
        </is>
      </c>
      <c r="U2713" s="11" t="inlineStr">
        <is>
          <t>AGRUPACIÓN FID (solo si no es cliente del banco)</t>
        </is>
      </c>
      <c r="V2713" s="11" t="n"/>
      <c r="W2713" s="12" t="n"/>
      <c r="X2713" s="12" t="n"/>
      <c r="Y2713" s="128" t="inlineStr">
        <is>
          <t>ZVALF0020 (F2): fecha de nacimiento aaaammdd</t>
        </is>
      </c>
    </row>
    <row r="2714" ht="26" customHeight="1">
      <c r="C2714" s="25" t="inlineStr">
        <is>
          <t>EDAD PERSONA FÍSICA (OPERATIVO V1)</t>
        </is>
      </c>
      <c r="D2714" s="25" t="inlineStr">
        <is>
          <t>FI7</t>
        </is>
      </c>
      <c r="E2714" s="25" t="inlineStr">
        <is>
          <t>FIDUCIARIO INTEGRANTE</t>
        </is>
      </c>
      <c r="F2714" s="25" t="inlineStr">
        <is>
          <t>51 A 65 AÑOS</t>
        </is>
      </c>
      <c r="G2714" s="25" t="n">
        <v>9146</v>
      </c>
      <c r="H2714" s="25" t="n">
        <v>2</v>
      </c>
      <c r="J2714" t="n">
        <v>7</v>
      </c>
      <c r="R2714" t="n">
        <v>0.07000000000000001</v>
      </c>
      <c r="T2714" s="11" t="inlineStr">
        <is>
          <t>B · INTEGRANTE</t>
        </is>
      </c>
      <c r="U2714" s="11" t="inlineStr">
        <is>
          <t>AGRUPACIÓN FID (solo si no es cliente del banco)</t>
        </is>
      </c>
      <c r="V2714" s="11" t="n"/>
      <c r="W2714" s="12" t="n"/>
      <c r="X2714" s="12" t="n"/>
    </row>
    <row r="2715" ht="26" customHeight="1">
      <c r="C2715" s="25" t="inlineStr">
        <is>
          <t>EDAD PERSONA FÍSICA (OPERATIVO V1)</t>
        </is>
      </c>
      <c r="D2715" s="25" t="inlineStr">
        <is>
          <t>FI7</t>
        </is>
      </c>
      <c r="E2715" s="25" t="inlineStr">
        <is>
          <t>FIDUCIARIO INTEGRANTE</t>
        </is>
      </c>
      <c r="F2715" s="25" t="inlineStr">
        <is>
          <t>MÁS DE 65 AÑOS</t>
        </is>
      </c>
      <c r="G2715" s="25" t="n">
        <v>9147</v>
      </c>
      <c r="H2715" s="25" t="n">
        <v>4</v>
      </c>
      <c r="J2715" t="n">
        <v>7</v>
      </c>
      <c r="R2715" t="n">
        <v>0.07000000000000001</v>
      </c>
      <c r="T2715" s="11" t="inlineStr">
        <is>
          <t>B · INTEGRANTE</t>
        </is>
      </c>
      <c r="U2715" s="11" t="inlineStr">
        <is>
          <t>AGRUPACIÓN FID (solo si no es cliente del banco)</t>
        </is>
      </c>
      <c r="V2715" s="11" t="n"/>
      <c r="W2715" s="12" t="n"/>
      <c r="X2715" s="12" t="n"/>
    </row>
    <row r="2716" ht="26" customHeight="1">
      <c r="C2716" s="25" t="inlineStr">
        <is>
          <t>EDAD PERSONA FÍSICA (OPERATIVO V1)</t>
        </is>
      </c>
      <c r="D2716" s="25" t="inlineStr">
        <is>
          <t>FI7</t>
        </is>
      </c>
      <c r="E2716" s="25" t="inlineStr">
        <is>
          <t>FIDUCIARIO INTEGRANTE</t>
        </is>
      </c>
      <c r="F2716" s="25" t="inlineStr">
        <is>
          <t>18 A 24 AÑOS</t>
        </is>
      </c>
      <c r="G2716" s="25" t="n">
        <v>9148</v>
      </c>
      <c r="H2716" s="25" t="n">
        <v>4</v>
      </c>
      <c r="J2716" t="n">
        <v>7</v>
      </c>
      <c r="R2716" t="n">
        <v>0.07000000000000001</v>
      </c>
      <c r="T2716" s="11" t="inlineStr">
        <is>
          <t>B · INTEGRANTE</t>
        </is>
      </c>
      <c r="U2716" s="11" t="inlineStr">
        <is>
          <t>AGRUPACIÓN FID (solo si no es cliente del banco)</t>
        </is>
      </c>
      <c r="V2716" s="11" t="n"/>
      <c r="W2716" s="12" t="n"/>
      <c r="X2716" s="12" t="n"/>
    </row>
    <row r="2717" ht="26" customHeight="1">
      <c r="C2717" s="25" t="inlineStr">
        <is>
          <t>EDAD PERSONA FÍSICA (OPERATIVO V1)</t>
        </is>
      </c>
      <c r="D2717" s="25" t="inlineStr">
        <is>
          <t>FI7</t>
        </is>
      </c>
      <c r="E2717" s="25" t="inlineStr">
        <is>
          <t>FIDUCIARIO INTEGRANTE</t>
        </is>
      </c>
      <c r="F2717" s="25" t="inlineStr">
        <is>
          <t>MENOR DE EDAD</t>
        </is>
      </c>
      <c r="G2717" s="25" t="n">
        <v>9149</v>
      </c>
      <c r="H2717" s="25" t="n">
        <v>4</v>
      </c>
      <c r="J2717" t="n">
        <v>7</v>
      </c>
      <c r="R2717" t="n">
        <v>0.07000000000000001</v>
      </c>
      <c r="T2717" s="11" t="inlineStr">
        <is>
          <t>B · INTEGRANTE</t>
        </is>
      </c>
      <c r="U2717" s="11" t="inlineStr">
        <is>
          <t>AGRUPACIÓN FID (solo si no es cliente del banco)</t>
        </is>
      </c>
      <c r="V2717" s="11" t="n"/>
      <c r="W2717" s="12" t="n"/>
      <c r="X2717" s="12" t="n"/>
    </row>
    <row r="2719">
      <c r="C2719" s="26" t="inlineStr">
        <is>
          <t>▼ VARIABLES NUEVAS PROPUESTAS — revisar nombre y nivel</t>
        </is>
      </c>
      <c r="D2719" s="27" t="n"/>
      <c r="E2719" s="27" t="n"/>
      <c r="F2719" s="27" t="n"/>
      <c r="G2719" s="27" t="n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n"/>
      <c r="R2719" s="27" t="n"/>
      <c r="S2719" s="27" t="n"/>
      <c r="T2719" s="27" t="n"/>
      <c r="U2719" s="27" t="n"/>
      <c r="V2719" s="27" t="n"/>
      <c r="W2719" s="27" t="n"/>
      <c r="X2719" s="27" t="n"/>
    </row>
    <row r="2720" ht="26" customHeight="1">
      <c r="C2720" s="104" t="inlineStr">
        <is>
          <t>ACTIVIDAD / GIRO DEL FIDEICOMISO</t>
        </is>
      </c>
      <c r="D2720" s="106" t="inlineStr">
        <is>
          <t>FF11</t>
        </is>
      </c>
      <c r="E2720" s="106" t="inlineStr">
        <is>
          <t>INHERENTE</t>
        </is>
      </c>
      <c r="F2720" s="104" t="inlineStr">
        <is>
          <t>TENENCIA Y ADMINISTRACIÓN DE PATRIMONIO FAMILIAR</t>
        </is>
      </c>
      <c r="G2720" s="106" t="n">
        <v>9201</v>
      </c>
      <c r="H2720" s="106" t="n">
        <v>1</v>
      </c>
      <c r="I2720" s="106" t="n">
        <v>1</v>
      </c>
      <c r="J2720" s="106" t="n">
        <v>0</v>
      </c>
      <c r="K2720" s="107" t="n">
        <v>0</v>
      </c>
      <c r="L2720" s="107" t="n">
        <v>0</v>
      </c>
      <c r="M2720" s="107" t="n">
        <v>0</v>
      </c>
      <c r="N2720" s="107" t="n">
        <v>0</v>
      </c>
      <c r="O2720" s="107" t="n"/>
      <c r="P2720" s="107" t="n"/>
      <c r="Q2720" s="107" t="n"/>
      <c r="R2720" s="106" t="n">
        <v>0</v>
      </c>
      <c r="S2720" s="104" t="inlineStr">
        <is>
          <t>No pondera: describe el vehículo y dispara TR-23</t>
        </is>
      </c>
      <c r="T2720" s="104" t="inlineStr">
        <is>
          <t>A · VEHÍCULO</t>
        </is>
      </c>
      <c r="U2720" s="104" t="inlineStr">
        <is>
          <t>NUEVA · VEHÍCULO</t>
        </is>
      </c>
      <c r="V2720" s="107" t="n"/>
      <c r="W2720" s="105" t="n"/>
      <c r="X2720" s="105" t="inlineStr">
        <is>
          <t>SIN PESO — describe el vehículo y dispara la regla TR-23 a partir del nivel 4. No pondera, para no contar tres veces lo mismo con FF1 y FF6.</t>
        </is>
      </c>
    </row>
    <row r="2721" ht="26" customHeight="1">
      <c r="C2721" s="104" t="inlineStr">
        <is>
          <t>ACTIVIDAD / GIRO DEL FIDEICOMISO</t>
        </is>
      </c>
      <c r="D2721" s="106" t="inlineStr">
        <is>
          <t>FF11</t>
        </is>
      </c>
      <c r="E2721" s="106" t="inlineStr">
        <is>
          <t>INHERENTE</t>
        </is>
      </c>
      <c r="F2721" s="104" t="inlineStr">
        <is>
          <t>ADMINISTRACIÓN DE RECURSOS PROPIOS SIN TERCEROS</t>
        </is>
      </c>
      <c r="G2721" s="106" t="n">
        <v>9202</v>
      </c>
      <c r="H2721" s="106" t="n">
        <v>1</v>
      </c>
      <c r="I2721" s="106" t="n">
        <v>1</v>
      </c>
      <c r="J2721" s="106" t="n">
        <v>0</v>
      </c>
      <c r="K2721" s="107" t="n">
        <v>0</v>
      </c>
      <c r="L2721" s="107" t="n">
        <v>0</v>
      </c>
      <c r="M2721" s="107" t="n">
        <v>0</v>
      </c>
      <c r="N2721" s="107" t="n">
        <v>0</v>
      </c>
      <c r="O2721" s="107" t="n"/>
      <c r="P2721" s="107" t="n"/>
      <c r="Q2721" s="107" t="n"/>
      <c r="R2721" s="106" t="n">
        <v>0</v>
      </c>
      <c r="S2721" s="104" t="inlineStr">
        <is>
          <t>No pondera: describe el vehículo y dispara TR-23</t>
        </is>
      </c>
      <c r="T2721" s="104" t="inlineStr">
        <is>
          <t>A · VEHÍCULO</t>
        </is>
      </c>
      <c r="U2721" s="104" t="inlineStr">
        <is>
          <t>NUEVA · VEHÍCULO</t>
        </is>
      </c>
      <c r="V2721" s="107" t="n"/>
      <c r="W2721" s="105" t="n"/>
      <c r="X2721" s="105" t="inlineStr">
        <is>
          <t>SIN PESO — describe el vehículo y dispara la regla TR-23 a partir del nivel 4. No pondera, para no contar tres veces lo mismo con FF1 y FF6.</t>
        </is>
      </c>
    </row>
    <row r="2722" ht="26" customHeight="1">
      <c r="C2722" s="104" t="inlineStr">
        <is>
          <t>ACTIVIDAD / GIRO DEL FIDEICOMISO</t>
        </is>
      </c>
      <c r="D2722" s="106" t="inlineStr">
        <is>
          <t>FF11</t>
        </is>
      </c>
      <c r="E2722" s="106" t="inlineStr">
        <is>
          <t>INHERENTE</t>
        </is>
      </c>
      <c r="F2722" s="104" t="inlineStr">
        <is>
          <t>GARANTÍA DE CRÉDITO BANCARIO</t>
        </is>
      </c>
      <c r="G2722" s="106" t="n">
        <v>9203</v>
      </c>
      <c r="H2722" s="106" t="n">
        <v>2</v>
      </c>
      <c r="I2722" s="106" t="n">
        <v>2</v>
      </c>
      <c r="J2722" s="106" t="n">
        <v>0</v>
      </c>
      <c r="K2722" s="107" t="n">
        <v>0</v>
      </c>
      <c r="L2722" s="107" t="n">
        <v>0</v>
      </c>
      <c r="M2722" s="107" t="n">
        <v>0</v>
      </c>
      <c r="N2722" s="107" t="n">
        <v>0</v>
      </c>
      <c r="O2722" s="107" t="n"/>
      <c r="P2722" s="107" t="n"/>
      <c r="Q2722" s="107" t="n"/>
      <c r="R2722" s="106" t="n">
        <v>0</v>
      </c>
      <c r="S2722" s="104" t="inlineStr">
        <is>
          <t>No pondera: describe el vehículo y dispara TR-23</t>
        </is>
      </c>
      <c r="T2722" s="104" t="inlineStr">
        <is>
          <t>A · VEHÍCULO</t>
        </is>
      </c>
      <c r="U2722" s="104" t="inlineStr">
        <is>
          <t>NUEVA · VEHÍCULO</t>
        </is>
      </c>
      <c r="V2722" s="107" t="n"/>
      <c r="W2722" s="105" t="n"/>
      <c r="X2722" s="105" t="inlineStr">
        <is>
          <t>SIN PESO — describe el vehículo y dispara la regla TR-23 a partir del nivel 4. No pondera, para no contar tres veces lo mismo con FF1 y FF6.</t>
        </is>
      </c>
    </row>
    <row r="2723" ht="26" customHeight="1">
      <c r="C2723" s="104" t="inlineStr">
        <is>
          <t>ACTIVIDAD / GIRO DEL FIDEICOMISO</t>
        </is>
      </c>
      <c r="D2723" s="106" t="inlineStr">
        <is>
          <t>FF11</t>
        </is>
      </c>
      <c r="E2723" s="106" t="inlineStr">
        <is>
          <t>INHERENTE</t>
        </is>
      </c>
      <c r="F2723" s="104" t="inlineStr">
        <is>
          <t>FUENTE DE PAGO DE CRÉDITO</t>
        </is>
      </c>
      <c r="G2723" s="106" t="n">
        <v>9204</v>
      </c>
      <c r="H2723" s="106" t="n">
        <v>2</v>
      </c>
      <c r="I2723" s="106" t="n">
        <v>2</v>
      </c>
      <c r="J2723" s="106" t="n">
        <v>0</v>
      </c>
      <c r="K2723" s="107" t="n">
        <v>0</v>
      </c>
      <c r="L2723" s="107" t="n">
        <v>0</v>
      </c>
      <c r="M2723" s="107" t="n">
        <v>0</v>
      </c>
      <c r="N2723" s="107" t="n">
        <v>0</v>
      </c>
      <c r="O2723" s="107" t="n"/>
      <c r="P2723" s="107" t="n"/>
      <c r="Q2723" s="107" t="n"/>
      <c r="R2723" s="106" t="n">
        <v>0</v>
      </c>
      <c r="S2723" s="104" t="inlineStr">
        <is>
          <t>No pondera: describe el vehículo y dispara TR-23</t>
        </is>
      </c>
      <c r="T2723" s="104" t="inlineStr">
        <is>
          <t>A · VEHÍCULO</t>
        </is>
      </c>
      <c r="U2723" s="104" t="inlineStr">
        <is>
          <t>NUEVA · VEHÍCULO</t>
        </is>
      </c>
      <c r="V2723" s="107" t="n"/>
      <c r="W2723" s="105" t="n"/>
      <c r="X2723" s="105" t="inlineStr">
        <is>
          <t>SIN PESO — describe el vehículo y dispara la regla TR-23 a partir del nivel 4. No pondera, para no contar tres veces lo mismo con FF1 y FF6.</t>
        </is>
      </c>
    </row>
    <row r="2724" ht="26" customHeight="1">
      <c r="C2724" s="104" t="inlineStr">
        <is>
          <t>ACTIVIDAD / GIRO DEL FIDEICOMISO</t>
        </is>
      </c>
      <c r="D2724" s="106" t="inlineStr">
        <is>
          <t>FF11</t>
        </is>
      </c>
      <c r="E2724" s="106" t="inlineStr">
        <is>
          <t>INHERENTE</t>
        </is>
      </c>
      <c r="F2724" s="104" t="inlineStr">
        <is>
          <t>INVERSIÓN EN VALORES / MERCADO FINANCIERO</t>
        </is>
      </c>
      <c r="G2724" s="106" t="n">
        <v>9205</v>
      </c>
      <c r="H2724" s="106" t="n">
        <v>3</v>
      </c>
      <c r="I2724" s="106" t="n">
        <v>3</v>
      </c>
      <c r="J2724" s="106" t="n">
        <v>0</v>
      </c>
      <c r="K2724" s="107" t="n">
        <v>0</v>
      </c>
      <c r="L2724" s="107" t="n">
        <v>0</v>
      </c>
      <c r="M2724" s="107" t="n">
        <v>0</v>
      </c>
      <c r="N2724" s="107" t="n">
        <v>0</v>
      </c>
      <c r="O2724" s="107" t="n"/>
      <c r="P2724" s="107" t="n"/>
      <c r="Q2724" s="107" t="n"/>
      <c r="R2724" s="106" t="n">
        <v>0</v>
      </c>
      <c r="S2724" s="104" t="inlineStr">
        <is>
          <t>No pondera: describe el vehículo y dispara TR-23</t>
        </is>
      </c>
      <c r="T2724" s="104" t="inlineStr">
        <is>
          <t>A · VEHÍCULO</t>
        </is>
      </c>
      <c r="U2724" s="104" t="inlineStr">
        <is>
          <t>NUEVA · VEHÍCULO</t>
        </is>
      </c>
      <c r="V2724" s="107" t="n"/>
      <c r="W2724" s="105" t="n"/>
      <c r="X2724" s="105" t="inlineStr">
        <is>
          <t>SIN PESO — describe el vehículo y dispara la regla TR-23 a partir del nivel 4. No pondera, para no contar tres veces lo mismo con FF1 y FF6.</t>
        </is>
      </c>
    </row>
    <row r="2725" ht="26" customHeight="1">
      <c r="C2725" s="104" t="inlineStr">
        <is>
          <t>ACTIVIDAD / GIRO DEL FIDEICOMISO</t>
        </is>
      </c>
      <c r="D2725" s="106" t="inlineStr">
        <is>
          <t>FF11</t>
        </is>
      </c>
      <c r="E2725" s="106" t="inlineStr">
        <is>
          <t>INHERENTE</t>
        </is>
      </c>
      <c r="F2725" s="104" t="inlineStr">
        <is>
          <t>ADMINISTRACIÓN DE FLUJOS DE PROYECTO</t>
        </is>
      </c>
      <c r="G2725" s="106" t="n">
        <v>9206</v>
      </c>
      <c r="H2725" s="106" t="n">
        <v>3</v>
      </c>
      <c r="I2725" s="106" t="n">
        <v>3</v>
      </c>
      <c r="J2725" s="106" t="n">
        <v>0</v>
      </c>
      <c r="K2725" s="107" t="n">
        <v>0</v>
      </c>
      <c r="L2725" s="107" t="n">
        <v>0</v>
      </c>
      <c r="M2725" s="107" t="n">
        <v>0</v>
      </c>
      <c r="N2725" s="107" t="n">
        <v>0</v>
      </c>
      <c r="O2725" s="107" t="n"/>
      <c r="P2725" s="107" t="n"/>
      <c r="Q2725" s="107" t="n"/>
      <c r="R2725" s="106" t="n">
        <v>0</v>
      </c>
      <c r="S2725" s="104" t="inlineStr">
        <is>
          <t>No pondera: describe el vehículo y dispara TR-23</t>
        </is>
      </c>
      <c r="T2725" s="104" t="inlineStr">
        <is>
          <t>A · VEHÍCULO</t>
        </is>
      </c>
      <c r="U2725" s="104" t="inlineStr">
        <is>
          <t>NUEVA · VEHÍCULO</t>
        </is>
      </c>
      <c r="V2725" s="107" t="n"/>
      <c r="W2725" s="105" t="n"/>
      <c r="X2725" s="105" t="inlineStr">
        <is>
          <t>SIN PESO — describe el vehículo y dispara la regla TR-23 a partir del nivel 4. No pondera, para no contar tres veces lo mismo con FF1 y FF6.</t>
        </is>
      </c>
    </row>
    <row r="2726" ht="26" customHeight="1">
      <c r="C2726" s="104" t="inlineStr">
        <is>
          <t>ACTIVIDAD / GIRO DEL FIDEICOMISO</t>
        </is>
      </c>
      <c r="D2726" s="106" t="inlineStr">
        <is>
          <t>FF11</t>
        </is>
      </c>
      <c r="E2726" s="106" t="inlineStr">
        <is>
          <t>INHERENTE</t>
        </is>
      </c>
      <c r="F2726" s="104" t="inlineStr">
        <is>
          <t>ARRENDAMIENTO DE INMUEBLES — FRACC. XV LFPIORPI</t>
        </is>
      </c>
      <c r="G2726" s="106" t="n">
        <v>9207</v>
      </c>
      <c r="H2726" s="106" t="n">
        <v>4</v>
      </c>
      <c r="I2726" s="106" t="n">
        <v>4</v>
      </c>
      <c r="J2726" s="106" t="n">
        <v>0</v>
      </c>
      <c r="K2726" s="107" t="n">
        <v>0</v>
      </c>
      <c r="L2726" s="107" t="n">
        <v>0</v>
      </c>
      <c r="M2726" s="107" t="n">
        <v>0</v>
      </c>
      <c r="N2726" s="107" t="n">
        <v>0</v>
      </c>
      <c r="O2726" s="107" t="n"/>
      <c r="P2726" s="107" t="n"/>
      <c r="Q2726" s="107" t="n"/>
      <c r="R2726" s="106" t="n">
        <v>0</v>
      </c>
      <c r="S2726" s="104" t="inlineStr">
        <is>
          <t>No pondera: describe el vehículo y dispara TR-23</t>
        </is>
      </c>
      <c r="T2726" s="104" t="inlineStr">
        <is>
          <t>A · VEHÍCULO</t>
        </is>
      </c>
      <c r="U2726" s="104" t="inlineStr">
        <is>
          <t>NUEVA · VEHÍCULO</t>
        </is>
      </c>
      <c r="V2726" s="107" t="n"/>
      <c r="W2726" s="105" t="n"/>
      <c r="X2726" s="105" t="inlineStr">
        <is>
          <t>SIN PESO — describe el vehículo y dispara la regla TR-23 a partir del nivel 4. No pondera, para no contar tres veces lo mismo con FF1 y FF6.</t>
        </is>
      </c>
    </row>
    <row r="2727" ht="26" customHeight="1">
      <c r="C2727" s="104" t="inlineStr">
        <is>
          <t>ACTIVIDAD / GIRO DEL FIDEICOMISO</t>
        </is>
      </c>
      <c r="D2727" s="106" t="inlineStr">
        <is>
          <t>FF11</t>
        </is>
      </c>
      <c r="E2727" s="106" t="inlineStr">
        <is>
          <t>INHERENTE</t>
        </is>
      </c>
      <c r="F2727" s="104" t="inlineStr">
        <is>
          <t>RECEPCIÓN DE DONATIVOS — FRACC. XIII LFPIORPI</t>
        </is>
      </c>
      <c r="G2727" s="106" t="n">
        <v>9208</v>
      </c>
      <c r="H2727" s="106" t="n">
        <v>4</v>
      </c>
      <c r="I2727" s="106" t="n">
        <v>4</v>
      </c>
      <c r="J2727" s="106" t="n">
        <v>0</v>
      </c>
      <c r="K2727" s="107" t="n">
        <v>0</v>
      </c>
      <c r="L2727" s="107" t="n">
        <v>0</v>
      </c>
      <c r="M2727" s="107" t="n">
        <v>0</v>
      </c>
      <c r="N2727" s="107" t="n">
        <v>0</v>
      </c>
      <c r="O2727" s="107" t="n"/>
      <c r="P2727" s="107" t="n"/>
      <c r="Q2727" s="107" t="n"/>
      <c r="R2727" s="106" t="n">
        <v>0</v>
      </c>
      <c r="S2727" s="104" t="inlineStr">
        <is>
          <t>No pondera: describe el vehículo y dispara TR-23</t>
        </is>
      </c>
      <c r="T2727" s="104" t="inlineStr">
        <is>
          <t>A · VEHÍCULO</t>
        </is>
      </c>
      <c r="U2727" s="104" t="inlineStr">
        <is>
          <t>NUEVA · VEHÍCULO</t>
        </is>
      </c>
      <c r="V2727" s="107" t="n"/>
      <c r="W2727" s="105" t="n"/>
      <c r="X2727" s="105" t="inlineStr">
        <is>
          <t>SIN PESO — describe el vehículo y dispara la regla TR-23 a partir del nivel 4. No pondera, para no contar tres veces lo mismo con FF1 y FF6.</t>
        </is>
      </c>
    </row>
    <row r="2728" ht="26" customHeight="1">
      <c r="C2728" s="104" t="inlineStr">
        <is>
          <t>ACTIVIDAD / GIRO DEL FIDEICOMISO</t>
        </is>
      </c>
      <c r="D2728" s="106" t="inlineStr">
        <is>
          <t>FF11</t>
        </is>
      </c>
      <c r="E2728" s="106" t="inlineStr">
        <is>
          <t>INHERENTE</t>
        </is>
      </c>
      <c r="F2728" s="104" t="inlineStr">
        <is>
          <t>OTORGAMIENTO DE PRÉSTAMOS O CRÉDITOS — FRACC. IV LFPIORPI</t>
        </is>
      </c>
      <c r="G2728" s="106" t="n">
        <v>9209</v>
      </c>
      <c r="H2728" s="106" t="n">
        <v>4</v>
      </c>
      <c r="I2728" s="106" t="n">
        <v>4</v>
      </c>
      <c r="J2728" s="106" t="n">
        <v>0</v>
      </c>
      <c r="K2728" s="107" t="n">
        <v>0</v>
      </c>
      <c r="L2728" s="107" t="n">
        <v>0</v>
      </c>
      <c r="M2728" s="107" t="n">
        <v>0</v>
      </c>
      <c r="N2728" s="107" t="n">
        <v>0</v>
      </c>
      <c r="O2728" s="107" t="n"/>
      <c r="P2728" s="107" t="n"/>
      <c r="Q2728" s="107" t="n"/>
      <c r="R2728" s="106" t="n">
        <v>0</v>
      </c>
      <c r="S2728" s="104" t="inlineStr">
        <is>
          <t>No pondera: describe el vehículo y dispara TR-23</t>
        </is>
      </c>
      <c r="T2728" s="104" t="inlineStr">
        <is>
          <t>A · VEHÍCULO</t>
        </is>
      </c>
      <c r="U2728" s="104" t="inlineStr">
        <is>
          <t>NUEVA · VEHÍCULO</t>
        </is>
      </c>
      <c r="V2728" s="107" t="n"/>
      <c r="W2728" s="105" t="n"/>
      <c r="X2728" s="105" t="inlineStr">
        <is>
          <t>SIN PESO — describe el vehículo y dispara la regla TR-23 a partir del nivel 4. No pondera, para no contar tres veces lo mismo con FF1 y FF6.</t>
        </is>
      </c>
    </row>
    <row r="2729" ht="26" customHeight="1">
      <c r="C2729" s="104" t="inlineStr">
        <is>
          <t>ACTIVIDAD / GIRO DEL FIDEICOMISO</t>
        </is>
      </c>
      <c r="D2729" s="106" t="inlineStr">
        <is>
          <t>FF11</t>
        </is>
      </c>
      <c r="E2729" s="106" t="inlineStr">
        <is>
          <t>INHERENTE</t>
        </is>
      </c>
      <c r="F2729" s="104" t="inlineStr">
        <is>
          <t>DESARROLLO INMOBILIARIO / CONSTRUCCIÓN Y VENTA — FRACC. V LFPIORPI</t>
        </is>
      </c>
      <c r="G2729" s="106" t="n">
        <v>9210</v>
      </c>
      <c r="H2729" s="106" t="n">
        <v>5</v>
      </c>
      <c r="I2729" s="106" t="n">
        <v>5</v>
      </c>
      <c r="J2729" s="106" t="n">
        <v>0</v>
      </c>
      <c r="K2729" s="107" t="n">
        <v>0</v>
      </c>
      <c r="L2729" s="107" t="n">
        <v>0</v>
      </c>
      <c r="M2729" s="107" t="n">
        <v>0</v>
      </c>
      <c r="N2729" s="107" t="n">
        <v>0</v>
      </c>
      <c r="O2729" s="107" t="n"/>
      <c r="P2729" s="107" t="n"/>
      <c r="Q2729" s="107" t="n"/>
      <c r="R2729" s="106" t="n">
        <v>0</v>
      </c>
      <c r="S2729" s="104" t="inlineStr">
        <is>
          <t>No pondera: describe el vehículo y dispara TR-23</t>
        </is>
      </c>
      <c r="T2729" s="104" t="inlineStr">
        <is>
          <t>A · VEHÍCULO</t>
        </is>
      </c>
      <c r="U2729" s="104" t="inlineStr">
        <is>
          <t>NUEVA · VEHÍCULO</t>
        </is>
      </c>
      <c r="V2729" s="107" t="n"/>
      <c r="W2729" s="105" t="n"/>
      <c r="X2729" s="105" t="inlineStr">
        <is>
          <t>SIN PESO — describe el vehículo y dispara la regla TR-23 a partir del nivel 4. No pondera, para no contar tres veces lo mismo con FF1 y FF6.</t>
        </is>
      </c>
    </row>
    <row r="2730" ht="26" customHeight="1">
      <c r="C2730" s="104" t="inlineStr">
        <is>
          <t>ACTIVIDAD / GIRO DEL FIDEICOMISO</t>
        </is>
      </c>
      <c r="D2730" s="106" t="inlineStr">
        <is>
          <t>FF11</t>
        </is>
      </c>
      <c r="E2730" s="106" t="inlineStr">
        <is>
          <t>INHERENTE</t>
        </is>
      </c>
      <c r="F2730" s="104" t="inlineStr">
        <is>
          <t>RECEPCIÓN DE RECURSOS PARA DESARROLLO INMOBILIARIO — FRACC. V BIS LFPIORPI</t>
        </is>
      </c>
      <c r="G2730" s="106" t="n">
        <v>9211</v>
      </c>
      <c r="H2730" s="106" t="n">
        <v>5</v>
      </c>
      <c r="I2730" s="106" t="n">
        <v>5</v>
      </c>
      <c r="J2730" s="106" t="n">
        <v>0</v>
      </c>
      <c r="K2730" s="107" t="n">
        <v>0</v>
      </c>
      <c r="L2730" s="107" t="n">
        <v>0</v>
      </c>
      <c r="M2730" s="107" t="n">
        <v>0</v>
      </c>
      <c r="N2730" s="107" t="n">
        <v>0</v>
      </c>
      <c r="O2730" s="107" t="n"/>
      <c r="P2730" s="107" t="n"/>
      <c r="Q2730" s="107" t="n"/>
      <c r="R2730" s="106" t="n">
        <v>0</v>
      </c>
      <c r="S2730" s="104" t="inlineStr">
        <is>
          <t>No pondera: describe el vehículo y dispara TR-23</t>
        </is>
      </c>
      <c r="T2730" s="104" t="inlineStr">
        <is>
          <t>A · VEHÍCULO</t>
        </is>
      </c>
      <c r="U2730" s="104" t="inlineStr">
        <is>
          <t>NUEVA · VEHÍCULO</t>
        </is>
      </c>
      <c r="V2730" s="107" t="n"/>
      <c r="W2730" s="105" t="n"/>
      <c r="X2730" s="105" t="inlineStr">
        <is>
          <t>SIN PESO — describe el vehículo y dispara la regla TR-23 a partir del nivel 4. No pondera, para no contar tres veces lo mismo con FF1 y FF6.</t>
        </is>
      </c>
    </row>
    <row r="2731" ht="26" customHeight="1">
      <c r="C2731" s="104" t="inlineStr">
        <is>
          <t>ACTIVIDAD / GIRO DEL FIDEICOMISO</t>
        </is>
      </c>
      <c r="D2731" s="106" t="inlineStr">
        <is>
          <t>FF11</t>
        </is>
      </c>
      <c r="E2731" s="106" t="inlineStr">
        <is>
          <t>INHERENTE</t>
        </is>
      </c>
      <c r="F2731" s="104" t="inlineStr">
        <is>
          <t>TRASLATIVO DE DOMINIO DE INMUEBLES</t>
        </is>
      </c>
      <c r="G2731" s="106" t="n">
        <v>9212</v>
      </c>
      <c r="H2731" s="106" t="n">
        <v>5</v>
      </c>
      <c r="I2731" s="106" t="n">
        <v>5</v>
      </c>
      <c r="J2731" s="106" t="n">
        <v>0</v>
      </c>
      <c r="K2731" s="107" t="n">
        <v>0</v>
      </c>
      <c r="L2731" s="107" t="n">
        <v>0</v>
      </c>
      <c r="M2731" s="107" t="n">
        <v>0</v>
      </c>
      <c r="N2731" s="107" t="n">
        <v>0</v>
      </c>
      <c r="O2731" s="107" t="n"/>
      <c r="P2731" s="107" t="n"/>
      <c r="Q2731" s="107" t="n"/>
      <c r="R2731" s="106" t="n">
        <v>0</v>
      </c>
      <c r="S2731" s="104" t="inlineStr">
        <is>
          <t>No pondera: describe el vehículo y dispara TR-23</t>
        </is>
      </c>
      <c r="T2731" s="104" t="inlineStr">
        <is>
          <t>A · VEHÍCULO</t>
        </is>
      </c>
      <c r="U2731" s="104" t="inlineStr">
        <is>
          <t>NUEVA · VEHÍCULO</t>
        </is>
      </c>
      <c r="V2731" s="107" t="n"/>
      <c r="W2731" s="105" t="n"/>
      <c r="X2731" s="105" t="inlineStr">
        <is>
          <t>SIN PESO — describe el vehículo y dispara la regla TR-23 a partir del nivel 4. No pondera, para no contar tres veces lo mismo con FF1 y FF6.</t>
        </is>
      </c>
    </row>
    <row r="2732" ht="26" customHeight="1">
      <c r="C2732" s="104" t="inlineStr">
        <is>
          <t>ACTIVIDAD / GIRO DEL FIDEICOMISO</t>
        </is>
      </c>
      <c r="D2732" s="106" t="inlineStr">
        <is>
          <t>FF11</t>
        </is>
      </c>
      <c r="E2732" s="106" t="inlineStr">
        <is>
          <t>INHERENTE</t>
        </is>
      </c>
      <c r="F2732" s="104" t="inlineStr">
        <is>
          <t>ADMINISTRACIÓN DE OBRA PÚBLICA / RECURSOS PÚBLICOS</t>
        </is>
      </c>
      <c r="G2732" s="106" t="n">
        <v>9213</v>
      </c>
      <c r="H2732" s="106" t="n">
        <v>4</v>
      </c>
      <c r="I2732" s="106" t="n">
        <v>4</v>
      </c>
      <c r="J2732" s="106" t="n">
        <v>0</v>
      </c>
      <c r="K2732" s="107" t="n">
        <v>0</v>
      </c>
      <c r="L2732" s="107" t="n">
        <v>0</v>
      </c>
      <c r="M2732" s="107" t="n">
        <v>0</v>
      </c>
      <c r="N2732" s="107" t="n">
        <v>0</v>
      </c>
      <c r="O2732" s="107" t="n"/>
      <c r="P2732" s="107" t="n"/>
      <c r="Q2732" s="107" t="n"/>
      <c r="R2732" s="106" t="n">
        <v>0</v>
      </c>
      <c r="S2732" s="104" t="inlineStr">
        <is>
          <t>No pondera: describe el vehículo y dispara TR-23</t>
        </is>
      </c>
      <c r="T2732" s="104" t="inlineStr">
        <is>
          <t>A · VEHÍCULO</t>
        </is>
      </c>
      <c r="U2732" s="104" t="inlineStr">
        <is>
          <t>NUEVA · VEHÍCULO</t>
        </is>
      </c>
      <c r="V2732" s="107" t="n"/>
      <c r="W2732" s="105" t="n"/>
      <c r="X2732" s="105" t="inlineStr">
        <is>
          <t>SIN PESO — describe el vehículo y dispara la regla TR-23 a partir del nivel 4. No pondera, para no contar tres veces lo mismo con FF1 y FF6.</t>
        </is>
      </c>
    </row>
    <row r="2733" ht="26" customHeight="1">
      <c r="C2733" s="104" t="inlineStr">
        <is>
          <t>ACTIVIDAD / GIRO DEL FIDEICOMISO</t>
        </is>
      </c>
      <c r="D2733" s="106" t="inlineStr">
        <is>
          <t>FF11</t>
        </is>
      </c>
      <c r="E2733" s="106" t="inlineStr">
        <is>
          <t>INHERENTE</t>
        </is>
      </c>
      <c r="F2733" s="104" t="inlineStr">
        <is>
          <t>OTRO GIRO NO CATALOGADO</t>
        </is>
      </c>
      <c r="G2733" s="106" t="n">
        <v>9214</v>
      </c>
      <c r="H2733" s="106" t="n">
        <v>3</v>
      </c>
      <c r="I2733" s="106" t="n">
        <v>3</v>
      </c>
      <c r="J2733" s="106" t="n">
        <v>0</v>
      </c>
      <c r="K2733" s="107" t="n">
        <v>0</v>
      </c>
      <c r="L2733" s="107" t="n">
        <v>0</v>
      </c>
      <c r="M2733" s="107" t="n">
        <v>0</v>
      </c>
      <c r="N2733" s="107" t="n">
        <v>0</v>
      </c>
      <c r="O2733" s="107" t="n"/>
      <c r="P2733" s="107" t="n"/>
      <c r="Q2733" s="107" t="n"/>
      <c r="R2733" s="106" t="n">
        <v>0</v>
      </c>
      <c r="S2733" s="104" t="inlineStr">
        <is>
          <t>No pondera: describe el vehículo y dispara TR-23</t>
        </is>
      </c>
      <c r="T2733" s="104" t="inlineStr">
        <is>
          <t>A · VEHÍCULO</t>
        </is>
      </c>
      <c r="U2733" s="104" t="inlineStr">
        <is>
          <t>NUEVA · VEHÍCULO</t>
        </is>
      </c>
      <c r="V2733" s="107" t="n"/>
      <c r="W2733" s="105" t="n"/>
      <c r="X2733" s="105" t="inlineStr">
        <is>
          <t>SIN PESO — describe el vehículo y dispara la regla TR-23 a partir del nivel 4. No pondera, para no contar tres veces lo mismo con FF1 y FF6.</t>
        </is>
      </c>
    </row>
    <row r="2734" ht="26" customHeight="1">
      <c r="C2734" s="104" t="inlineStr">
        <is>
          <t>UBICACIÓN DEL PATRIMONIO</t>
        </is>
      </c>
      <c r="D2734" s="106" t="inlineStr">
        <is>
          <t>FF10</t>
        </is>
      </c>
      <c r="E2734" s="106" t="inlineStr">
        <is>
          <t>INHERENTE</t>
        </is>
      </c>
      <c r="F2734" s="104" t="inlineStr">
        <is>
          <t>BIEN UBICADO EN ENTIDAD DE NIVEL 1 (tabla F7 del banco)</t>
        </is>
      </c>
      <c r="G2734" s="106" t="n">
        <v>9221</v>
      </c>
      <c r="H2734" s="106" t="n">
        <v>1</v>
      </c>
      <c r="I2734" s="106" t="n">
        <v>1</v>
      </c>
      <c r="J2734" s="106" t="n">
        <v>0</v>
      </c>
      <c r="K2734" s="107" t="n">
        <v>0</v>
      </c>
      <c r="L2734" s="107" t="n">
        <v>0</v>
      </c>
      <c r="M2734" s="107" t="n">
        <v>0</v>
      </c>
      <c r="N2734" s="107" t="n">
        <v>0</v>
      </c>
      <c r="O2734" s="107" t="n"/>
      <c r="P2734" s="107" t="n"/>
      <c r="Q2734" s="107" t="n"/>
      <c r="R2734" s="106" t="n">
        <v>0</v>
      </c>
      <c r="S2734" s="104" t="inlineStr">
        <is>
          <t>Segunda fase (v2.6): sin dato en las bases de BX+; peso 0</t>
        </is>
      </c>
      <c r="T2734" s="104" t="inlineStr">
        <is>
          <t>A · VEHÍCULO</t>
        </is>
      </c>
      <c r="U2734" s="104" t="inlineStr">
        <is>
          <t>NUEVA · VEHÍCULO</t>
        </is>
      </c>
      <c r="V2734" s="107" t="n"/>
      <c r="W2734" s="105" t="n"/>
      <c r="X2734" s="105" t="n"/>
    </row>
    <row r="2735">
      <c r="C2735" s="104" t="inlineStr">
        <is>
          <t>UBICACIÓN DEL PATRIMONIO</t>
        </is>
      </c>
      <c r="D2735" s="106" t="inlineStr">
        <is>
          <t>FF10</t>
        </is>
      </c>
      <c r="E2735" s="106" t="inlineStr">
        <is>
          <t>INHERENTE</t>
        </is>
      </c>
      <c r="F2735" s="104" t="inlineStr">
        <is>
          <t>BIEN UBICADO EN ENTIDAD DE NIVEL 2</t>
        </is>
      </c>
      <c r="G2735" s="106" t="n">
        <v>9222</v>
      </c>
      <c r="H2735" s="106" t="n">
        <v>2</v>
      </c>
      <c r="I2735" s="106" t="n">
        <v>2</v>
      </c>
      <c r="J2735" s="106" t="n">
        <v>0</v>
      </c>
      <c r="K2735" s="107" t="n">
        <v>0</v>
      </c>
      <c r="L2735" s="107" t="n">
        <v>0</v>
      </c>
      <c r="M2735" s="107" t="n">
        <v>0</v>
      </c>
      <c r="N2735" s="107" t="n">
        <v>0</v>
      </c>
      <c r="O2735" s="107" t="n"/>
      <c r="P2735" s="107" t="n"/>
      <c r="Q2735" s="107" t="n"/>
      <c r="R2735" s="106" t="n">
        <v>0</v>
      </c>
      <c r="S2735" s="104" t="inlineStr">
        <is>
          <t>Segunda fase (v2.6): sin dato en las bases de BX+; peso 0</t>
        </is>
      </c>
      <c r="T2735" s="104" t="inlineStr">
        <is>
          <t>A · VEHÍCULO</t>
        </is>
      </c>
      <c r="U2735" s="104" t="inlineStr">
        <is>
          <t>NUEVA · VEHÍCULO</t>
        </is>
      </c>
      <c r="V2735" s="107" t="n"/>
      <c r="W2735" s="105" t="n"/>
      <c r="X2735" s="105" t="n"/>
    </row>
    <row r="2736">
      <c r="C2736" s="104" t="inlineStr">
        <is>
          <t>UBICACIÓN DEL PATRIMONIO</t>
        </is>
      </c>
      <c r="D2736" s="106" t="inlineStr">
        <is>
          <t>FF10</t>
        </is>
      </c>
      <c r="E2736" s="106" t="inlineStr">
        <is>
          <t>INHERENTE</t>
        </is>
      </c>
      <c r="F2736" s="104" t="inlineStr">
        <is>
          <t>BIEN UBICADO EN ENTIDAD DE NIVEL 3</t>
        </is>
      </c>
      <c r="G2736" s="106" t="n">
        <v>9223</v>
      </c>
      <c r="H2736" s="106" t="n">
        <v>3</v>
      </c>
      <c r="I2736" s="106" t="n">
        <v>3</v>
      </c>
      <c r="J2736" s="106" t="n">
        <v>0</v>
      </c>
      <c r="K2736" s="107" t="n">
        <v>0</v>
      </c>
      <c r="L2736" s="107" t="n">
        <v>0</v>
      </c>
      <c r="M2736" s="107" t="n">
        <v>0</v>
      </c>
      <c r="N2736" s="107" t="n">
        <v>0</v>
      </c>
      <c r="O2736" s="107" t="n"/>
      <c r="P2736" s="107" t="n"/>
      <c r="Q2736" s="107" t="n"/>
      <c r="R2736" s="106" t="n">
        <v>0</v>
      </c>
      <c r="S2736" s="104" t="inlineStr">
        <is>
          <t>Segunda fase (v2.6): sin dato en las bases de BX+; peso 0</t>
        </is>
      </c>
      <c r="T2736" s="104" t="inlineStr">
        <is>
          <t>A · VEHÍCULO</t>
        </is>
      </c>
      <c r="U2736" s="104" t="inlineStr">
        <is>
          <t>NUEVA · VEHÍCULO</t>
        </is>
      </c>
      <c r="V2736" s="107" t="n"/>
      <c r="W2736" s="105" t="n"/>
      <c r="X2736" s="105" t="n"/>
    </row>
    <row r="2737">
      <c r="C2737" s="104" t="inlineStr">
        <is>
          <t>UBICACIÓN DEL PATRIMONIO</t>
        </is>
      </c>
      <c r="D2737" s="106" t="inlineStr">
        <is>
          <t>FF10</t>
        </is>
      </c>
      <c r="E2737" s="106" t="inlineStr">
        <is>
          <t>INHERENTE</t>
        </is>
      </c>
      <c r="F2737" s="104" t="inlineStr">
        <is>
          <t>BIEN UBICADO EN ENTIDAD DE NIVEL 4</t>
        </is>
      </c>
      <c r="G2737" s="106" t="n">
        <v>9224</v>
      </c>
      <c r="H2737" s="106" t="n">
        <v>4</v>
      </c>
      <c r="I2737" s="106" t="n">
        <v>4</v>
      </c>
      <c r="J2737" s="106" t="n">
        <v>0</v>
      </c>
      <c r="K2737" s="107" t="n">
        <v>0</v>
      </c>
      <c r="L2737" s="107" t="n">
        <v>0</v>
      </c>
      <c r="M2737" s="107" t="n">
        <v>0</v>
      </c>
      <c r="N2737" s="107" t="n">
        <v>0</v>
      </c>
      <c r="O2737" s="107" t="n"/>
      <c r="P2737" s="107" t="n"/>
      <c r="Q2737" s="107" t="n"/>
      <c r="R2737" s="106" t="n">
        <v>0</v>
      </c>
      <c r="S2737" s="104" t="inlineStr">
        <is>
          <t>Segunda fase (v2.6): sin dato en las bases de BX+; peso 0</t>
        </is>
      </c>
      <c r="T2737" s="104" t="inlineStr">
        <is>
          <t>A · VEHÍCULO</t>
        </is>
      </c>
      <c r="U2737" s="104" t="inlineStr">
        <is>
          <t>NUEVA · VEHÍCULO</t>
        </is>
      </c>
      <c r="V2737" s="107" t="n"/>
      <c r="W2737" s="105" t="n"/>
      <c r="X2737" s="105" t="n"/>
    </row>
    <row r="2738">
      <c r="C2738" s="104" t="inlineStr">
        <is>
          <t>UBICACIÓN DEL PATRIMONIO</t>
        </is>
      </c>
      <c r="D2738" s="106" t="inlineStr">
        <is>
          <t>FF10</t>
        </is>
      </c>
      <c r="E2738" s="106" t="inlineStr">
        <is>
          <t>INHERENTE</t>
        </is>
      </c>
      <c r="F2738" s="104" t="inlineStr">
        <is>
          <t>BIEN UBICADO EN ENTIDAD DE NIVEL 5</t>
        </is>
      </c>
      <c r="G2738" s="106" t="n">
        <v>9225</v>
      </c>
      <c r="H2738" s="106" t="n">
        <v>5</v>
      </c>
      <c r="I2738" s="106" t="n">
        <v>5</v>
      </c>
      <c r="J2738" s="106" t="n">
        <v>0</v>
      </c>
      <c r="K2738" s="107" t="n">
        <v>0</v>
      </c>
      <c r="L2738" s="107" t="n">
        <v>0</v>
      </c>
      <c r="M2738" s="107" t="n">
        <v>0</v>
      </c>
      <c r="N2738" s="107" t="n">
        <v>0</v>
      </c>
      <c r="O2738" s="107" t="n"/>
      <c r="P2738" s="107" t="n"/>
      <c r="Q2738" s="107" t="n"/>
      <c r="R2738" s="106" t="n">
        <v>0</v>
      </c>
      <c r="S2738" s="104" t="inlineStr">
        <is>
          <t>Segunda fase (v2.6): sin dato en las bases de BX+; peso 0</t>
        </is>
      </c>
      <c r="T2738" s="104" t="inlineStr">
        <is>
          <t>A · VEHÍCULO</t>
        </is>
      </c>
      <c r="U2738" s="104" t="inlineStr">
        <is>
          <t>NUEVA · VEHÍCULO</t>
        </is>
      </c>
      <c r="V2738" s="107" t="n"/>
      <c r="W2738" s="105" t="n"/>
      <c r="X2738" s="105" t="n"/>
    </row>
    <row r="2739" ht="26" customHeight="1">
      <c r="C2739" s="104" t="inlineStr">
        <is>
          <t>UBICACIÓN DEL PATRIMONIO</t>
        </is>
      </c>
      <c r="D2739" s="106" t="inlineStr">
        <is>
          <t>FF10</t>
        </is>
      </c>
      <c r="E2739" s="106" t="inlineStr">
        <is>
          <t>INHERENTE</t>
        </is>
      </c>
      <c r="F2739" s="104" t="inlineStr">
        <is>
          <t>BIEN EN EL EXTRANJERO — se toma el nivel del país (tabla F4 del banco)</t>
        </is>
      </c>
      <c r="G2739" s="106" t="n">
        <v>9226</v>
      </c>
      <c r="H2739" s="106" t="n">
        <v>4</v>
      </c>
      <c r="I2739" s="106" t="n">
        <v>4</v>
      </c>
      <c r="J2739" s="106" t="n">
        <v>0</v>
      </c>
      <c r="K2739" s="107" t="n">
        <v>0</v>
      </c>
      <c r="L2739" s="107" t="n">
        <v>0</v>
      </c>
      <c r="M2739" s="107" t="n">
        <v>0</v>
      </c>
      <c r="N2739" s="107" t="n">
        <v>0</v>
      </c>
      <c r="O2739" s="107" t="n"/>
      <c r="P2739" s="107" t="n"/>
      <c r="Q2739" s="107" t="n"/>
      <c r="R2739" s="106" t="n">
        <v>0</v>
      </c>
      <c r="S2739" s="104" t="inlineStr">
        <is>
          <t>Segunda fase (v2.6): sin dato en las bases de BX+; peso 0</t>
        </is>
      </c>
      <c r="T2739" s="104" t="inlineStr">
        <is>
          <t>A · VEHÍCULO</t>
        </is>
      </c>
      <c r="U2739" s="104" t="inlineStr">
        <is>
          <t>NUEVA · VEHÍCULO</t>
        </is>
      </c>
      <c r="V2739" s="107" t="n"/>
      <c r="W2739" s="105" t="n"/>
      <c r="X2739" s="105" t="n"/>
    </row>
    <row r="2740" ht="26" customHeight="1">
      <c r="C2740" s="104" t="inlineStr">
        <is>
          <t>UBICACIÓN DEL PATRIMONIO</t>
        </is>
      </c>
      <c r="D2740" s="106" t="inlineStr">
        <is>
          <t>FF10</t>
        </is>
      </c>
      <c r="E2740" s="106" t="inlineStr">
        <is>
          <t>INHERENTE</t>
        </is>
      </c>
      <c r="F2740" s="104" t="inlineStr">
        <is>
          <t>NO APLICA — patrimonio sin ubicación física (efectivo, derechos de cobro)</t>
        </is>
      </c>
      <c r="G2740" s="106" t="n">
        <v>9227</v>
      </c>
      <c r="H2740" s="106" t="n">
        <v>0</v>
      </c>
      <c r="I2740" s="106" t="n">
        <v>0</v>
      </c>
      <c r="J2740" s="106" t="n">
        <v>0</v>
      </c>
      <c r="K2740" s="107" t="n">
        <v>0</v>
      </c>
      <c r="L2740" s="107" t="n">
        <v>0</v>
      </c>
      <c r="M2740" s="107" t="n">
        <v>0</v>
      </c>
      <c r="N2740" s="107" t="n">
        <v>0</v>
      </c>
      <c r="O2740" s="107" t="n"/>
      <c r="P2740" s="107" t="n"/>
      <c r="Q2740" s="107" t="n"/>
      <c r="R2740" s="106" t="n">
        <v>0</v>
      </c>
      <c r="S2740" s="104" t="inlineStr">
        <is>
          <t>Segunda fase (v2.6): sin dato en las bases de BX+; peso 0</t>
        </is>
      </c>
      <c r="T2740" s="104" t="inlineStr">
        <is>
          <t>A · VEHÍCULO</t>
        </is>
      </c>
      <c r="U2740" s="104" t="inlineStr">
        <is>
          <t>NUEVA · VEHÍCULO</t>
        </is>
      </c>
      <c r="V2740" s="107" t="n"/>
      <c r="W2740" s="105" t="n"/>
      <c r="X2740" s="105" t="n"/>
    </row>
    <row r="2741" ht="26" customHeight="1">
      <c r="C2741" s="23" t="inlineStr">
        <is>
          <t>NIVEL DE RIESGO HEREDADO DEL BANCO</t>
        </is>
      </c>
      <c r="D2741" s="29" t="inlineStr">
        <is>
          <t>FI0</t>
        </is>
      </c>
      <c r="E2741" s="29" t="inlineStr">
        <is>
          <t>INHERENTE</t>
        </is>
      </c>
      <c r="F2741" s="23" t="inlineStr">
        <is>
          <t>BAJO EN EL BANCO — puntaje 162 de referencia</t>
        </is>
      </c>
      <c r="G2741" s="29" t="n">
        <v>9231</v>
      </c>
      <c r="H2741" s="29" t="n">
        <v>1.62</v>
      </c>
      <c r="I2741" s="29" t="n">
        <v>1.62</v>
      </c>
      <c r="J2741" s="29" t="n">
        <v>80</v>
      </c>
      <c r="R2741" s="29" t="n">
        <v>0.8</v>
      </c>
      <c r="S2741" s="23" t="inlineStr">
        <is>
          <t>SÍ — integrante</t>
        </is>
      </c>
      <c r="T2741" s="23" t="inlineStr">
        <is>
          <t>B · INTEGRANTE</t>
        </is>
      </c>
      <c r="U2741" s="23" t="inlineStr">
        <is>
          <t>NUEVA · PARTICIPANTE</t>
        </is>
      </c>
      <c r="W2741" s="12" t="n"/>
      <c r="X2741" s="12" t="inlineStr">
        <is>
          <t>NIVEL = puntaje del banco entre 100. Se usa el puntaje real en cuanto el banco lo comparta; los de referencia son provisionales.</t>
        </is>
      </c>
      <c r="Y2741" s="128" t="inlineStr">
        <is>
          <t>ZCALIFICA = "A" o NIVEL_SIPREV = "BAJO"</t>
        </is>
      </c>
    </row>
    <row r="2742" ht="26" customHeight="1">
      <c r="C2742" s="23" t="inlineStr">
        <is>
          <t>NIVEL DE RIESGO HEREDADO DEL BANCO</t>
        </is>
      </c>
      <c r="D2742" s="29" t="inlineStr">
        <is>
          <t>FI0</t>
        </is>
      </c>
      <c r="E2742" s="29" t="inlineStr">
        <is>
          <t>INHERENTE</t>
        </is>
      </c>
      <c r="F2742" s="23" t="inlineStr">
        <is>
          <t>MEDIO EN EL BANCO — puntaje 241 de referencia</t>
        </is>
      </c>
      <c r="G2742" s="29" t="n">
        <v>9232</v>
      </c>
      <c r="H2742" s="29" t="n">
        <v>2.41</v>
      </c>
      <c r="I2742" s="29" t="n">
        <v>2.41</v>
      </c>
      <c r="J2742" s="29" t="n">
        <v>80</v>
      </c>
      <c r="R2742" s="29" t="n">
        <v>0.8</v>
      </c>
      <c r="S2742" s="23" t="inlineStr">
        <is>
          <t>SÍ — integrante</t>
        </is>
      </c>
      <c r="T2742" s="23" t="inlineStr">
        <is>
          <t>B · INTEGRANTE</t>
        </is>
      </c>
      <c r="U2742" s="23" t="inlineStr">
        <is>
          <t>NUEVA · PARTICIPANTE</t>
        </is>
      </c>
      <c r="W2742" s="12" t="n"/>
      <c r="X2742" s="12" t="inlineStr">
        <is>
          <t>NIVEL = puntaje del banco entre 100. Se usa el puntaje real en cuanto el banco lo comparta; los de referencia son provisionales.</t>
        </is>
      </c>
      <c r="Y2742" s="128" t="inlineStr">
        <is>
          <t>ZCALIFICA = "B" o NIVEL_SIPREV = "MEDIO"</t>
        </is>
      </c>
    </row>
    <row r="2743" ht="26" customHeight="1">
      <c r="C2743" s="23" t="inlineStr">
        <is>
          <t>NIVEL DE RIESGO HEREDADO DEL BANCO</t>
        </is>
      </c>
      <c r="D2743" s="29" t="inlineStr">
        <is>
          <t>FI0</t>
        </is>
      </c>
      <c r="E2743" s="29" t="inlineStr">
        <is>
          <t>INHERENTE</t>
        </is>
      </c>
      <c r="F2743" s="23" t="inlineStr">
        <is>
          <t>MEDIO ALTO EN EL BANCO — puntaje 275 de referencia</t>
        </is>
      </c>
      <c r="G2743" s="29" t="n">
        <v>9233</v>
      </c>
      <c r="H2743" s="29" t="n">
        <v>2.75</v>
      </c>
      <c r="I2743" s="29" t="n">
        <v>2.75</v>
      </c>
      <c r="J2743" s="29" t="n">
        <v>80</v>
      </c>
      <c r="R2743" s="29" t="n">
        <v>0.8</v>
      </c>
      <c r="S2743" s="23" t="inlineStr">
        <is>
          <t>SÍ — integrante</t>
        </is>
      </c>
      <c r="T2743" s="23" t="inlineStr">
        <is>
          <t>B · INTEGRANTE</t>
        </is>
      </c>
      <c r="U2743" s="23" t="inlineStr">
        <is>
          <t>NUEVA · PARTICIPANTE</t>
        </is>
      </c>
      <c r="W2743" s="12" t="n"/>
      <c r="X2743" s="12" t="inlineStr">
        <is>
          <t>NIVEL = puntaje del banco entre 100. Se usa el puntaje real en cuanto el banco lo comparta; los de referencia son provisionales.</t>
        </is>
      </c>
      <c r="Y2743" s="128" t="inlineStr">
        <is>
          <t>NIVEL_SIPREV = "MEDIO ALTO"</t>
        </is>
      </c>
    </row>
    <row r="2744" ht="26" customHeight="1">
      <c r="C2744" s="23" t="inlineStr">
        <is>
          <t>NIVEL DE RIESGO HEREDADO DEL BANCO</t>
        </is>
      </c>
      <c r="D2744" s="29" t="inlineStr">
        <is>
          <t>FI0</t>
        </is>
      </c>
      <c r="E2744" s="29" t="inlineStr">
        <is>
          <t>INHERENTE</t>
        </is>
      </c>
      <c r="F2744" s="23" t="inlineStr">
        <is>
          <t>ALTO EN EL BANCO — puntaje 330 de referencia</t>
        </is>
      </c>
      <c r="G2744" s="29" t="n">
        <v>9234</v>
      </c>
      <c r="H2744" s="29" t="n">
        <v>3.3</v>
      </c>
      <c r="I2744" s="29" t="n">
        <v>3.3</v>
      </c>
      <c r="J2744" s="29" t="n">
        <v>80</v>
      </c>
      <c r="R2744" s="29" t="n">
        <v>0.8</v>
      </c>
      <c r="S2744" s="23" t="inlineStr">
        <is>
          <t>SÍ — integrante</t>
        </is>
      </c>
      <c r="T2744" s="23" t="inlineStr">
        <is>
          <t>B · INTEGRANTE</t>
        </is>
      </c>
      <c r="U2744" s="23" t="inlineStr">
        <is>
          <t>NUEVA · PARTICIPANTE</t>
        </is>
      </c>
      <c r="W2744" s="12" t="n"/>
      <c r="X2744" s="12" t="inlineStr">
        <is>
          <t>NIVEL = puntaje del banco entre 100. Se usa el puntaje real en cuanto el banco lo comparta; los de referencia son provisionales.</t>
        </is>
      </c>
      <c r="Y2744" s="128" t="inlineStr">
        <is>
          <t>ZCALIFICA = "C" o NIVEL_SIPREV = "ALTO" / "ALTO RIESGO (INVALIDACION TIPO A)". Se toma el mayor de los dos</t>
        </is>
      </c>
    </row>
    <row r="2745" ht="26" customHeight="1">
      <c r="C2745" s="23" t="inlineStr">
        <is>
          <t>NIVEL DE RIESGO HEREDADO DEL BANCO</t>
        </is>
      </c>
      <c r="D2745" s="29" t="inlineStr">
        <is>
          <t>FI0</t>
        </is>
      </c>
      <c r="E2745" s="29" t="inlineStr">
        <is>
          <t>INHERENTE</t>
        </is>
      </c>
      <c r="F2745" s="23" t="inlineStr">
        <is>
          <t>PROHIBITIVO EN EL BANCO</t>
        </is>
      </c>
      <c r="G2745" s="29" t="n">
        <v>9235</v>
      </c>
      <c r="H2745" s="29" t="n">
        <v>5</v>
      </c>
      <c r="I2745" s="29" t="n">
        <v>5</v>
      </c>
      <c r="J2745" s="29" t="n">
        <v>80</v>
      </c>
      <c r="R2745" s="29" t="n">
        <v>0.8</v>
      </c>
      <c r="S2745" s="23" t="inlineStr">
        <is>
          <t>SÍ — integrante</t>
        </is>
      </c>
      <c r="T2745" s="23" t="inlineStr">
        <is>
          <t>B · INTEGRANTE</t>
        </is>
      </c>
      <c r="U2745" s="23" t="inlineStr">
        <is>
          <t>NUEVA · PARTICIPANTE</t>
        </is>
      </c>
      <c r="W2745" s="12" t="n"/>
      <c r="X2745" s="12" t="inlineStr">
        <is>
          <t>NIVEL = puntaje del banco entre 100. Se usa el puntaje real en cuanto el banco lo comparta; los de referencia son provisionales.</t>
        </is>
      </c>
      <c r="Y2745" s="128" t="inlineStr">
        <is>
          <t>Invalidación prohibitiva</t>
        </is>
      </c>
    </row>
    <row r="2746" ht="26" customHeight="1">
      <c r="C2746" s="23" t="inlineStr">
        <is>
          <t>NIVEL DE RIESGO HEREDADO DEL BANCO</t>
        </is>
      </c>
      <c r="D2746" s="29" t="inlineStr">
        <is>
          <t>FI0</t>
        </is>
      </c>
      <c r="E2746" s="29" t="inlineStr">
        <is>
          <t>INHERENTE</t>
        </is>
      </c>
      <c r="F2746" s="23" t="inlineStr">
        <is>
          <t>NO ES CLIENTE DEL BANCO — se califica con los factores FI1 a FI7</t>
        </is>
      </c>
      <c r="G2746" s="29" t="n">
        <v>9236</v>
      </c>
      <c r="H2746" s="29" t="n">
        <v>0</v>
      </c>
      <c r="I2746" s="29" t="n">
        <v>0</v>
      </c>
      <c r="J2746" s="29" t="n">
        <v>80</v>
      </c>
      <c r="R2746" s="29" t="n">
        <v>0.8</v>
      </c>
      <c r="S2746" s="23" t="inlineStr">
        <is>
          <t>SÍ — integrante</t>
        </is>
      </c>
      <c r="T2746" s="23" t="inlineStr">
        <is>
          <t>B · INTEGRANTE</t>
        </is>
      </c>
      <c r="U2746" s="23" t="inlineStr">
        <is>
          <t>NUEVA · PARTICIPANTE</t>
        </is>
      </c>
      <c r="W2746" s="12" t="n"/>
      <c r="X2746" s="12" t="inlineStr">
        <is>
          <t>NIVEL = puntaje del banco entre 100. Se usa el puntaje real en cuanto el banco lo comparta; los de referencia son provisionales.</t>
        </is>
      </c>
    </row>
    <row r="2747" ht="52" customHeight="1">
      <c r="C2747" s="23" t="inlineStr">
        <is>
          <t>NIVEL DE RIESGO HEREDADO DEL BANCO</t>
        </is>
      </c>
      <c r="D2747" s="29" t="inlineStr">
        <is>
          <t>FI0</t>
        </is>
      </c>
      <c r="E2747" s="29" t="inlineStr">
        <is>
          <t>INHERENTE</t>
        </is>
      </c>
      <c r="F2747" s="23" t="inlineStr">
        <is>
          <t>RUTA HEREDADA — dos factores, multiplicadores 80 y 20, suman 100. Puntaje = MAX( puntaje del banco ; nivel banco x 80 + nivel rol x 20 )</t>
        </is>
      </c>
      <c r="G2747" s="29" t="n">
        <v>9237</v>
      </c>
      <c r="H2747" s="29" t="n">
        <v>0</v>
      </c>
      <c r="I2747" s="29" t="n">
        <v>0</v>
      </c>
      <c r="J2747" s="29" t="n">
        <v>0</v>
      </c>
      <c r="R2747" s="29" t="n"/>
      <c r="S2747" s="23" t="inlineStr">
        <is>
          <t>SÍ — integrante</t>
        </is>
      </c>
      <c r="T2747" s="23" t="inlineStr">
        <is>
          <t>B · INTEGRANTE</t>
        </is>
      </c>
      <c r="U2747" s="23" t="inlineStr">
        <is>
          <t>NUEVA · PARTICIPANTE</t>
        </is>
      </c>
      <c r="W2747" s="12" t="n"/>
      <c r="X2747" s="12" t="inlineStr">
        <is>
          <t>El piso evita que el rol baje el juicio del banco. Bandas: las mismas de la Tabla 5.</t>
        </is>
      </c>
    </row>
    <row r="2748" ht="26" customHeight="1">
      <c r="C2748" s="23" t="inlineStr">
        <is>
          <t>ACTIVIDAD ECONÓMICA — GRUPOS NUEVOS</t>
        </is>
      </c>
      <c r="D2748" s="29" t="inlineStr">
        <is>
          <t>FI2</t>
        </is>
      </c>
      <c r="E2748" s="29" t="inlineStr">
        <is>
          <t>INHERENTE</t>
        </is>
      </c>
      <c r="F2748" s="23" t="inlineStr">
        <is>
          <t>SECTOR PRIMARIO (agropecuario, pesca, forestal, minería)</t>
        </is>
      </c>
      <c r="G2748" s="29" t="n">
        <v>9151</v>
      </c>
      <c r="H2748" s="29" t="n">
        <v>3</v>
      </c>
      <c r="I2748" s="29" t="n">
        <v>3</v>
      </c>
      <c r="J2748" s="29" t="n">
        <v>0</v>
      </c>
      <c r="R2748" s="29" t="n"/>
      <c r="S2748" s="23" t="inlineStr">
        <is>
          <t>SÍ — integrante</t>
        </is>
      </c>
      <c r="T2748" s="23" t="inlineStr">
        <is>
          <t>B · INTEGRANTE</t>
        </is>
      </c>
      <c r="U2748" s="23" t="inlineStr">
        <is>
          <t>NUEVA · AGRUPACIÓN</t>
        </is>
      </c>
      <c r="W2748" s="12" t="n"/>
      <c r="X2748" s="12" t="n"/>
    </row>
    <row r="2749" ht="26" customHeight="1">
      <c r="C2749" s="23" t="inlineStr">
        <is>
          <t>ACTIVIDAD ECONÓMICA — GRUPOS NUEVOS</t>
        </is>
      </c>
      <c r="D2749" s="29" t="inlineStr">
        <is>
          <t>FI2</t>
        </is>
      </c>
      <c r="E2749" s="29" t="inlineStr">
        <is>
          <t>INHERENTE</t>
        </is>
      </c>
      <c r="F2749" s="23" t="inlineStr">
        <is>
          <t>INDUSTRIA Y MANUFACTURA</t>
        </is>
      </c>
      <c r="G2749" s="29" t="n">
        <v>9152</v>
      </c>
      <c r="H2749" s="29" t="n">
        <v>2</v>
      </c>
      <c r="I2749" s="29" t="n">
        <v>2</v>
      </c>
      <c r="J2749" s="29" t="n">
        <v>0</v>
      </c>
      <c r="R2749" s="29" t="n"/>
      <c r="S2749" s="23" t="inlineStr">
        <is>
          <t>SÍ — integrante</t>
        </is>
      </c>
      <c r="T2749" s="23" t="inlineStr">
        <is>
          <t>B · INTEGRANTE</t>
        </is>
      </c>
      <c r="U2749" s="23" t="inlineStr">
        <is>
          <t>NUEVA · AGRUPACIÓN</t>
        </is>
      </c>
      <c r="W2749" s="12" t="n"/>
      <c r="X2749" s="12" t="n"/>
    </row>
    <row r="2750" ht="26" customHeight="1">
      <c r="C2750" s="23" t="inlineStr">
        <is>
          <t>ACTIVIDAD ECONÓMICA — GRUPOS NUEVOS</t>
        </is>
      </c>
      <c r="D2750" s="29" t="inlineStr">
        <is>
          <t>FI2</t>
        </is>
      </c>
      <c r="E2750" s="29" t="inlineStr">
        <is>
          <t>INHERENTE</t>
        </is>
      </c>
      <c r="F2750" s="23" t="inlineStr">
        <is>
          <t>GOBIERNO Y SECTOR PÚBLICO</t>
        </is>
      </c>
      <c r="G2750" s="29" t="n">
        <v>9153</v>
      </c>
      <c r="H2750" s="29" t="n">
        <v>4</v>
      </c>
      <c r="I2750" s="29" t="n">
        <v>4</v>
      </c>
      <c r="J2750" s="29" t="n">
        <v>0</v>
      </c>
      <c r="R2750" s="29" t="n"/>
      <c r="S2750" s="23" t="inlineStr">
        <is>
          <t>SÍ — integrante</t>
        </is>
      </c>
      <c r="T2750" s="23" t="inlineStr">
        <is>
          <t>B · INTEGRANTE</t>
        </is>
      </c>
      <c r="U2750" s="23" t="inlineStr">
        <is>
          <t>NUEVA · AGRUPACIÓN</t>
        </is>
      </c>
      <c r="W2750" s="12" t="n"/>
      <c r="X2750" s="12" t="n"/>
    </row>
    <row r="2751" ht="26" customHeight="1">
      <c r="C2751" s="23" t="inlineStr">
        <is>
          <t>ACTIVIDAD ECONÓMICA — GRUPOS NUEVOS</t>
        </is>
      </c>
      <c r="D2751" s="29" t="inlineStr">
        <is>
          <t>FI2</t>
        </is>
      </c>
      <c r="E2751" s="29" t="inlineStr">
        <is>
          <t>INHERENTE</t>
        </is>
      </c>
      <c r="F2751" s="23" t="inlineStr">
        <is>
          <t>OTRAS ACTIVIDADES NO CLASIFICADAS</t>
        </is>
      </c>
      <c r="G2751" s="29" t="n">
        <v>9154</v>
      </c>
      <c r="H2751" s="29" t="n">
        <v>3</v>
      </c>
      <c r="I2751" s="29" t="n">
        <v>3</v>
      </c>
      <c r="J2751" s="29" t="n">
        <v>0</v>
      </c>
      <c r="R2751" s="29" t="n"/>
      <c r="S2751" s="23" t="inlineStr">
        <is>
          <t>SÍ — integrante</t>
        </is>
      </c>
      <c r="T2751" s="23" t="inlineStr">
        <is>
          <t>B · INTEGRANTE</t>
        </is>
      </c>
      <c r="U2751" s="23" t="inlineStr">
        <is>
          <t>NUEVA · AGRUPACIÓN</t>
        </is>
      </c>
      <c r="W2751" s="12" t="n"/>
      <c r="X2751" s="12" t="n"/>
    </row>
    <row r="2753">
      <c r="B2753" s="93" t="inlineStr">
        <is>
          <t>NO DETERMINADO — dato del vehículo sin información en sistema (v2.5). Nivel 2.58 = límite superior de MEDIO (258): sin información no se presume riesgo bajo; el fideicomiso sin datos queda en MEDIO documentado.</t>
        </is>
      </c>
    </row>
    <row r="2754">
      <c r="C2754" s="23" t="inlineStr">
        <is>
          <t>TIPO DE FIDEICOMISO</t>
        </is>
      </c>
      <c r="D2754" s="29" t="inlineStr">
        <is>
          <t>FF1</t>
        </is>
      </c>
      <c r="E2754" s="29" t="inlineStr">
        <is>
          <t>FIDUCIARIO ESTRUCTURAL</t>
        </is>
      </c>
      <c r="F2754" s="23" t="inlineStr">
        <is>
          <t>NO DETERMINADO</t>
        </is>
      </c>
      <c r="G2754" s="29" t="n">
        <v>9301</v>
      </c>
      <c r="H2754" s="29" t="n">
        <v>2.58</v>
      </c>
      <c r="I2754" s="29" t="n">
        <v>2.58</v>
      </c>
      <c r="J2754" s="29" t="n">
        <v>30</v>
      </c>
      <c r="K2754" t="n">
        <v>77.40000000000001</v>
      </c>
      <c r="L2754" t="n">
        <v>77.40000000000001</v>
      </c>
      <c r="M2754" t="n">
        <v>77.40000000000001</v>
      </c>
      <c r="N2754" t="n">
        <v>77.40000000000001</v>
      </c>
      <c r="R2754" s="29" t="n">
        <v>0.3</v>
      </c>
      <c r="S2754" s="23" t="inlineStr">
        <is>
          <t>SÍ — vehículo</t>
        </is>
      </c>
      <c r="T2754" s="23" t="inlineStr">
        <is>
          <t>A · VEHÍCULO</t>
        </is>
      </c>
      <c r="U2754" s="23" t="inlineStr">
        <is>
          <t>NUEVA · VEHÍCULO</t>
        </is>
      </c>
      <c r="X2754" s="12" t="inlineStr">
        <is>
          <t>Sin dato en sistema. Cuenta como nivel 2.58 (límite superior de MEDIO): sin información no se presume riesgo bajo. Se sustituye al capturar el expediente.</t>
        </is>
      </c>
      <c r="Y2754" s="128" t="inlineStr">
        <is>
          <t>Vacío o valor no reconocido. Si llegan varios valores (tipo, producto, subtipo), se toma el de mayor nivel</t>
        </is>
      </c>
    </row>
    <row r="2755">
      <c r="C2755" s="108" t="inlineStr">
        <is>
          <t>PATRIMONIO EN ESPECIE</t>
        </is>
      </c>
      <c r="D2755" s="109" t="inlineStr">
        <is>
          <t>FF2</t>
        </is>
      </c>
      <c r="E2755" s="109" t="inlineStr">
        <is>
          <t>FIDUCIARIO ESTRUCTURAL</t>
        </is>
      </c>
      <c r="F2755" s="108" t="inlineStr">
        <is>
          <t>NO DETERMINADO</t>
        </is>
      </c>
      <c r="G2755" s="109" t="n">
        <v>9302</v>
      </c>
      <c r="H2755" s="109" t="n">
        <v>2.58</v>
      </c>
      <c r="I2755" s="109" t="n">
        <v>2.58</v>
      </c>
      <c r="J2755" s="109" t="n">
        <v>0</v>
      </c>
      <c r="K2755" s="107" t="n">
        <v>0</v>
      </c>
      <c r="L2755" s="107" t="n">
        <v>0</v>
      </c>
      <c r="M2755" s="107" t="n">
        <v>0</v>
      </c>
      <c r="N2755" s="107" t="n">
        <v>0</v>
      </c>
      <c r="O2755" s="107" t="n"/>
      <c r="P2755" s="107" t="n"/>
      <c r="Q2755" s="107" t="n"/>
      <c r="R2755" s="109" t="n">
        <v>0</v>
      </c>
      <c r="S2755" s="108" t="inlineStr">
        <is>
          <t>Segunda fase (v2.6): sin dato en las bases de BX+; peso 0</t>
        </is>
      </c>
      <c r="T2755" s="108" t="inlineStr">
        <is>
          <t>A · VEHÍCULO</t>
        </is>
      </c>
      <c r="U2755" s="108" t="inlineStr">
        <is>
          <t>NUEVA · VEHÍCULO</t>
        </is>
      </c>
      <c r="V2755" s="107" t="n"/>
      <c r="W2755" s="107" t="n"/>
      <c r="X2755" s="105" t="inlineStr">
        <is>
          <t>Sin dato en sistema. Cuenta como nivel 2.58 (límite superior de MEDIO): sin información no se presume riesgo bajo. Se sustituye al capturar el expediente.</t>
        </is>
      </c>
    </row>
    <row r="2756">
      <c r="C2756" s="108" t="inlineStr">
        <is>
          <t>VALOR DEL PATRIMONIO</t>
        </is>
      </c>
      <c r="D2756" s="109" t="inlineStr">
        <is>
          <t>FF3</t>
        </is>
      </c>
      <c r="E2756" s="109" t="inlineStr">
        <is>
          <t>FIDUCIARIO ESTRUCTURAL</t>
        </is>
      </c>
      <c r="F2756" s="108" t="inlineStr">
        <is>
          <t>NO DETERMINADO</t>
        </is>
      </c>
      <c r="G2756" s="109" t="n">
        <v>9303</v>
      </c>
      <c r="H2756" s="109" t="n">
        <v>2.58</v>
      </c>
      <c r="I2756" s="109" t="n">
        <v>2.58</v>
      </c>
      <c r="J2756" s="109" t="n">
        <v>0</v>
      </c>
      <c r="K2756" s="107" t="n">
        <v>0</v>
      </c>
      <c r="L2756" s="107" t="n">
        <v>0</v>
      </c>
      <c r="M2756" s="107" t="n">
        <v>0</v>
      </c>
      <c r="N2756" s="107" t="n">
        <v>0</v>
      </c>
      <c r="O2756" s="107" t="n"/>
      <c r="P2756" s="107" t="n"/>
      <c r="Q2756" s="107" t="n"/>
      <c r="R2756" s="109" t="n">
        <v>0</v>
      </c>
      <c r="S2756" s="108" t="inlineStr">
        <is>
          <t>Segunda fase (v2.6): sin dato en las bases de BX+; peso 0</t>
        </is>
      </c>
      <c r="T2756" s="108" t="inlineStr">
        <is>
          <t>A · VEHÍCULO</t>
        </is>
      </c>
      <c r="U2756" s="108" t="inlineStr">
        <is>
          <t>NUEVA · VEHÍCULO</t>
        </is>
      </c>
      <c r="V2756" s="107" t="n"/>
      <c r="W2756" s="107" t="n"/>
      <c r="X2756" s="105" t="inlineStr">
        <is>
          <t>Sin dato en sistema. Cuenta como nivel 2.58 (límite superior de MEDIO): sin información no se presume riesgo bajo. Se sustituye al capturar el expediente.</t>
        </is>
      </c>
    </row>
    <row r="2757">
      <c r="C2757" s="23" t="inlineStr">
        <is>
          <t>ANTIGÜEDAD DEL FIDEICOMISO</t>
        </is>
      </c>
      <c r="D2757" s="29" t="inlineStr">
        <is>
          <t>FF4</t>
        </is>
      </c>
      <c r="E2757" s="29" t="inlineStr">
        <is>
          <t>FIDUCIARIO ESTRUCTURAL</t>
        </is>
      </c>
      <c r="F2757" s="23" t="inlineStr">
        <is>
          <t>NO DETERMINADO</t>
        </is>
      </c>
      <c r="G2757" s="29" t="n">
        <v>9304</v>
      </c>
      <c r="H2757" s="29" t="n">
        <v>2.58</v>
      </c>
      <c r="I2757" s="29" t="n">
        <v>2.58</v>
      </c>
      <c r="J2757" s="29" t="n">
        <v>13</v>
      </c>
      <c r="K2757" t="n">
        <v>33.54</v>
      </c>
      <c r="L2757" t="n">
        <v>33.54</v>
      </c>
      <c r="M2757" t="n">
        <v>33.54</v>
      </c>
      <c r="N2757" t="n">
        <v>33.54</v>
      </c>
      <c r="R2757" s="29" t="n">
        <v>0.13</v>
      </c>
      <c r="S2757" s="23" t="inlineStr">
        <is>
          <t>SÍ — vehículo</t>
        </is>
      </c>
      <c r="T2757" s="23" t="inlineStr">
        <is>
          <t>A · VEHÍCULO</t>
        </is>
      </c>
      <c r="U2757" s="23" t="inlineStr">
        <is>
          <t>NUEVA · VEHÍCULO</t>
        </is>
      </c>
      <c r="X2757" s="12" t="inlineStr">
        <is>
          <t>Sin dato en sistema. Cuenta como nivel 2.58 (límite superior de MEDIO): sin información no se presume riesgo bajo. Se sustituye al capturar el expediente.</t>
        </is>
      </c>
      <c r="Y2757" s="128" t="inlineStr">
        <is>
          <t>FECHA_CONSTITUCION vacía</t>
        </is>
      </c>
    </row>
    <row r="2758">
      <c r="C2758" s="108" t="inlineStr">
        <is>
          <t>NÚMERO DE PARTES</t>
        </is>
      </c>
      <c r="D2758" s="109" t="inlineStr">
        <is>
          <t>FF5</t>
        </is>
      </c>
      <c r="E2758" s="109" t="inlineStr">
        <is>
          <t>FIDUCIARIO ESTRUCTURAL</t>
        </is>
      </c>
      <c r="F2758" s="108" t="inlineStr">
        <is>
          <t>NO DETERMINADO</t>
        </is>
      </c>
      <c r="G2758" s="109" t="n">
        <v>9305</v>
      </c>
      <c r="H2758" s="109" t="n">
        <v>2.58</v>
      </c>
      <c r="I2758" s="109" t="n">
        <v>2.58</v>
      </c>
      <c r="J2758" s="109" t="n">
        <v>0</v>
      </c>
      <c r="K2758" s="107" t="n">
        <v>0</v>
      </c>
      <c r="L2758" s="107" t="n">
        <v>0</v>
      </c>
      <c r="M2758" s="107" t="n">
        <v>0</v>
      </c>
      <c r="N2758" s="107" t="n">
        <v>0</v>
      </c>
      <c r="O2758" s="107" t="n"/>
      <c r="P2758" s="107" t="n"/>
      <c r="Q2758" s="107" t="n"/>
      <c r="R2758" s="109" t="n">
        <v>0</v>
      </c>
      <c r="S2758" s="108" t="inlineStr">
        <is>
          <t>Segunda fase (v2.6): sin dato en las bases de BX+; peso 0</t>
        </is>
      </c>
      <c r="T2758" s="108" t="inlineStr">
        <is>
          <t>A · VEHÍCULO</t>
        </is>
      </c>
      <c r="U2758" s="108" t="inlineStr">
        <is>
          <t>NUEVA · VEHÍCULO</t>
        </is>
      </c>
      <c r="V2758" s="107" t="n"/>
      <c r="W2758" s="107" t="n"/>
      <c r="X2758" s="105" t="inlineStr">
        <is>
          <t>Sin dato en sistema. Cuenta como nivel 2.58 (límite superior de MEDIO): sin información no se presume riesgo bajo. Se sustituye al capturar el expediente.</t>
        </is>
      </c>
    </row>
    <row r="2759">
      <c r="C2759" s="23" t="inlineStr">
        <is>
          <t>ACTIVIDAD VULNERABLE</t>
        </is>
      </c>
      <c r="D2759" s="29" t="inlineStr">
        <is>
          <t>FF6</t>
        </is>
      </c>
      <c r="E2759" s="29" t="inlineStr">
        <is>
          <t>FIDUCIARIO ESTRUCTURAL</t>
        </is>
      </c>
      <c r="F2759" s="23" t="inlineStr">
        <is>
          <t>NO DETERMINADO</t>
        </is>
      </c>
      <c r="G2759" s="29" t="n">
        <v>9306</v>
      </c>
      <c r="H2759" s="29" t="n">
        <v>2.58</v>
      </c>
      <c r="I2759" s="29" t="n">
        <v>2.58</v>
      </c>
      <c r="J2759" s="29" t="n">
        <v>27</v>
      </c>
      <c r="K2759" t="n">
        <v>69.66</v>
      </c>
      <c r="L2759" t="n">
        <v>69.66</v>
      </c>
      <c r="M2759" t="n">
        <v>69.66</v>
      </c>
      <c r="N2759" t="n">
        <v>69.66</v>
      </c>
      <c r="R2759" s="29" t="n">
        <v>0.27</v>
      </c>
      <c r="S2759" s="23" t="inlineStr">
        <is>
          <t>SÍ — vehículo</t>
        </is>
      </c>
      <c r="T2759" s="23" t="inlineStr">
        <is>
          <t>A · VEHÍCULO</t>
        </is>
      </c>
      <c r="U2759" s="23" t="inlineStr">
        <is>
          <t>NUEVA · VEHÍCULO</t>
        </is>
      </c>
      <c r="X2759" s="12" t="inlineStr">
        <is>
          <t>Sin dato en sistema. Cuenta como nivel 2.58 (límite superior de MEDIO): sin información no se presume riesgo bajo. Se sustituye al capturar el expediente.</t>
        </is>
      </c>
      <c r="Y2759" s="128" t="inlineStr">
        <is>
          <t>ACTIVIDAD_VULNERABLE vacía o "Inferida: Sin elementos"</t>
        </is>
      </c>
    </row>
    <row r="2760">
      <c r="C2760" s="23" t="inlineStr">
        <is>
          <t>PROCEDENCIA DE LOS RECURSOS (FID)</t>
        </is>
      </c>
      <c r="D2760" s="29" t="inlineStr">
        <is>
          <t>FF7</t>
        </is>
      </c>
      <c r="E2760" s="29" t="inlineStr">
        <is>
          <t>FIDUCIARIO ESTRUCTURAL</t>
        </is>
      </c>
      <c r="F2760" s="23" t="inlineStr">
        <is>
          <t>NO DETERMINADO</t>
        </is>
      </c>
      <c r="G2760" s="29" t="n">
        <v>9307</v>
      </c>
      <c r="H2760" s="29" t="n">
        <v>2.58</v>
      </c>
      <c r="I2760" s="29" t="n">
        <v>2.58</v>
      </c>
      <c r="J2760" s="29" t="n">
        <v>19</v>
      </c>
      <c r="K2760" t="n">
        <v>49.02</v>
      </c>
      <c r="L2760" t="n">
        <v>49.02</v>
      </c>
      <c r="M2760" t="n">
        <v>49.02</v>
      </c>
      <c r="N2760" t="n">
        <v>49.02</v>
      </c>
      <c r="R2760" s="29" t="n">
        <v>0.19</v>
      </c>
      <c r="S2760" s="23" t="inlineStr">
        <is>
          <t>SÍ — vehículo</t>
        </is>
      </c>
      <c r="T2760" s="23" t="inlineStr">
        <is>
          <t>A · VEHÍCULO</t>
        </is>
      </c>
      <c r="U2760" s="23" t="inlineStr">
        <is>
          <t>NUEVA · VEHÍCULO</t>
        </is>
      </c>
      <c r="X2760" s="12" t="inlineStr">
        <is>
          <t>Sin dato en sistema. Cuenta como nivel 2.58 (límite superior de MEDIO): sin información no se presume riesgo bajo. Se sustituye al capturar el expediente.</t>
        </is>
      </c>
      <c r="Y2760" s="128" t="inlineStr">
        <is>
          <t>ZVALF0011 vacía o clave no reconocida</t>
        </is>
      </c>
    </row>
    <row r="2761">
      <c r="C2761" s="23" t="inlineStr">
        <is>
          <t>OPERACIONES USD / TRANSFRONTERIZAS (FID)</t>
        </is>
      </c>
      <c r="D2761" s="29" t="inlineStr">
        <is>
          <t>FF8</t>
        </is>
      </c>
      <c r="E2761" s="29" t="inlineStr">
        <is>
          <t>FIDUCIARIO ESTRUCTURAL</t>
        </is>
      </c>
      <c r="F2761" s="23" t="inlineStr">
        <is>
          <t>NO DETERMINADO</t>
        </is>
      </c>
      <c r="G2761" s="29" t="n">
        <v>9308</v>
      </c>
      <c r="H2761" s="29" t="n">
        <v>2.58</v>
      </c>
      <c r="I2761" s="29" t="n">
        <v>2.58</v>
      </c>
      <c r="J2761" s="29" t="n">
        <v>11</v>
      </c>
      <c r="K2761" t="n">
        <v>28.38</v>
      </c>
      <c r="L2761" t="n">
        <v>28.38</v>
      </c>
      <c r="M2761" t="n">
        <v>28.38</v>
      </c>
      <c r="N2761" t="n">
        <v>28.38</v>
      </c>
      <c r="R2761" s="29" t="n">
        <v>0.11</v>
      </c>
      <c r="S2761" s="23" t="inlineStr">
        <is>
          <t>SÍ — vehículo</t>
        </is>
      </c>
      <c r="T2761" s="23" t="inlineStr">
        <is>
          <t>A · VEHÍCULO</t>
        </is>
      </c>
      <c r="U2761" s="23" t="inlineStr">
        <is>
          <t>NUEVA · VEHÍCULO</t>
        </is>
      </c>
      <c r="X2761" s="12" t="inlineStr">
        <is>
          <t>Sin dato en sistema. Cuenta como nivel 2.58 (límite superior de MEDIO): sin información no se presume riesgo bajo. Se sustituye al capturar el expediente.</t>
        </is>
      </c>
      <c r="Y2761" s="128" t="inlineStr">
        <is>
          <t>ZVALF0021 vacía</t>
        </is>
      </c>
    </row>
    <row r="2762">
      <c r="C2762" s="108" t="inlineStr">
        <is>
          <t>OPERACIÓN DISTINTA AL FIN DEL CONTRATO (V2)</t>
        </is>
      </c>
      <c r="D2762" s="109" t="inlineStr">
        <is>
          <t>FF9</t>
        </is>
      </c>
      <c r="E2762" s="109" t="inlineStr">
        <is>
          <t>FIDUCIARIO ESTRUCTURAL</t>
        </is>
      </c>
      <c r="F2762" s="108" t="inlineStr">
        <is>
          <t>NO DETERMINADO</t>
        </is>
      </c>
      <c r="G2762" s="109" t="n">
        <v>9309</v>
      </c>
      <c r="H2762" s="109" t="n">
        <v>2.58</v>
      </c>
      <c r="I2762" s="109" t="n">
        <v>2.58</v>
      </c>
      <c r="J2762" s="109" t="n">
        <v>0</v>
      </c>
      <c r="K2762" s="107" t="n">
        <v>0</v>
      </c>
      <c r="L2762" s="107" t="n">
        <v>0</v>
      </c>
      <c r="M2762" s="107" t="n">
        <v>0</v>
      </c>
      <c r="N2762" s="107" t="n">
        <v>0</v>
      </c>
      <c r="O2762" s="107" t="n"/>
      <c r="P2762" s="107" t="n"/>
      <c r="Q2762" s="107" t="n"/>
      <c r="R2762" s="109" t="n">
        <v>0</v>
      </c>
      <c r="S2762" s="108" t="inlineStr">
        <is>
          <t>Segunda fase (v2.6): sin dato en las bases de BX+; peso 0</t>
        </is>
      </c>
      <c r="T2762" s="108" t="inlineStr">
        <is>
          <t>A · VEHÍCULO</t>
        </is>
      </c>
      <c r="U2762" s="108" t="inlineStr">
        <is>
          <t>NUEVA · VEHÍCULO</t>
        </is>
      </c>
      <c r="V2762" s="107" t="n"/>
      <c r="W2762" s="107" t="n"/>
      <c r="X2762" s="105" t="inlineStr">
        <is>
          <t>Sin dato en sistema. Cuenta como nivel 2.58 (límite superior de MEDIO): sin información no se presume riesgo bajo. Se sustituye al capturar el expediente.</t>
        </is>
      </c>
    </row>
    <row r="2763">
      <c r="C2763" s="108" t="inlineStr">
        <is>
          <t>UBICACIÓN DEL PATRIMONIO</t>
        </is>
      </c>
      <c r="D2763" s="109" t="inlineStr">
        <is>
          <t>FF10</t>
        </is>
      </c>
      <c r="E2763" s="109" t="inlineStr">
        <is>
          <t>FIDUCIARIO ESTRUCTURAL</t>
        </is>
      </c>
      <c r="F2763" s="108" t="inlineStr">
        <is>
          <t>NO DETERMINADO</t>
        </is>
      </c>
      <c r="G2763" s="109" t="n">
        <v>9310</v>
      </c>
      <c r="H2763" s="109" t="n">
        <v>2.58</v>
      </c>
      <c r="I2763" s="109" t="n">
        <v>2.58</v>
      </c>
      <c r="J2763" s="109" t="n">
        <v>0</v>
      </c>
      <c r="K2763" s="107" t="n">
        <v>0</v>
      </c>
      <c r="L2763" s="107" t="n">
        <v>0</v>
      </c>
      <c r="M2763" s="107" t="n">
        <v>0</v>
      </c>
      <c r="N2763" s="107" t="n">
        <v>0</v>
      </c>
      <c r="O2763" s="107" t="n"/>
      <c r="P2763" s="107" t="n"/>
      <c r="Q2763" s="107" t="n"/>
      <c r="R2763" s="109" t="n">
        <v>0</v>
      </c>
      <c r="S2763" s="108" t="inlineStr">
        <is>
          <t>Segunda fase (v2.6): sin dato en las bases de BX+; peso 0</t>
        </is>
      </c>
      <c r="T2763" s="108" t="inlineStr">
        <is>
          <t>A · VEHÍCULO</t>
        </is>
      </c>
      <c r="U2763" s="108" t="inlineStr">
        <is>
          <t>NUEVA · VEHÍCULO</t>
        </is>
      </c>
      <c r="V2763" s="107" t="n"/>
      <c r="W2763" s="107" t="n"/>
      <c r="X2763" s="105" t="inlineStr">
        <is>
          <t>Sin dato en sistema. Cuenta como nivel 2.58 (límite superior de MEDIO): sin información no se presume riesgo bajo. Se sustituye al capturar el expediente.</t>
        </is>
      </c>
    </row>
    <row r="2764">
      <c r="A2764" s="110" t="n"/>
      <c r="B2764" s="110" t="n"/>
      <c r="C2764" s="110" t="inlineStr">
        <is>
          <t>TIPO DE FIDEICOMISO</t>
        </is>
      </c>
      <c r="D2764" s="110" t="inlineStr">
        <is>
          <t>FF1</t>
        </is>
      </c>
      <c r="E2764" s="110" t="inlineStr">
        <is>
          <t>FIDUCIARIO ESTRUCTURAL</t>
        </is>
      </c>
      <c r="F2764" s="93" t="inlineStr">
        <is>
          <t>FIDEICOMISO DE ADMINISTRACIÓN INMOBILIARIA (DESARROLLO O ARRENDAMIENTO)</t>
        </is>
      </c>
      <c r="G2764" s="110" t="n">
        <v>9009</v>
      </c>
      <c r="H2764" s="110" t="n">
        <v>3</v>
      </c>
      <c r="I2764" s="110" t="n">
        <v>3</v>
      </c>
      <c r="J2764" s="110" t="n">
        <v>30</v>
      </c>
      <c r="K2764" s="110" t="n">
        <v>90</v>
      </c>
      <c r="L2764" s="110" t="n">
        <v>90</v>
      </c>
      <c r="M2764" s="110" t="n">
        <v>90</v>
      </c>
      <c r="N2764" s="110" t="n">
        <v>90</v>
      </c>
      <c r="O2764" s="110" t="n"/>
      <c r="P2764" s="110" t="n"/>
      <c r="Q2764" s="110" t="n"/>
      <c r="R2764" s="110" t="n">
        <v>0.3</v>
      </c>
      <c r="S2764" s="110" t="inlineStr">
        <is>
          <t>SÍ — vehículo</t>
        </is>
      </c>
      <c r="T2764" s="110" t="inlineStr">
        <is>
          <t>A · VEHÍCULO</t>
        </is>
      </c>
      <c r="U2764" s="110" t="inlineStr">
        <is>
          <t>NUEVA v2.6 · VEHÍCULO</t>
        </is>
      </c>
      <c r="V2764" s="110" t="n"/>
      <c r="W2764" s="110" t="n"/>
      <c r="X2764" s="110" t="inlineStr">
        <is>
          <t>Nueva en v2.6: subtipo «Inmobiliario» de la base de expedientes (282 casos). Nivel 3 propuesto, a validar con BX+.</t>
        </is>
      </c>
      <c r="Y2764" s="128" t="inlineStr">
        <is>
          <t>SUBTIPO_EXPEDIENTE = "Inmobiliario" o TIPO = "Arrendamiento"</t>
        </is>
      </c>
    </row>
  </sheetData>
  <autoFilter ref="B4:X2751"/>
  <dataValidations count="1">
    <dataValidation sqref="W5:W2632 W2635:W2680 W2682:W2686 W2688:W2717 W2720:W2751" showDropDown="0" showInputMessage="0" showErrorMessage="0" allowBlank="1" type="list">
      <formula1>"SIN CAMBIOS,CAMBIAR NOMBRE,CAMBIAR NIVEL,CAMBIAR DE GRUPO,ELIMINAR,NO APLICA AL FIDUCIARIO"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zoomScaleNormal="100" workbookViewId="0">
      <selection activeCell="A7" sqref="A7"/>
    </sheetView>
  </sheetViews>
  <sheetFormatPr baseColWidth="10" defaultColWidth="8.6328125" defaultRowHeight="14.5"/>
  <cols>
    <col width="6" customWidth="1" min="1" max="1"/>
    <col width="32" customWidth="1" min="2" max="2"/>
    <col width="8" customWidth="1" min="3" max="3"/>
    <col width="34" customWidth="1" min="4" max="4"/>
    <col width="6" customWidth="1" min="5" max="5"/>
    <col width="34" customWidth="1" min="6" max="6"/>
    <col width="6" customWidth="1" min="7" max="7"/>
    <col width="34" customWidth="1" min="8" max="8"/>
    <col width="6" customWidth="1" min="9" max="9"/>
  </cols>
  <sheetData>
    <row r="1" ht="15.75" customHeight="1">
      <c r="A1" s="30" t="inlineStr">
        <is>
          <t>MODELO DE EJEMPLO — GRADO DE RIESGO DE UN FIDEICOMISO (interactivo: seleccione la VARIABLE)</t>
        </is>
      </c>
    </row>
    <row r="2" ht="15" customHeight="1">
      <c r="A2" s="31" t="inlineStr">
        <is>
          <t>Instrumento de GRADO DE RIESGO DE CLIENTE — distinto e independiente de la MEBR/EBR de la entidad. Escala 100–500 y bandas de la Tabla 5 de la Matriz BX+ (modelo de clientes): 100–223 BAJO · 224–258 MEDIO · 259–290 MEDIO ALTO · 291–500 ALTO.</t>
        </is>
      </c>
    </row>
    <row r="3" ht="15" customHeight="1">
      <c r="A3" s="32" t="inlineStr">
        <is>
          <t>Celdas azul claro = lista desplegable. NIVEL y PUNTAJE se calculan solos. El ROL es variable de riesgo (FI8) y además pondera la consolidación (decisión conservadora documentada en la GUÍA).</t>
        </is>
      </c>
    </row>
    <row r="5" ht="15" customHeight="1">
      <c r="A5" s="99" t="inlineStr">
        <is>
          <t>BLOQUE A · EL VEHÍCULO (v2.6: sólo factores con dato en las bases de BX+)</t>
        </is>
      </c>
      <c r="H5" s="34" t="n"/>
    </row>
    <row r="6" ht="15" customHeight="1">
      <c r="A6" s="111" t="inlineStr">
        <is>
          <t>F</t>
        </is>
      </c>
      <c r="B6" s="111" t="inlineStr">
        <is>
          <t>FACTOR</t>
        </is>
      </c>
      <c r="C6" s="111" t="inlineStr">
        <is>
          <t>PESO %</t>
        </is>
      </c>
      <c r="D6" s="111" t="inlineStr">
        <is>
          <t>VARIABLE (elegir de la lista)</t>
        </is>
      </c>
      <c r="E6" s="111" t="inlineStr">
        <is>
          <t>NIVEL</t>
        </is>
      </c>
      <c r="F6" s="111" t="inlineStr">
        <is>
          <t>PUNTAJE</t>
        </is>
      </c>
    </row>
    <row r="7" ht="15" customHeight="1">
      <c r="A7" s="35" t="inlineStr">
        <is>
          <t>FF1</t>
        </is>
      </c>
      <c r="B7" s="25" t="inlineStr">
        <is>
          <t>Tipo de fideicomiso</t>
        </is>
      </c>
      <c r="C7" s="36" t="n">
        <v>0.3</v>
      </c>
      <c r="D7" s="112" t="inlineStr">
        <is>
          <t>FIDEICOMISO DE ADMINISTRACIÓN INMOBILIARIA (DESARROLLO O ARRENDAMIENTO)</t>
        </is>
      </c>
      <c r="E7" s="38">
        <f>IFERROR(INDEX(LISTAS!$B$5:$B$14,MATCH(D7,LISTAS!$A$5:$A$14,0)),"")</f>
        <v/>
      </c>
      <c r="F7" s="39">
        <f>IFERROR(E7*C7*100,0)</f>
        <v/>
      </c>
    </row>
    <row r="8" ht="15" customHeight="1">
      <c r="A8" s="40" t="inlineStr">
        <is>
          <t>FF4</t>
        </is>
      </c>
      <c r="B8" s="41" t="inlineStr">
        <is>
          <t>Antigüedad del fideicomiso</t>
        </is>
      </c>
      <c r="C8" s="36" t="n">
        <v>0.13</v>
      </c>
      <c r="D8" s="113" t="inlineStr">
        <is>
          <t>3 A 10 AÑOS</t>
        </is>
      </c>
      <c r="E8" s="38">
        <f>IFERROR(INDEX(LISTAS!$E$5:$E$9,MATCH(D8,LISTAS!$D$5:$D$9,0)),"")</f>
        <v/>
      </c>
      <c r="F8" s="39">
        <f>IFERROR(E8*C8*100,0)</f>
        <v/>
      </c>
    </row>
    <row r="9" ht="15" customHeight="1">
      <c r="A9" s="35" t="inlineStr">
        <is>
          <t>FF6</t>
        </is>
      </c>
      <c r="B9" s="25" t="inlineStr">
        <is>
          <t>Actividad vulnerable LFPIORPI</t>
        </is>
      </c>
      <c r="C9" s="36" t="n">
        <v>0.27</v>
      </c>
      <c r="D9" s="112" t="inlineStr">
        <is>
          <t>AV CONFIRMADA ART. 17 (TIPO B)</t>
        </is>
      </c>
      <c r="E9" s="38">
        <f>IFERROR(INDEX(LISTAS!$H$5:$H$8,MATCH(D9,LISTAS!$G$5:$G$8,0)),"")</f>
        <v/>
      </c>
      <c r="F9" s="39">
        <f>IFERROR(E9*C9*100,0)</f>
        <v/>
      </c>
    </row>
    <row r="10" ht="15" customHeight="1">
      <c r="A10" s="40" t="inlineStr">
        <is>
          <t>FF7</t>
        </is>
      </c>
      <c r="B10" s="41" t="inlineStr">
        <is>
          <t>Procedencia de los recursos</t>
        </is>
      </c>
      <c r="C10" s="36" t="n">
        <v>0.19</v>
      </c>
      <c r="D10" s="112" t="inlineStr">
        <is>
          <t>VENTA DE ACTIVOS DOCUMENTADA (INMUEBLES, ACCIONES, ETC.)</t>
        </is>
      </c>
      <c r="E10" s="38">
        <f>IFERROR(INDEX(LISTAS!$K$5:$K$9,MATCH(D10,LISTAS!$J$5:$J$9,0)),"")</f>
        <v/>
      </c>
      <c r="F10" s="39">
        <f>IFERROR(E10*C10*100,0)</f>
        <v/>
      </c>
    </row>
    <row r="11" ht="15" customHeight="1">
      <c r="A11" s="35" t="inlineStr">
        <is>
          <t>FF8</t>
        </is>
      </c>
      <c r="B11" s="25" t="inlineStr">
        <is>
          <t>Operaciones en USD / transfronterizas</t>
        </is>
      </c>
      <c r="C11" s="36" t="n">
        <v>0.11</v>
      </c>
      <c r="D11" s="112" t="inlineStr">
        <is>
          <t>SIN OPERACIONES USD NI EXTRANJERO</t>
        </is>
      </c>
      <c r="E11" s="38">
        <f>IFERROR(INDEX(LISTAS!$N$5:$N$8,MATCH(D11,LISTAS!$M$5:$M$8,0)),"")</f>
        <v/>
      </c>
      <c r="F11" s="39">
        <f>IFERROR(E11*C11*100,0)</f>
        <v/>
      </c>
    </row>
    <row r="12" ht="15" customHeight="1">
      <c r="A12" s="40" t="n"/>
      <c r="B12" s="114" t="inlineStr">
        <is>
          <t>RIESGO ESTRUCTURAL DEL VEHÍCULO (100–500)</t>
        </is>
      </c>
      <c r="C12" s="36" t="n"/>
      <c r="D12" s="37" t="n"/>
      <c r="E12" s="38" t="n"/>
      <c r="F12" s="39">
        <f>ROUND(SUM(F7:F11),0)</f>
        <v/>
      </c>
      <c r="G12">
        <f>IF(F12&gt;=291,"ALTO",IF(F12&gt;=259,"MEDIO ALTO",IF(F12&gt;=224,"MEDIO","BAJO")))</f>
        <v/>
      </c>
    </row>
    <row r="13" ht="15" customHeight="1">
      <c r="A13" s="35" t="n"/>
      <c r="B13" s="25" t="n"/>
      <c r="C13" s="36" t="n"/>
      <c r="D13" s="37" t="n"/>
      <c r="E13" s="38" t="n"/>
      <c r="F13" s="39" t="n"/>
    </row>
    <row r="14" ht="15" customHeight="1">
      <c r="A14" s="40" t="n"/>
      <c r="B14" s="114" t="inlineStr">
        <is>
          <t>RIESGO HEREDADO DEL BANCO (100–500): el mayor entre la Base SharePoint y SIPREV</t>
        </is>
      </c>
      <c r="C14" s="36" t="n"/>
      <c r="D14" s="37" t="n"/>
      <c r="E14" s="38" t="n"/>
      <c r="F14" s="115" t="n">
        <v>241</v>
      </c>
      <c r="G14">
        <f>IF(F14&gt;=291,"ALTO",IF(F14&gt;=259,"MEDIO ALTO",IF(F14&gt;=224,"MEDIO","BAJO")))</f>
        <v/>
      </c>
    </row>
    <row r="15" ht="15" customHeight="1">
      <c r="A15" s="35" t="n"/>
      <c r="B15" s="90" t="n"/>
      <c r="C15" s="36" t="n"/>
      <c r="D15" s="91" t="n"/>
      <c r="E15" s="38" t="n"/>
      <c r="F15" s="39" t="n"/>
    </row>
    <row r="16" ht="15" customHeight="1">
      <c r="A16" s="116" t="inlineStr">
        <is>
          <t>Referencia del riesgo heredado: BAJO 162 · MEDIO 241 · MEDIO ALTO 275 · ALTO 330 (se sustituye por el puntaje real del banco). Fuera del cálculo en v2.6 (segunda fase): patrimonio aportado, valor, número de partes, ubicación y operación distinta al fin.</t>
        </is>
      </c>
      <c r="B16" s="42" t="n"/>
      <c r="F16" s="43" t="n"/>
      <c r="G16" s="44" t="n"/>
    </row>
    <row r="19" ht="15" customHeight="1">
      <c r="A19" s="33" t="inlineStr">
        <is>
          <t>BLOQUE B · LOS INTEGRANTES (incluye ROL como variable FI8)</t>
        </is>
      </c>
    </row>
    <row r="20" ht="15" customHeight="1">
      <c r="A20" s="6" t="inlineStr">
        <is>
          <t>F</t>
        </is>
      </c>
      <c r="B20" s="6" t="inlineStr">
        <is>
          <t>FACTOR</t>
        </is>
      </c>
      <c r="C20" s="6" t="inlineStr">
        <is>
          <t>PESO %</t>
        </is>
      </c>
      <c r="D20" s="6" t="inlineStr">
        <is>
          <t>Inmobiliaria Delta SA — VARIABLE</t>
        </is>
      </c>
      <c r="E20" s="6" t="inlineStr">
        <is>
          <t>NIV</t>
        </is>
      </c>
      <c r="F20" s="6" t="inlineStr">
        <is>
          <t>Juan Pérez López — VARIABLE</t>
        </is>
      </c>
      <c r="G20" s="6" t="inlineStr">
        <is>
          <t>NIV</t>
        </is>
      </c>
      <c r="H20" s="6" t="inlineStr">
        <is>
          <t>Holding BV (extranjera) — VARIABLE</t>
        </is>
      </c>
      <c r="I20" s="6" t="inlineStr">
        <is>
          <t>NIV</t>
        </is>
      </c>
    </row>
    <row r="21" ht="15" customHeight="1">
      <c r="A21" s="35" t="inlineStr">
        <is>
          <t>FI1</t>
        </is>
      </c>
      <c r="B21" s="25" t="inlineStr">
        <is>
          <t>Tipo de persona</t>
        </is>
      </c>
      <c r="C21" s="36" t="n">
        <v>0.15</v>
      </c>
      <c r="D21" s="45" t="inlineStr">
        <is>
          <t>PERSONA MORAL</t>
        </is>
      </c>
      <c r="E21" s="38">
        <f>IFERROR(INDEX('3. BASE VARIABLES'!$H$2682:$H$2686,MATCH(D21,'3. BASE VARIABLES'!$F$2682:$F$2686,0)),"")</f>
        <v/>
      </c>
      <c r="F21" s="45" t="inlineStr">
        <is>
          <t>PF CON ACTIVIDAD EMPRESARIAL</t>
        </is>
      </c>
      <c r="G21" s="38">
        <f>IFERROR(INDEX('3. BASE VARIABLES'!$H$2682:$H$2686,MATCH(F21,'3. BASE VARIABLES'!$F$2682:$F$2686,0)),"")</f>
        <v/>
      </c>
      <c r="H21" s="45" t="inlineStr">
        <is>
          <t>PERSONA MORAL</t>
        </is>
      </c>
      <c r="I21" s="38">
        <f>IFERROR(INDEX('3. BASE VARIABLES'!$H$2682:$H$2686,MATCH(H21,'3. BASE VARIABLES'!$F$2682:$F$2686,0)),"")</f>
        <v/>
      </c>
    </row>
    <row r="22" ht="15" customHeight="1">
      <c r="A22" s="40" t="inlineStr">
        <is>
          <t>FI2</t>
        </is>
      </c>
      <c r="B22" s="41" t="inlineStr">
        <is>
          <t>Actividad económica</t>
        </is>
      </c>
      <c r="C22" s="36" t="n">
        <v>0.23</v>
      </c>
      <c r="D22" s="45" t="inlineStr">
        <is>
          <t>INMOBILIARIO / CONSTRUCCIÓN</t>
        </is>
      </c>
      <c r="E22" s="38">
        <f>IFERROR(INDEX('3. BASE VARIABLES'!$H$2688:$H$2697,MATCH(D22,'3. BASE VARIABLES'!$F$2688:$F$2697,0)),"")</f>
        <v/>
      </c>
      <c r="F22" s="45" t="inlineStr">
        <is>
          <t>SERVICIOS PROFESIONALES</t>
        </is>
      </c>
      <c r="G22" s="38">
        <f>IFERROR(INDEX('3. BASE VARIABLES'!$H$2688:$H$2697,MATCH(F22,'3. BASE VARIABLES'!$F$2688:$F$2697,0)),"")</f>
        <v/>
      </c>
      <c r="H22" s="45" t="inlineStr">
        <is>
          <t>COMERCIO EXTERIOR</t>
        </is>
      </c>
      <c r="I22" s="38">
        <f>IFERROR(INDEX('3. BASE VARIABLES'!$H$2688:$H$2697,MATCH(H22,'3. BASE VARIABLES'!$F$2688:$F$2697,0)),"")</f>
        <v/>
      </c>
    </row>
    <row r="23" ht="15" customHeight="1">
      <c r="A23" s="35" t="inlineStr">
        <is>
          <t>FI3</t>
        </is>
      </c>
      <c r="B23" s="25" t="inlineStr">
        <is>
          <t>País de nacimiento</t>
        </is>
      </c>
      <c r="C23" s="36" t="n">
        <v>0.09</v>
      </c>
      <c r="D23" s="45" t="inlineStr">
        <is>
          <t>MÉXICO</t>
        </is>
      </c>
      <c r="E23" s="38">
        <f>IFERROR(INDEX('3. BASE VARIABLES'!$H$2698:$H$2703,MATCH(D23,'3. BASE VARIABLES'!$F$2698:$F$2703,0)),"")</f>
        <v/>
      </c>
      <c r="F23" s="45" t="inlineStr">
        <is>
          <t>MÉXICO</t>
        </is>
      </c>
      <c r="G23" s="38">
        <f>IFERROR(INDEX('3. BASE VARIABLES'!$H$2698:$H$2703,MATCH(F23,'3. BASE VARIABLES'!$F$2698:$F$2703,0)),"")</f>
        <v/>
      </c>
      <c r="H23" s="45" t="inlineStr">
        <is>
          <t>RÉGIMEN FISCAL PREFERENTE</t>
        </is>
      </c>
      <c r="I23" s="38">
        <f>IFERROR(INDEX('3. BASE VARIABLES'!$H$2698:$H$2703,MATCH(H23,'3. BASE VARIABLES'!$F$2698:$F$2703,0)),"")</f>
        <v/>
      </c>
    </row>
    <row r="24" ht="15" customHeight="1">
      <c r="A24" s="40" t="inlineStr">
        <is>
          <t>FI4</t>
        </is>
      </c>
      <c r="B24" s="41" t="inlineStr">
        <is>
          <t>Nacionalidad</t>
        </is>
      </c>
      <c r="C24" s="36" t="n">
        <v>0.11</v>
      </c>
      <c r="D24" s="45" t="inlineStr">
        <is>
          <t>MÉXICO</t>
        </is>
      </c>
      <c r="E24" s="38">
        <f>IFERROR(INDEX('3. BASE VARIABLES'!$H$2698:$H$2703,MATCH(D24,'3. BASE VARIABLES'!$F$2698:$F$2703,0)),"")</f>
        <v/>
      </c>
      <c r="F24" s="45" t="inlineStr">
        <is>
          <t>MÉXICO</t>
        </is>
      </c>
      <c r="G24" s="38">
        <f>IFERROR(INDEX('3. BASE VARIABLES'!$H$2698:$H$2703,MATCH(F24,'3. BASE VARIABLES'!$F$2698:$F$2703,0)),"")</f>
        <v/>
      </c>
      <c r="H24" s="45" t="inlineStr">
        <is>
          <t>RÉGIMEN FISCAL PREFERENTE</t>
        </is>
      </c>
      <c r="I24" s="38">
        <f>IFERROR(INDEX('3. BASE VARIABLES'!$H$2698:$H$2703,MATCH(H24,'3. BASE VARIABLES'!$F$2698:$F$2703,0)),"")</f>
        <v/>
      </c>
    </row>
    <row r="25" ht="15" customHeight="1">
      <c r="A25" s="35" t="inlineStr">
        <is>
          <t>FI5</t>
        </is>
      </c>
      <c r="B25" s="25" t="inlineStr">
        <is>
          <t>País del domicilio</t>
        </is>
      </c>
      <c r="C25" s="36" t="n">
        <v>0.11</v>
      </c>
      <c r="D25" s="45" t="inlineStr">
        <is>
          <t>MÉXICO</t>
        </is>
      </c>
      <c r="E25" s="38">
        <f>IFERROR(INDEX('3. BASE VARIABLES'!$H$2698:$H$2703,MATCH(D25,'3. BASE VARIABLES'!$F$2698:$F$2703,0)),"")</f>
        <v/>
      </c>
      <c r="F25" s="45" t="inlineStr">
        <is>
          <t>MÉXICO</t>
        </is>
      </c>
      <c r="G25" s="38">
        <f>IFERROR(INDEX('3. BASE VARIABLES'!$H$2698:$H$2703,MATCH(F25,'3. BASE VARIABLES'!$F$2698:$F$2703,0)),"")</f>
        <v/>
      </c>
      <c r="H25" s="45" t="inlineStr">
        <is>
          <t>RÉGIMEN FISCAL PREFERENTE</t>
        </is>
      </c>
      <c r="I25" s="38">
        <f>IFERROR(INDEX('3. BASE VARIABLES'!$H$2698:$H$2703,MATCH(H25,'3. BASE VARIABLES'!$F$2698:$F$2703,0)),"")</f>
        <v/>
      </c>
    </row>
    <row r="26" ht="15" customHeight="1">
      <c r="A26" s="40" t="inlineStr">
        <is>
          <t>FI6</t>
        </is>
      </c>
      <c r="B26" s="41" t="inlineStr">
        <is>
          <t>Estado del domicilio</t>
        </is>
      </c>
      <c r="C26" s="36" t="n">
        <v>0.12</v>
      </c>
      <c r="D26" s="45" t="inlineStr">
        <is>
          <t>INCIDENCIA MEDIA</t>
        </is>
      </c>
      <c r="E26" s="38">
        <f>IFERROR(INDEX('3. BASE VARIABLES'!$H$2704:$H$2708,MATCH(D26,'3. BASE VARIABLES'!$F$2704:$F$2708,0)),"")</f>
        <v/>
      </c>
      <c r="F26" s="45" t="inlineStr">
        <is>
          <t>BAJA INCIDENCIA DELICTIVA</t>
        </is>
      </c>
      <c r="G26" s="38">
        <f>IFERROR(INDEX('3. BASE VARIABLES'!$H$2704:$H$2708,MATCH(F26,'3. BASE VARIABLES'!$F$2704:$F$2708,0)),"")</f>
        <v/>
      </c>
      <c r="H26" s="45" t="inlineStr">
        <is>
          <t>DOMICILIO EN EL EXTRANJERO</t>
        </is>
      </c>
      <c r="I26" s="38">
        <f>IFERROR(INDEX('3. BASE VARIABLES'!$H$2704:$H$2708,MATCH(H26,'3. BASE VARIABLES'!$F$2704:$F$2708,0)),"")</f>
        <v/>
      </c>
    </row>
    <row r="27" ht="15" customHeight="1">
      <c r="A27" s="35" t="inlineStr">
        <is>
          <t>FI7</t>
        </is>
      </c>
      <c r="B27" s="25" t="inlineStr">
        <is>
          <t>Edad / constitución</t>
        </is>
      </c>
      <c r="C27" s="36" t="n">
        <v>0.07000000000000001</v>
      </c>
      <c r="D27" s="45" t="inlineStr">
        <is>
          <t>3 A 10 AÑOS</t>
        </is>
      </c>
      <c r="E27" s="38">
        <f>IFERROR(INDEX('3. BASE VARIABLES'!$H$2709:$H$2717,MATCH(D27,'3. BASE VARIABLES'!$F$2709:$F$2717,0)),"")</f>
        <v/>
      </c>
      <c r="F27" s="45" t="inlineStr">
        <is>
          <t>25 A 50 AÑOS</t>
        </is>
      </c>
      <c r="G27" s="38">
        <f>IFERROR(INDEX('3. BASE VARIABLES'!$H$2709:$H$2717,MATCH(F27,'3. BASE VARIABLES'!$F$2709:$F$2717,0)),"")</f>
        <v/>
      </c>
      <c r="H27" s="45" t="inlineStr">
        <is>
          <t>1 A 3 AÑOS</t>
        </is>
      </c>
      <c r="I27" s="38">
        <f>IFERROR(INDEX('3. BASE VARIABLES'!$H$2709:$H$2717,MATCH(H27,'3. BASE VARIABLES'!$F$2709:$F$2717,0)),"")</f>
        <v/>
      </c>
    </row>
    <row r="28" ht="15" customHeight="1">
      <c r="A28" s="40" t="inlineStr">
        <is>
          <t>FI8</t>
        </is>
      </c>
      <c r="B28" s="41" t="inlineStr">
        <is>
          <t>Rol en el fideicomiso</t>
        </is>
      </c>
      <c r="C28" s="36" t="n">
        <v>0.12</v>
      </c>
      <c r="D28" s="45" t="inlineStr">
        <is>
          <t>FIDEICOMITENTE</t>
        </is>
      </c>
      <c r="E28" s="38">
        <f>IFERROR(INDEX('3. BASE VARIABLES'!$H$2674:$H$2679,MATCH(D28,'3. BASE VARIABLES'!$F$2674:$F$2679,0)),"")</f>
        <v/>
      </c>
      <c r="F28" s="45" t="inlineStr">
        <is>
          <t>FIDEICOMISARIO</t>
        </is>
      </c>
      <c r="G28" s="38">
        <f>IFERROR(INDEX('3. BASE VARIABLES'!$H$2674:$H$2679,MATCH(F28,'3. BASE VARIABLES'!$F$2674:$F$2679,0)),"")</f>
        <v/>
      </c>
      <c r="H28" s="45" t="inlineStr">
        <is>
          <t>MIEMBRO DEL COMITÉ TÉCNICO</t>
        </is>
      </c>
      <c r="I28" s="38">
        <f>IFERROR(INDEX('3. BASE VARIABLES'!$H$2674:$H$2679,MATCH(H28,'3. BASE VARIABLES'!$F$2674:$F$2679,0)),"")</f>
        <v/>
      </c>
    </row>
    <row r="30" ht="15" customHeight="1">
      <c r="B30" s="42" t="inlineStr">
        <is>
          <t>RIESGO DEL INTEGRANTE (100–500)</t>
        </is>
      </c>
      <c r="D30" s="44">
        <f>ROUND(SUMPRODUCT($C$21:$C$28,E21:E28)*100,0)</f>
        <v/>
      </c>
      <c r="F30" s="44">
        <f>ROUND(SUMPRODUCT($C$21:$C$28,G21:G28)*100,0)</f>
        <v/>
      </c>
      <c r="H30" s="44">
        <f>ROUND(SUMPRODUCT($C$21:$C$28,I21:I28)*100,0)</f>
        <v/>
      </c>
    </row>
    <row r="31" ht="15" customHeight="1">
      <c r="B31" s="46" t="inlineStr">
        <is>
          <t>BANDA</t>
        </is>
      </c>
      <c r="D31" s="47">
        <f>IF(D30&gt;=291,"ALTO",IF(D30&gt;=259,"MEDIO ALTO",IF(D30&gt;=224,"MEDIO","BAJO")))</f>
        <v/>
      </c>
      <c r="F31" s="47">
        <f>IF(F30&gt;=291,"ALTO",IF(F30&gt;=259,"MEDIO ALTO",IF(F30&gt;=224,"MEDIO","BAJO")))</f>
        <v/>
      </c>
      <c r="H31" s="47">
        <f>IF(H30&gt;=291,"ALTO",IF(H30&gt;=259,"MEDIO ALTO",IF(H30&gt;=224,"MEDIO","BAJO")))</f>
        <v/>
      </c>
    </row>
    <row r="34" ht="15" customHeight="1">
      <c r="A34" s="33" t="inlineStr">
        <is>
          <t>BLOQUE C · CONSOLIDACIÓN (el rol pondera: se toma de la fila FI8)</t>
        </is>
      </c>
    </row>
    <row r="35" ht="15" customHeight="1">
      <c r="B35" s="46" t="inlineStr">
        <is>
          <t>Peso de rol</t>
        </is>
      </c>
      <c r="D35" s="48">
        <f>IF(LEFT(D28,14)="FIDEICOMITENTE",0.4,IF(LEFT(D28,10)="MIEMBRO DE",0.2,IF(LEFT(D28,14)="FIDEICOMISARIO",0.25,0.15)))</f>
        <v/>
      </c>
      <c r="F35" s="48">
        <f>IF(LEFT(F28,14)="FIDEICOMITENTE",0.4,IF(LEFT(F28,10)="MIEMBRO DE",0.2,IF(LEFT(F28,14)="FIDEICOMISARIO",0.25,0.15)))</f>
        <v/>
      </c>
      <c r="H35" s="48">
        <f>IF(LEFT(H28,14)="FIDEICOMITENTE",0.4,IF(LEFT(H28,10)="MIEMBRO DE",0.2,IF(LEFT(H28,14)="FIDEICOMISARIO",0.25,0.15)))</f>
        <v/>
      </c>
    </row>
    <row r="36" ht="15" customHeight="1">
      <c r="B36" s="46" t="inlineStr">
        <is>
          <t>Peso normalizado</t>
        </is>
      </c>
      <c r="D36" s="49">
        <f>D35/($D$35+$F$35+$H$35)</f>
        <v/>
      </c>
      <c r="F36" s="49">
        <f>F35/($D$35+$F$35+$H$35)</f>
        <v/>
      </c>
      <c r="H36" s="49">
        <f>H35/($D$35+$F$35+$H$35)</f>
        <v/>
      </c>
    </row>
    <row r="37" ht="15" customHeight="1">
      <c r="B37" s="50" t="inlineStr">
        <is>
          <t>Promedio ponderado de integrantes</t>
        </is>
      </c>
      <c r="D37" s="51">
        <f>ROUND(D30*D36+F30*F36+H30*H36,0)</f>
        <v/>
      </c>
    </row>
    <row r="38" ht="15" customHeight="1">
      <c r="B38" s="50" t="inlineStr">
        <is>
          <t>Peor parte</t>
        </is>
      </c>
      <c r="D38" s="51">
        <f>MAX(D30,F30,H30)</f>
        <v/>
      </c>
    </row>
    <row r="39" ht="15" customHeight="1">
      <c r="B39" s="50" t="inlineStr">
        <is>
          <t>Estructural del vehículo</t>
        </is>
      </c>
      <c r="D39" s="51">
        <f>F12</f>
        <v/>
      </c>
    </row>
    <row r="40" ht="15" customHeight="1">
      <c r="B40" s="52" t="inlineStr">
        <is>
          <t>GRADO DE RIESGO CONSOLIDADO (antes de invalidaciones)</t>
        </is>
      </c>
      <c r="D40" s="53">
        <f>MAX(D37,D39,D41,IF(D38&gt;=291,D38,0))</f>
        <v/>
      </c>
      <c r="E40" s="54">
        <f>IF(D40&gt;=291,"ALTO",IF(D40&gt;=259,"MEDIO ALTO",IF(D40&gt;=224,"MEDIO","BAJO")))</f>
        <v/>
      </c>
    </row>
    <row r="41">
      <c r="B41" t="inlineStr">
        <is>
          <t>Riesgo heredado del banco</t>
        </is>
      </c>
      <c r="D41">
        <f>F14</f>
        <v/>
      </c>
    </row>
    <row r="42" ht="15" customHeight="1">
      <c r="A42" s="55" t="n"/>
    </row>
    <row r="43">
      <c r="B43" t="inlineStr">
        <is>
          <t>¿Invalidación prohibitiva? (B1–B3, hoja INVALIDACIONES)</t>
        </is>
      </c>
      <c r="D43" s="117" t="inlineStr">
        <is>
          <t>NO</t>
        </is>
      </c>
    </row>
    <row r="44">
      <c r="A44" s="55" t="n"/>
      <c r="B44" t="inlineStr">
        <is>
          <t>¿Invalidación de alto riesgo? (A1–A8, hoja INVALIDACIONES)</t>
        </is>
      </c>
      <c r="D44" s="117" t="inlineStr">
        <is>
          <t>NO</t>
        </is>
      </c>
    </row>
    <row r="46">
      <c r="B46" s="118" t="inlineStr">
        <is>
          <t>CALIFICACIÓN FINAL DEL FIDEICOMISO</t>
        </is>
      </c>
      <c r="D46" s="119">
        <f>IF(D43="SI",500,IF(D44="SI",MAX(D40,291),D40))</f>
        <v/>
      </c>
      <c r="E46" s="118">
        <f>IF(D43="SI","PROHIBITIVO",IF(D46&gt;=291,"ALTO",IF(D46&gt;=259,"MEDIO ALTO",IF(D46&gt;=224,"MEDIO","BAJO"))))</f>
        <v/>
      </c>
    </row>
  </sheetData>
  <dataValidations count="6">
    <dataValidation sqref="D7" showDropDown="0" showInputMessage="0" showErrorMessage="0" allowBlank="1" type="list">
      <formula1>LISTAS!$A$5:$A$14</formula1>
    </dataValidation>
    <dataValidation sqref="D8" showDropDown="0" showInputMessage="0" showErrorMessage="0" allowBlank="1" type="list">
      <formula1>LISTAS!$D$5:$D$9</formula1>
    </dataValidation>
    <dataValidation sqref="D9" showDropDown="0" showInputMessage="0" showErrorMessage="0" allowBlank="1" type="list">
      <formula1>LISTAS!$G$5:$G$8</formula1>
    </dataValidation>
    <dataValidation sqref="D10" showDropDown="0" showInputMessage="0" showErrorMessage="0" allowBlank="1" type="list">
      <formula1>LISTAS!$J$5:$J$9</formula1>
    </dataValidation>
    <dataValidation sqref="D11" showDropDown="0" showInputMessage="0" showErrorMessage="0" allowBlank="1" type="list">
      <formula1>LISTAS!$M$5:$M$8</formula1>
    </dataValidation>
    <dataValidation sqref="D43:D44" showDropDown="0" showInputMessage="0" showErrorMessage="0" allowBlank="0" type="list">
      <formula1>"SI,NO"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328125" defaultRowHeight="14.5"/>
  <cols>
    <col width="14" customWidth="1" min="1" max="1"/>
    <col width="26" customWidth="1" min="2" max="2"/>
    <col width="16" customWidth="1" min="3" max="3"/>
    <col width="6" customWidth="1" min="4" max="10"/>
    <col width="9" customWidth="1" min="11" max="11"/>
    <col width="12" customWidth="1" min="12" max="12"/>
    <col width="9" customWidth="1" min="13" max="14"/>
    <col width="14" customWidth="1" min="15" max="15"/>
  </cols>
  <sheetData>
    <row r="1" ht="15.75" customHeight="1">
      <c r="A1" s="30" t="inlineStr">
        <is>
          <t>CAPTURA MASIVA — UNA LÍNEA POR INTEGRANTE</t>
        </is>
      </c>
    </row>
    <row r="2" ht="15" customHeight="1">
      <c r="A2" s="31" t="inlineStr">
        <is>
          <t>Captura manual por integrante para cuando exista la información (la base del banco no trae integrantes). No participa en la BASE DE CARGA de esta versión.</t>
        </is>
      </c>
    </row>
    <row r="4" ht="15" customHeight="1">
      <c r="A4" s="6" t="inlineStr">
        <is>
          <t>ID FIDEICOMISO</t>
        </is>
      </c>
      <c r="B4" s="6" t="inlineStr">
        <is>
          <t>INTEGRANTE</t>
        </is>
      </c>
      <c r="C4" s="6" t="inlineStr">
        <is>
          <t>ROL</t>
        </is>
      </c>
      <c r="D4" s="6" t="inlineStr">
        <is>
          <t>FI1</t>
        </is>
      </c>
      <c r="E4" s="6" t="inlineStr">
        <is>
          <t>FI2</t>
        </is>
      </c>
      <c r="F4" s="6" t="inlineStr">
        <is>
          <t>FI3</t>
        </is>
      </c>
      <c r="G4" s="6" t="inlineStr">
        <is>
          <t>FI4</t>
        </is>
      </c>
      <c r="H4" s="6" t="inlineStr">
        <is>
          <t>FI5</t>
        </is>
      </c>
      <c r="I4" s="6" t="inlineStr">
        <is>
          <t>FI6</t>
        </is>
      </c>
      <c r="J4" s="6" t="inlineStr">
        <is>
          <t>FI7</t>
        </is>
      </c>
      <c r="K4" s="6" t="inlineStr">
        <is>
          <t>RIESGO</t>
        </is>
      </c>
      <c r="L4" s="6" t="inlineStr">
        <is>
          <t>BANDA</t>
        </is>
      </c>
      <c r="M4" s="6" t="inlineStr">
        <is>
          <t>PESO ROL</t>
        </is>
      </c>
      <c r="N4" s="6" t="inlineStr">
        <is>
          <t>APORTE</t>
        </is>
      </c>
      <c r="O4" s="6" t="inlineStr">
        <is>
          <t>INVALIDACIÓN</t>
        </is>
      </c>
    </row>
    <row r="5" ht="15" customHeight="1">
      <c r="A5" s="37" t="inlineStr">
        <is>
          <t>F/0001</t>
        </is>
      </c>
      <c r="B5" s="37" t="inlineStr">
        <is>
          <t>Inmobiliaria Delta SA</t>
        </is>
      </c>
      <c r="C5" s="37" t="inlineStr">
        <is>
          <t>Fideicomitente</t>
        </is>
      </c>
      <c r="D5" s="56" t="n">
        <v>3</v>
      </c>
      <c r="E5" s="56" t="n">
        <v>4</v>
      </c>
      <c r="F5" s="56" t="n">
        <v>1</v>
      </c>
      <c r="G5" s="56" t="n">
        <v>1</v>
      </c>
      <c r="H5" s="56" t="n">
        <v>1</v>
      </c>
      <c r="I5" s="56" t="n">
        <v>2</v>
      </c>
      <c r="J5" s="56" t="n">
        <v>2</v>
      </c>
      <c r="K5" s="57">
        <f>SUMPRODUCT(D5:J5,{15,23,9,11,11,12,7})+IF(C5="Fideicomitente",4,IF(C5="Fideicomisario",3,IF(C5="Comité técnico",4,3)))*12</f>
        <v/>
      </c>
      <c r="L5" s="40">
        <f>IF(K5&gt;=291,"ALTO",IF(K5&gt;=259,"MEDIO ALTO",IF(K5&gt;=224,"MEDIO","BAJO")))</f>
        <v/>
      </c>
      <c r="M5" s="58">
        <f>IF(C5="Fideicomitente",0.4,IF(C5="Fideicomisario",0.25,IF(C5="Comité técnico",0.2,0.15)))</f>
        <v/>
      </c>
      <c r="N5" s="59">
        <f>K5*M5</f>
        <v/>
      </c>
      <c r="O5" s="56" t="n"/>
    </row>
    <row r="6" ht="15" customHeight="1">
      <c r="A6" s="37" t="inlineStr">
        <is>
          <t>F/0001</t>
        </is>
      </c>
      <c r="B6" s="37" t="inlineStr">
        <is>
          <t>Juan Pérez López</t>
        </is>
      </c>
      <c r="C6" s="37" t="inlineStr">
        <is>
          <t>Fideicomisario</t>
        </is>
      </c>
      <c r="D6" s="56" t="n">
        <v>1</v>
      </c>
      <c r="E6" s="56" t="n">
        <v>2</v>
      </c>
      <c r="F6" s="56" t="n">
        <v>1</v>
      </c>
      <c r="G6" s="56" t="n">
        <v>1</v>
      </c>
      <c r="H6" s="56" t="n">
        <v>1</v>
      </c>
      <c r="I6" s="56" t="n">
        <v>2</v>
      </c>
      <c r="J6" s="56" t="n">
        <v>1</v>
      </c>
      <c r="K6" s="57">
        <f>SUMPRODUCT(D6:J6,{15,23,9,11,11,12,7})+IF(C6="Fideicomitente",4,IF(C6="Fideicomisario",3,IF(C6="Comité técnico",4,3)))*12</f>
        <v/>
      </c>
      <c r="L6" s="40">
        <f>IF(K6&gt;=291,"ALTO",IF(K6&gt;=259,"MEDIO ALTO",IF(K6&gt;=224,"MEDIO","BAJO")))</f>
        <v/>
      </c>
      <c r="M6" s="58">
        <f>IF(C6="Fideicomitente",0.4,IF(C6="Fideicomisario",0.25,IF(C6="Comité técnico",0.2,0.15)))</f>
        <v/>
      </c>
      <c r="N6" s="59">
        <f>K6*M6</f>
        <v/>
      </c>
      <c r="O6" s="56" t="n"/>
    </row>
    <row r="7" ht="15" customHeight="1">
      <c r="A7" s="37" t="inlineStr">
        <is>
          <t>F/0001</t>
        </is>
      </c>
      <c r="B7" s="37" t="inlineStr">
        <is>
          <t>Holding BV (extranjera)</t>
        </is>
      </c>
      <c r="C7" s="37" t="inlineStr">
        <is>
          <t>Comité técnico</t>
        </is>
      </c>
      <c r="D7" s="56" t="n">
        <v>5</v>
      </c>
      <c r="E7" s="56" t="n">
        <v>3</v>
      </c>
      <c r="F7" s="56" t="n">
        <v>4</v>
      </c>
      <c r="G7" s="56" t="n">
        <v>4</v>
      </c>
      <c r="H7" s="56" t="n">
        <v>4</v>
      </c>
      <c r="I7" s="56" t="n">
        <v>1</v>
      </c>
      <c r="J7" s="56" t="n">
        <v>2</v>
      </c>
      <c r="K7" s="57">
        <f>SUMPRODUCT(D7:J7,{15,23,9,11,11,12,7})+IF(C7="Fideicomitente",4,IF(C7="Fideicomisario",3,IF(C7="Comité técnico",4,3)))*12</f>
        <v/>
      </c>
      <c r="L7" s="40">
        <f>IF(K7&gt;=291,"ALTO",IF(K7&gt;=259,"MEDIO ALTO",IF(K7&gt;=224,"MEDIO","BAJO")))</f>
        <v/>
      </c>
      <c r="M7" s="58">
        <f>IF(C7="Fideicomitente",0.4,IF(C7="Fideicomisario",0.25,IF(C7="Comité técnico",0.2,0.15)))</f>
        <v/>
      </c>
      <c r="N7" s="59">
        <f>K7*M7</f>
        <v/>
      </c>
      <c r="O7" s="56" t="n"/>
    </row>
    <row r="8" ht="15" customHeight="1">
      <c r="A8" s="37" t="inlineStr">
        <is>
          <t>F/0002</t>
        </is>
      </c>
      <c r="B8" s="37" t="inlineStr">
        <is>
          <t>Constructora Gama SA</t>
        </is>
      </c>
      <c r="C8" s="37" t="inlineStr">
        <is>
          <t>Fideicomitente</t>
        </is>
      </c>
      <c r="D8" s="56" t="n">
        <v>3</v>
      </c>
      <c r="E8" s="56" t="n">
        <v>5</v>
      </c>
      <c r="F8" s="56" t="n">
        <v>1</v>
      </c>
      <c r="G8" s="56" t="n">
        <v>1</v>
      </c>
      <c r="H8" s="56" t="n">
        <v>1</v>
      </c>
      <c r="I8" s="56" t="n">
        <v>3</v>
      </c>
      <c r="J8" s="56" t="n">
        <v>3</v>
      </c>
      <c r="K8" s="57">
        <f>SUMPRODUCT(D8:J8,{15,23,9,11,11,12,7})+IF(C8="Fideicomitente",4,IF(C8="Fideicomisario",3,IF(C8="Comité técnico",4,3)))*12</f>
        <v/>
      </c>
      <c r="L8" s="40">
        <f>IF(K8&gt;=291,"ALTO",IF(K8&gt;=259,"MEDIO ALTO",IF(K8&gt;=224,"MEDIO","BAJO")))</f>
        <v/>
      </c>
      <c r="M8" s="58">
        <f>IF(C8="Fideicomitente",0.4,IF(C8="Fideicomisario",0.25,IF(C8="Comité técnico",0.2,0.15)))</f>
        <v/>
      </c>
      <c r="N8" s="59">
        <f>K8*M8</f>
        <v/>
      </c>
      <c r="O8" s="56" t="n"/>
    </row>
    <row r="9" ht="15" customHeight="1">
      <c r="A9" s="37" t="inlineStr">
        <is>
          <t>F/0002</t>
        </is>
      </c>
      <c r="B9" s="37" t="inlineStr">
        <is>
          <t>María Ruiz (PF)</t>
        </is>
      </c>
      <c r="C9" s="37" t="inlineStr">
        <is>
          <t>Fideicomisario</t>
        </is>
      </c>
      <c r="D9" s="56" t="n">
        <v>1</v>
      </c>
      <c r="E9" s="56" t="n">
        <v>2</v>
      </c>
      <c r="F9" s="56" t="n">
        <v>1</v>
      </c>
      <c r="G9" s="56" t="n">
        <v>1</v>
      </c>
      <c r="H9" s="56" t="n">
        <v>1</v>
      </c>
      <c r="I9" s="56" t="n">
        <v>2</v>
      </c>
      <c r="J9" s="56" t="n">
        <v>1</v>
      </c>
      <c r="K9" s="57">
        <f>SUMPRODUCT(D9:J9,{15,23,9,11,11,12,7})+IF(C9="Fideicomitente",4,IF(C9="Fideicomisario",3,IF(C9="Comité técnico",4,3)))*12</f>
        <v/>
      </c>
      <c r="L9" s="40">
        <f>IF(K9&gt;=291,"ALTO",IF(K9&gt;=259,"MEDIO ALTO",IF(K9&gt;=224,"MEDIO","BAJO")))</f>
        <v/>
      </c>
      <c r="M9" s="58">
        <f>IF(C9="Fideicomitente",0.4,IF(C9="Fideicomisario",0.25,IF(C9="Comité técnico",0.2,0.15)))</f>
        <v/>
      </c>
      <c r="N9" s="59">
        <f>K9*M9</f>
        <v/>
      </c>
      <c r="O9" s="56" t="n"/>
    </row>
    <row r="10" ht="15" customHeight="1">
      <c r="A10" s="37" t="inlineStr">
        <is>
          <t>F/0003</t>
        </is>
      </c>
      <c r="B10" s="37" t="inlineStr">
        <is>
          <t>Fondo Omega SAPI</t>
        </is>
      </c>
      <c r="C10" s="37" t="inlineStr">
        <is>
          <t>Fideicomitente</t>
        </is>
      </c>
      <c r="D10" s="56" t="n">
        <v>3</v>
      </c>
      <c r="E10" s="56" t="n">
        <v>3</v>
      </c>
      <c r="F10" s="56" t="n">
        <v>1</v>
      </c>
      <c r="G10" s="56" t="n">
        <v>1</v>
      </c>
      <c r="H10" s="56" t="n">
        <v>1</v>
      </c>
      <c r="I10" s="56" t="n">
        <v>2</v>
      </c>
      <c r="J10" s="56" t="n">
        <v>2</v>
      </c>
      <c r="K10" s="57">
        <f>SUMPRODUCT(D10:J10,{15,23,9,11,11,12,7})+IF(C10="Fideicomitente",4,IF(C10="Fideicomisario",3,IF(C10="Comité técnico",4,3)))*12</f>
        <v/>
      </c>
      <c r="L10" s="40">
        <f>IF(K10&gt;=291,"ALTO",IF(K10&gt;=259,"MEDIO ALTO",IF(K10&gt;=224,"MEDIO","BAJO")))</f>
        <v/>
      </c>
      <c r="M10" s="58">
        <f>IF(C10="Fideicomitente",0.4,IF(C10="Fideicomisario",0.25,IF(C10="Comité técnico",0.2,0.15)))</f>
        <v/>
      </c>
      <c r="N10" s="59">
        <f>K10*M10</f>
        <v/>
      </c>
      <c r="O10" s="56" t="n"/>
    </row>
    <row r="11" ht="15" customHeight="1">
      <c r="A11" s="37" t="inlineStr">
        <is>
          <t>F/0003</t>
        </is>
      </c>
      <c r="B11" s="37" t="inlineStr">
        <is>
          <t>Beneficiarios diversos</t>
        </is>
      </c>
      <c r="C11" s="37" t="inlineStr">
        <is>
          <t>Fideicomisario</t>
        </is>
      </c>
      <c r="D11" s="56" t="n">
        <v>1</v>
      </c>
      <c r="E11" s="56" t="n">
        <v>1</v>
      </c>
      <c r="F11" s="56" t="n">
        <v>1</v>
      </c>
      <c r="G11" s="56" t="n">
        <v>1</v>
      </c>
      <c r="H11" s="56" t="n">
        <v>1</v>
      </c>
      <c r="I11" s="56" t="n">
        <v>2</v>
      </c>
      <c r="J11" s="56" t="n">
        <v>1</v>
      </c>
      <c r="K11" s="57">
        <f>SUMPRODUCT(D11:J11,{15,23,9,11,11,12,7})+IF(C11="Fideicomitente",4,IF(C11="Fideicomisario",3,IF(C11="Comité técnico",4,3)))*12</f>
        <v/>
      </c>
      <c r="L11" s="40">
        <f>IF(K11&gt;=291,"ALTO",IF(K11&gt;=259,"MEDIO ALTO",IF(K11&gt;=224,"MEDIO","BAJO")))</f>
        <v/>
      </c>
      <c r="M11" s="58">
        <f>IF(C11="Fideicomitente",0.4,IF(C11="Fideicomisario",0.25,IF(C11="Comité técnico",0.2,0.15)))</f>
        <v/>
      </c>
      <c r="N11" s="59">
        <f>K11*M11</f>
        <v/>
      </c>
      <c r="O11" s="56" t="n"/>
    </row>
    <row r="12" ht="15" customHeight="1">
      <c r="A12" s="37" t="inlineStr">
        <is>
          <t>F/0003</t>
        </is>
      </c>
      <c r="B12" s="37" t="inlineStr">
        <is>
          <t>Apoderado legal</t>
        </is>
      </c>
      <c r="C12" s="37" t="inlineStr">
        <is>
          <t>Apoderado/tercero</t>
        </is>
      </c>
      <c r="D12" s="56" t="n">
        <v>1</v>
      </c>
      <c r="E12" s="56" t="n">
        <v>2</v>
      </c>
      <c r="F12" s="56" t="n">
        <v>1</v>
      </c>
      <c r="G12" s="56" t="n">
        <v>1</v>
      </c>
      <c r="H12" s="56" t="n">
        <v>1</v>
      </c>
      <c r="I12" s="56" t="n">
        <v>2</v>
      </c>
      <c r="J12" s="56" t="n">
        <v>1</v>
      </c>
      <c r="K12" s="57">
        <f>SUMPRODUCT(D12:J12,{15,23,9,11,11,12,7})+IF(C12="Fideicomitente",4,IF(C12="Fideicomisario",3,IF(C12="Comité técnico",4,3)))*12</f>
        <v/>
      </c>
      <c r="L12" s="40">
        <f>IF(K12&gt;=291,"ALTO",IF(K12&gt;=259,"MEDIO ALTO",IF(K12&gt;=224,"MEDIO","BAJO")))</f>
        <v/>
      </c>
      <c r="M12" s="58">
        <f>IF(C12="Fideicomitente",0.4,IF(C12="Fideicomisario",0.25,IF(C12="Comité técnico",0.2,0.15)))</f>
        <v/>
      </c>
      <c r="N12" s="59">
        <f>K12*M12</f>
        <v/>
      </c>
      <c r="O12" s="56" t="n"/>
    </row>
    <row r="15" ht="15" customHeight="1">
      <c r="A15" s="55" t="inlineStr">
        <is>
          <t>INVALIDACIÓN: escribir B (lista sanciones → PROHIBITIVO) o A (PEP / BC sin identificar / GAFI gris → mínimo ALTO). Vacío = sin invalidación.</t>
        </is>
      </c>
    </row>
  </sheetData>
  <dataValidations count="3">
    <dataValidation sqref="D5:J12" showDropDown="0" showInputMessage="0" showErrorMessage="0" allowBlank="1" type="list">
      <formula1>"1,2,3,4,5"</formula1>
      <formula2>0</formula2>
    </dataValidation>
    <dataValidation sqref="C5:C12" showDropDown="0" showInputMessage="0" showErrorMessage="0" allowBlank="1" type="list">
      <formula1>"Fideicomitente,Fideicomisario,Comité técnico,Apoderado/tercero"</formula1>
      <formula2>0</formula2>
    </dataValidation>
    <dataValidation sqref="O5:O12" showDropDown="0" showInputMessage="0" showErrorMessage="0" allowBlank="1" type="list">
      <formula1>"A,B"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18" customWidth="1" min="1" max="1"/>
    <col width="14" customWidth="1" min="2" max="3"/>
    <col width="18" customWidth="1" min="5" max="5"/>
    <col width="14" customWidth="1" min="6" max="6"/>
  </cols>
  <sheetData>
    <row r="1" ht="15.75" customHeight="1">
      <c r="A1" s="30" t="inlineStr">
        <is>
          <t>MATRIZ CONSOLIDADA — ESTADÍSTICA DE TODA LA BASE</t>
        </is>
      </c>
    </row>
    <row r="2" ht="15" customHeight="1">
      <c r="A2" s="31" t="inlineStr">
        <is>
          <t>Fórmulas COUNTIFS sobre CAPTURA FIDEICOMISOS: se actualiza sola al capturar (sin tablas dinámicas ni 'actualizar').</t>
        </is>
      </c>
    </row>
    <row r="4" ht="15" customHeight="1">
      <c r="A4" s="33" t="inlineStr">
        <is>
          <t>DISTRIBUCIÓN POR BANDA DE RIESGO</t>
        </is>
      </c>
      <c r="E4" s="33" t="inlineStr">
        <is>
          <t>INTEGRANTES POR BANDA</t>
        </is>
      </c>
    </row>
    <row r="5" ht="15" customHeight="1">
      <c r="A5" s="6" t="inlineStr">
        <is>
          <t>BANDA</t>
        </is>
      </c>
      <c r="B5" s="6" t="inlineStr">
        <is>
          <t>FIDEICOMISOS</t>
        </is>
      </c>
      <c r="C5" s="6" t="inlineStr">
        <is>
          <t>% DE LA BASE</t>
        </is>
      </c>
      <c r="E5" s="6" t="inlineStr">
        <is>
          <t>RIESGO HEREDADO DEL BANCO</t>
        </is>
      </c>
      <c r="F5" s="6" t="inlineStr">
        <is>
          <t>FIDEICOMISOS</t>
        </is>
      </c>
    </row>
    <row r="6" ht="15" customHeight="1">
      <c r="A6" s="64" t="inlineStr">
        <is>
          <t>BAJO</t>
        </is>
      </c>
      <c r="B6" s="65">
        <f>COUNTIFS('BASE DE CARGA'!AF:AF,"BAJO")</f>
        <v/>
      </c>
      <c r="C6" s="66">
        <f>IFERROR(B6/B$10,0)</f>
        <v/>
      </c>
      <c r="E6" s="64" t="inlineStr">
        <is>
          <t>BAJO</t>
        </is>
      </c>
      <c r="F6" s="65">
        <f>COUNTIFS('BASE DE CARGA'!S:S,162)</f>
        <v/>
      </c>
    </row>
    <row r="7" ht="15" customHeight="1">
      <c r="A7" s="67" t="inlineStr">
        <is>
          <t>MEDIO</t>
        </is>
      </c>
      <c r="B7" s="68">
        <f>COUNTIFS('BASE DE CARGA'!AF:AF,"MEDIO")</f>
        <v/>
      </c>
      <c r="C7" s="69">
        <f>IFERROR(B7/B$10,0)</f>
        <v/>
      </c>
      <c r="E7" s="67" t="inlineStr">
        <is>
          <t>MEDIO</t>
        </is>
      </c>
      <c r="F7" s="68">
        <f>COUNTIFS('BASE DE CARGA'!S:S,241)</f>
        <v/>
      </c>
    </row>
    <row r="8" ht="15" customHeight="1">
      <c r="A8" s="64" t="inlineStr">
        <is>
          <t>MEDIO ALTO</t>
        </is>
      </c>
      <c r="B8" s="65">
        <f>COUNTIFS('BASE DE CARGA'!AF:AF,"MEDIO ALTO")</f>
        <v/>
      </c>
      <c r="C8" s="66">
        <f>IFERROR(B8/B$10,0)</f>
        <v/>
      </c>
      <c r="E8" s="64" t="inlineStr">
        <is>
          <t>MEDIO ALTO</t>
        </is>
      </c>
      <c r="F8" s="65">
        <f>COUNTIFS('BASE DE CARGA'!S:S,275)</f>
        <v/>
      </c>
    </row>
    <row r="9" ht="15" customHeight="1">
      <c r="A9" s="67" t="inlineStr">
        <is>
          <t>ALTO</t>
        </is>
      </c>
      <c r="B9" s="68">
        <f>COUNTIFS('BASE DE CARGA'!AF:AF,"ALTO")</f>
        <v/>
      </c>
      <c r="C9" s="69">
        <f>IFERROR(B9/B$10,0)</f>
        <v/>
      </c>
      <c r="E9" s="67" t="inlineStr">
        <is>
          <t>ALTO</t>
        </is>
      </c>
      <c r="F9" s="68">
        <f>COUNTIFS('BASE DE CARGA'!S:S,330)</f>
        <v/>
      </c>
    </row>
    <row r="10" ht="15" customHeight="1">
      <c r="A10" s="70" t="inlineStr">
        <is>
          <t>TOTAL</t>
        </is>
      </c>
      <c r="B10" s="71">
        <f>COUNTA('BASE DE CARGA'!A6:A3000)</f>
        <v/>
      </c>
      <c r="C10" s="72">
        <f>SUM(C6:C9)</f>
        <v/>
      </c>
    </row>
    <row r="13" ht="15" customHeight="1">
      <c r="A13" s="33" t="inlineStr">
        <is>
          <t>INVALIDACIONES ACTIVAS</t>
        </is>
      </c>
    </row>
    <row r="14" ht="15" customHeight="1">
      <c r="A14" s="6" t="inlineStr">
        <is>
          <t>TIPO</t>
        </is>
      </c>
      <c r="B14" s="6" t="inlineStr">
        <is>
          <t>FIDEICOMISOS</t>
        </is>
      </c>
    </row>
    <row r="15" ht="15" customHeight="1">
      <c r="A15" s="64" t="inlineStr">
        <is>
          <t>PROHIBITIVO (B)</t>
        </is>
      </c>
      <c r="B15" s="65">
        <f>COUNTIFS('BASE DE CARGA'!AD:AD,"B")</f>
        <v/>
      </c>
    </row>
    <row r="16" ht="15" customHeight="1">
      <c r="A16" s="67" t="inlineStr">
        <is>
          <t>MÍNIMO ALTO (A)</t>
        </is>
      </c>
      <c r="B16" s="68">
        <f>COUNTIFS('BASE DE CARGA'!AD:AD,"A")</f>
        <v/>
      </c>
    </row>
    <row r="19" ht="15" customHeight="1">
      <c r="A19" s="33" t="inlineStr">
        <is>
          <t>PROMEDIO Y EXTREMOS (100–500)</t>
        </is>
      </c>
    </row>
    <row r="20" ht="15" customHeight="1">
      <c r="A20" s="6" t="inlineStr">
        <is>
          <t>MÉTRICA</t>
        </is>
      </c>
      <c r="B20" s="6" t="inlineStr">
        <is>
          <t>VALOR</t>
        </is>
      </c>
    </row>
    <row r="21" ht="15" customHeight="1">
      <c r="A21" s="64" t="inlineStr">
        <is>
          <t>Promedio consolidado</t>
        </is>
      </c>
      <c r="B21" s="65">
        <f>ROUND(AVERAGE('BASE DE CARGA'!AE6:AE3000),0)</f>
        <v/>
      </c>
    </row>
    <row r="22" ht="15" customHeight="1">
      <c r="A22" s="67" t="inlineStr">
        <is>
          <t>Máximo</t>
        </is>
      </c>
      <c r="B22" s="68">
        <f>MAX('BASE DE CARGA'!AE6:AE3000)</f>
        <v/>
      </c>
    </row>
    <row r="23" ht="15" customHeight="1">
      <c r="A23" s="64" t="inlineStr">
        <is>
          <t>Mínimo</t>
        </is>
      </c>
      <c r="B23" s="65">
        <f>MIN('BASE DE CARGA'!AE6:AE3000)</f>
        <v/>
      </c>
    </row>
    <row r="25">
      <c r="A25" t="inlineStr">
        <is>
          <t>SUBIERON RESPECTO AL BANCO</t>
        </is>
      </c>
    </row>
    <row r="26">
      <c r="A26" t="inlineStr">
        <is>
          <t>Fideicomisos con calificación final mayor al riesgo heredado</t>
        </is>
      </c>
      <c r="B26">
        <f>SUMPRODUCT(--('BASE DE CARGA'!AE6:AE3000&gt;'BASE DE CARGA'!S6:S3000))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48" customWidth="1" min="4" max="4"/>
    <col width="8" customWidth="1" min="5" max="5"/>
    <col width="48" customWidth="1" min="7" max="7"/>
    <col width="8" customWidth="1" min="8" max="8"/>
    <col width="48" customWidth="1" min="10" max="10"/>
    <col width="8" customWidth="1" min="11" max="11"/>
    <col width="48" customWidth="1" min="13" max="13"/>
    <col width="8" customWidth="1" min="14" max="14"/>
  </cols>
  <sheetData>
    <row r="1">
      <c r="A1" s="94" t="inlineStr">
        <is>
          <t>LISTAS — catálogos del vehículo usados en el modelo de ejemplo</t>
        </is>
      </c>
    </row>
    <row r="2">
      <c r="A2" s="95" t="inlineStr">
        <is>
          <t>Se alimentan de 3. BASE VARIABLES. No editar aquí: cambiar nivel o nombre en la base de variables y copiar.</t>
        </is>
      </c>
    </row>
    <row r="4">
      <c r="A4" s="122" t="inlineStr">
        <is>
          <t>FF1 · variable</t>
        </is>
      </c>
      <c r="B4" s="122" t="inlineStr">
        <is>
          <t>Nivel</t>
        </is>
      </c>
      <c r="D4" s="122" t="inlineStr">
        <is>
          <t>FF4 · variable</t>
        </is>
      </c>
      <c r="E4" s="122" t="inlineStr">
        <is>
          <t>Nivel</t>
        </is>
      </c>
      <c r="G4" s="122" t="inlineStr">
        <is>
          <t>FF6 · variable</t>
        </is>
      </c>
      <c r="H4" s="122" t="inlineStr">
        <is>
          <t>Nivel</t>
        </is>
      </c>
      <c r="J4" s="122" t="inlineStr">
        <is>
          <t>FF7 · variable</t>
        </is>
      </c>
      <c r="K4" s="122" t="inlineStr">
        <is>
          <t>Nivel</t>
        </is>
      </c>
      <c r="M4" s="122" t="inlineStr">
        <is>
          <t>FF8 · variable</t>
        </is>
      </c>
      <c r="N4" s="122" t="inlineStr">
        <is>
          <t>Nivel</t>
        </is>
      </c>
    </row>
    <row r="5">
      <c r="A5" t="inlineStr">
        <is>
          <t>FIDEICOMISO DE ADMINISTRACIÓN</t>
        </is>
      </c>
      <c r="B5" t="n">
        <v>2</v>
      </c>
      <c r="D5" t="inlineStr">
        <is>
          <t>MENOS DE 1 AÑO</t>
        </is>
      </c>
      <c r="E5" t="n">
        <v>5</v>
      </c>
      <c r="G5" t="inlineStr">
        <is>
          <t>SIN ACTIVIDAD VULNERABLE (TIPO A)</t>
        </is>
      </c>
      <c r="H5" t="n">
        <v>1</v>
      </c>
      <c r="J5" t="inlineStr">
        <is>
          <t>RECURSOS BANCARIZADOS CON SOPORTE (AHORROS, DIVIDENDOS, SALARIOS, ETC.)</t>
        </is>
      </c>
      <c r="K5" t="n">
        <v>1</v>
      </c>
      <c r="M5" t="inlineStr">
        <is>
          <t>SIN OPERACIONES USD NI EXTRANJERO</t>
        </is>
      </c>
      <c r="N5" t="n">
        <v>1</v>
      </c>
    </row>
    <row r="6">
      <c r="A6" t="inlineStr">
        <is>
          <t>FIDEICOMISO DE GARANTÍA</t>
        </is>
      </c>
      <c r="B6" t="n">
        <v>2</v>
      </c>
      <c r="D6" t="inlineStr">
        <is>
          <t>1 A 3 AÑOS</t>
        </is>
      </c>
      <c r="E6" t="n">
        <v>4</v>
      </c>
      <c r="G6" t="inlineStr">
        <is>
          <t>AV POTENCIAL / EN DICTAMEN (TIPO C)</t>
        </is>
      </c>
      <c r="H6" t="n">
        <v>3</v>
      </c>
      <c r="J6" t="inlineStr">
        <is>
          <t>VENTA DE ACTIVOS DOCUMENTADA (INMUEBLES, ACCIONES, ETC.)</t>
        </is>
      </c>
      <c r="K6" t="n">
        <v>2</v>
      </c>
      <c r="M6" t="inlineStr">
        <is>
          <t>USD OCASIONAL / PARTE EXTRANJERA</t>
        </is>
      </c>
      <c r="N6" t="n">
        <v>3</v>
      </c>
    </row>
    <row r="7">
      <c r="A7" t="inlineStr">
        <is>
          <t>FIDEICOMISO DE INVERSIÓN</t>
        </is>
      </c>
      <c r="B7" t="n">
        <v>3</v>
      </c>
      <c r="D7" t="inlineStr">
        <is>
          <t>3 A 10 AÑOS</t>
        </is>
      </c>
      <c r="E7" t="n">
        <v>2</v>
      </c>
      <c r="G7" t="inlineStr">
        <is>
          <t>AV CONFIRMADA ART. 17 (TIPO B)</t>
        </is>
      </c>
      <c r="H7" t="n">
        <v>5</v>
      </c>
      <c r="J7" t="inlineStr">
        <is>
          <t>APORTACIÓN EN ESPECIE SIN AVALÚO RECIENTE</t>
        </is>
      </c>
      <c r="K7" t="n">
        <v>4</v>
      </c>
      <c r="M7" t="inlineStr">
        <is>
          <t>FLUJOS RECURRENTES USD O JURISDICCIÓN DE RIESGO</t>
        </is>
      </c>
      <c r="N7" t="n">
        <v>5</v>
      </c>
    </row>
    <row r="8">
      <c r="A8" t="inlineStr">
        <is>
          <t>FIDEICOMISO FUENTE DE PAGO</t>
        </is>
      </c>
      <c r="B8" t="n">
        <v>3</v>
      </c>
      <c r="D8" t="inlineStr">
        <is>
          <t>MÁS DE 10 AÑOS</t>
        </is>
      </c>
      <c r="E8" t="n">
        <v>1</v>
      </c>
      <c r="G8" t="inlineStr">
        <is>
          <t>NO DETERMINADO</t>
        </is>
      </c>
      <c r="H8" t="n">
        <v>2.58</v>
      </c>
      <c r="J8" t="inlineStr">
        <is>
          <t>ORIGEN NO VERIFICABLE / EXTRANJERO SIN SOPORTE</t>
        </is>
      </c>
      <c r="K8" t="n">
        <v>5</v>
      </c>
      <c r="M8" t="inlineStr">
        <is>
          <t>NO DETERMINADO</t>
        </is>
      </c>
      <c r="N8" t="n">
        <v>2.58</v>
      </c>
    </row>
    <row r="9">
      <c r="A9" t="inlineStr">
        <is>
          <t>FIDEICOMISO TESTAMENTARIO / PLANEACIÓN PATRIMONIAL</t>
        </is>
      </c>
      <c r="B9" t="n">
        <v>2</v>
      </c>
      <c r="D9" t="inlineStr">
        <is>
          <t>NO DETERMINADO</t>
        </is>
      </c>
      <c r="E9" t="n">
        <v>2.58</v>
      </c>
      <c r="J9" t="inlineStr">
        <is>
          <t>NO DETERMINADO</t>
        </is>
      </c>
      <c r="K9" t="n">
        <v>2.58</v>
      </c>
    </row>
    <row r="10">
      <c r="A10" t="inlineStr">
        <is>
          <t>FIDEICOMISO TRASLATIVO DE DOMINIO</t>
        </is>
      </c>
      <c r="B10" t="n">
        <v>5</v>
      </c>
    </row>
    <row r="11">
      <c r="A11" t="inlineStr">
        <is>
          <t>FIDEICOMISO RECIBIDO POR SUSTITUCIÓN FIDUCIARIA</t>
        </is>
      </c>
      <c r="B11" t="n">
        <v>4</v>
      </c>
    </row>
    <row r="12">
      <c r="A12" t="inlineStr">
        <is>
          <t>FIDEICOMISO ZONA RESTRINGIDA</t>
        </is>
      </c>
      <c r="B12" t="n">
        <v>4</v>
      </c>
    </row>
    <row r="13">
      <c r="A13" t="inlineStr">
        <is>
          <t>FIDEICOMISO DE ADMINISTRACIÓN INMOBILIARIA (DESARROLLO O ARRENDAMIENTO)</t>
        </is>
      </c>
      <c r="B13" t="n">
        <v>3</v>
      </c>
    </row>
    <row r="14">
      <c r="A14" t="inlineStr">
        <is>
          <t>NO DETERMINADO</t>
        </is>
      </c>
      <c r="B14" t="n">
        <v>2.58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38" customWidth="1" min="4" max="4"/>
    <col width="44" customWidth="1" min="5" max="5"/>
    <col width="52" customWidth="1" min="6" max="6"/>
    <col width="22" customWidth="1" min="7" max="7"/>
  </cols>
  <sheetData>
    <row r="1">
      <c r="A1" s="80" t="inlineStr">
        <is>
          <t>MATRIZ DE RIESGO FIDEICOMISOS · CAMBIOS v2.4 → v2.5</t>
        </is>
      </c>
    </row>
    <row r="2" ht="32" customHeight="1">
      <c r="A2" s="81" t="inlineStr">
        <is>
          <t>Incorpora los comentarios de Héctor Camacho (archivo vr_HCS, 23-sep-2026) en lenguaje más básico. No cambia ningún nivel, peso ni multiplicador. Celdas modificadas en azul (#2c5282) en su hoja.</t>
        </is>
      </c>
    </row>
    <row r="4">
      <c r="A4" s="82" t="inlineStr">
        <is>
          <t>Hoja</t>
        </is>
      </c>
      <c r="B4" s="82" t="inlineStr">
        <is>
          <t>Celda</t>
        </is>
      </c>
      <c r="C4" s="82" t="inlineStr">
        <is>
          <t>Texto v2.4</t>
        </is>
      </c>
      <c r="D4" s="82" t="inlineStr">
        <is>
          <t>Propuesta / comentario de Héctor</t>
        </is>
      </c>
      <c r="E4" s="82" t="inlineStr">
        <is>
          <t>Texto v2.5</t>
        </is>
      </c>
      <c r="F4" s="82" t="inlineStr">
        <is>
          <t>Criterio</t>
        </is>
      </c>
      <c r="G4" s="82" t="inlineStr">
        <is>
          <t>Estado</t>
        </is>
      </c>
    </row>
    <row r="5">
      <c r="A5" s="83" t="inlineStr">
        <is>
          <t>3. BASE VARIABLES</t>
        </is>
      </c>
      <c r="B5" s="83" t="inlineStr">
        <is>
          <t>F2639</t>
        </is>
      </c>
      <c r="C5" s="83" t="inlineStr">
        <is>
          <t>FIDEICOMISO TESTAMENTARIO</t>
        </is>
      </c>
      <c r="D5" s="83" t="inlineStr">
        <is>
          <t>FIDEICOMISO TESTAMENTARIO PLANEACIÓN PATRIMONIAL</t>
        </is>
      </c>
      <c r="E5" s="83" t="inlineStr">
        <is>
          <t>FIDEICOMISO TESTAMENTARIO / PLANEACIÓN PATRIMONIAL</t>
        </is>
      </c>
      <c r="F5" s="83" t="inlineStr">
        <is>
          <t>Se acepta; sólo se agrega la diagonal.</t>
        </is>
      </c>
      <c r="G5" s="83" t="inlineStr">
        <is>
          <t>Aplicado</t>
        </is>
      </c>
    </row>
    <row r="6">
      <c r="A6" s="84" t="inlineStr">
        <is>
          <t>3. BASE VARIABLES</t>
        </is>
      </c>
      <c r="B6" s="84" t="inlineStr">
        <is>
          <t>F2641</t>
        </is>
      </c>
      <c r="C6" s="84" t="inlineStr">
        <is>
          <t>FIDEICOMISO PÚBLICO / GUBERNAMENTAL</t>
        </is>
      </c>
      <c r="D6" s="84" t="inlineStr">
        <is>
          <t>FIDEICOMISO PÚBLICO / GUBERNAMENTAL SUSTITUCION</t>
        </is>
      </c>
      <c r="E6" s="84" t="inlineStr">
        <is>
          <t>FIDEICOMISO RECIBIDO POR SUSTITUCIÓN FIDUCIARIA</t>
        </is>
      </c>
      <c r="F6" s="84" t="inlineStr">
        <is>
          <t>Petición de Héctor: los públicos no son alcance de Fiduciario. Nivel 4 conservado (expediente KYC heredado del fiduciario anterior). Recomendación: a futuro registrar la sustitución como dato de origen, separado del tipo.</t>
        </is>
      </c>
      <c r="G6" s="85" t="inlineStr">
        <is>
          <t>Aplicado · confirmar nivel en sesión</t>
        </is>
      </c>
    </row>
    <row r="7">
      <c r="A7" s="83" t="inlineStr">
        <is>
          <t>3. BASE VARIABLES</t>
        </is>
      </c>
      <c r="B7" s="83" t="inlineStr">
        <is>
          <t>F2643</t>
        </is>
      </c>
      <c r="C7" s="83" t="inlineStr">
        <is>
          <t>EFECTIVO / VALORES BURSÁTILES</t>
        </is>
      </c>
      <c r="D7" s="83" t="inlineStr">
        <is>
          <t>EFECTIVO/VALORES BURSÁTILES CANTIDADES EN NUMERARIO</t>
        </is>
      </c>
      <c r="E7" s="83" t="inlineStr">
        <is>
          <t>EFECTIVO (NUMERARIO) / VALORES BURSÁTILES COTIZADOS EN CUSTODIA</t>
        </is>
      </c>
      <c r="F7" s="83" t="inlineStr">
        <is>
          <t>Se acepta «numerario»; se precisa «cotizados en custodia» para distinguirlo de los títulos no cotizados (nivel 4).</t>
        </is>
      </c>
      <c r="G7" s="83" t="inlineStr">
        <is>
          <t>Aplicado</t>
        </is>
      </c>
    </row>
    <row r="8">
      <c r="A8" s="84" t="inlineStr">
        <is>
          <t>3. BASE VARIABLES</t>
        </is>
      </c>
      <c r="B8" s="84" t="inlineStr">
        <is>
          <t>F2644</t>
        </is>
      </c>
      <c r="C8" s="84" t="inlineStr">
        <is>
          <t>INMUEBLES</t>
        </is>
      </c>
      <c r="D8" s="84" t="inlineStr">
        <is>
          <t>INMUEBLES [AGREGAR MUEBLES]</t>
        </is>
      </c>
      <c r="E8" s="84" t="inlineStr">
        <is>
          <t>INMUEBLES Y BIENES MUEBLES (VEHÍCULOS, ARTE, JOYAS, MAQUINARIA)</t>
        </is>
      </c>
      <c r="F8" s="84" t="inlineStr">
        <is>
          <t>Se agregan muebles en la misma opción, nivel 3. Alternativa a decidir: muebles como opción propia en nivel 4 por dificultad de valuación.</t>
        </is>
      </c>
      <c r="G8" s="85" t="inlineStr">
        <is>
          <t>Aplicado · decidir en sesión</t>
        </is>
      </c>
    </row>
    <row r="9">
      <c r="A9" s="83" t="inlineStr">
        <is>
          <t>3. BASE VARIABLES</t>
        </is>
      </c>
      <c r="B9" s="83" t="inlineStr">
        <is>
          <t>F2645</t>
        </is>
      </c>
      <c r="C9" s="83" t="inlineStr">
        <is>
          <t>ACCIONES / PARTES SOCIALES</t>
        </is>
      </c>
      <c r="D9" s="83" t="inlineStr">
        <is>
          <t>TITULOS DE VALOR(ACCIONES, PARTES SOCIALES, ETC)</t>
        </is>
      </c>
      <c r="E9" s="83" t="inlineStr">
        <is>
          <t>ACCIONES, PARTES SOCIALES Y OTROS TÍTULOS NO COTIZADOS</t>
        </is>
      </c>
      <c r="F9" s="83" t="inlineStr">
        <is>
          <t>Las partes sociales no son títulos de crédito; y «no cotizados» evita el empalme con valores bursátiles (nivel 1).</t>
        </is>
      </c>
      <c r="G9" s="83" t="inlineStr">
        <is>
          <t>Aplicado</t>
        </is>
      </c>
    </row>
    <row r="10">
      <c r="A10" s="84" t="inlineStr">
        <is>
          <t>3. BASE VARIABLES</t>
        </is>
      </c>
      <c r="B10" s="84" t="inlineStr">
        <is>
          <t>F2646</t>
        </is>
      </c>
      <c r="C10" s="84" t="inlineStr">
        <is>
          <t>DERECHOS DE COBRO / OTROS BIENES</t>
        </is>
      </c>
      <c r="D10" s="84" t="inlineStr">
        <is>
          <t>DERECHOS(DE COBRO, FIDEICOMISARIOS, ETC) / OTROS BIENES</t>
        </is>
      </c>
      <c r="E10" s="84" t="inlineStr">
        <is>
          <t>DERECHOS (DE COBRO, FIDEICOMISARIOS, ETC.) / OTROS BIENES</t>
        </is>
      </c>
      <c r="F10" s="84" t="inlineStr">
        <is>
          <t>Se acepta.</t>
        </is>
      </c>
      <c r="G10" s="84" t="inlineStr">
        <is>
          <t>Aplicado</t>
        </is>
      </c>
    </row>
    <row r="11">
      <c r="A11" s="83" t="inlineStr">
        <is>
          <t>3. BASE VARIABLES</t>
        </is>
      </c>
      <c r="B11" s="83" t="inlineStr">
        <is>
          <t>F2647</t>
        </is>
      </c>
      <c r="C11" s="83" t="inlineStr">
        <is>
          <t>MIXTO (EFECTIVO + ESPECIE)</t>
        </is>
      </c>
      <c r="D11" s="83" t="inlineStr">
        <is>
          <t>MIXTO (EFECTIVO NUMERARIO + ESPECIE)</t>
        </is>
      </c>
      <c r="E11" s="83" t="inlineStr">
        <is>
          <t>MIXTO (EFECTIVO EN NUMERARIO + ESPECIE)</t>
        </is>
      </c>
      <c r="F11" s="83" t="inlineStr">
        <is>
          <t>Se acepta.</t>
        </is>
      </c>
      <c r="G11" s="83" t="inlineStr">
        <is>
          <t>Aplicado</t>
        </is>
      </c>
    </row>
    <row r="12">
      <c r="A12" s="84" t="inlineStr">
        <is>
          <t>3. BASE VARIABLES</t>
        </is>
      </c>
      <c r="B12" s="84" t="inlineStr">
        <is>
          <t>F2664</t>
        </is>
      </c>
      <c r="C12" s="84" t="inlineStr">
        <is>
          <t>RECURSOS BANCARIZADOS CON SOPORTE</t>
        </is>
      </c>
      <c r="D12" s="84" t="inlineStr">
        <is>
          <t>RECURSOS BANCARIZADOS CON SOPORTE(AHORROS, DIVIDENDOS, SALARIOS, ETC…)</t>
        </is>
      </c>
      <c r="E12" s="84" t="inlineStr">
        <is>
          <t>RECURSOS BANCARIZADOS CON SOPORTE (AHORROS, DIVIDENDOS, SALARIOS, ETC.)</t>
        </is>
      </c>
      <c r="F12" s="84" t="inlineStr">
        <is>
          <t>Se acepta.</t>
        </is>
      </c>
      <c r="G12" s="84" t="inlineStr">
        <is>
          <t>Aplicado</t>
        </is>
      </c>
    </row>
    <row r="13">
      <c r="A13" s="83" t="inlineStr">
        <is>
          <t>3. BASE VARIABLES</t>
        </is>
      </c>
      <c r="B13" s="83" t="inlineStr">
        <is>
          <t>F2665</t>
        </is>
      </c>
      <c r="C13" s="83" t="inlineStr">
        <is>
          <t>VENTA DE ACTIVOS DOCUMENTADA</t>
        </is>
      </c>
      <c r="D13" s="83" t="inlineStr">
        <is>
          <t>VENTA DE ACTIVOS DOCUMENTADA(INMUEBLES, ACCIONES, ETC)</t>
        </is>
      </c>
      <c r="E13" s="83" t="inlineStr">
        <is>
          <t>VENTA DE ACTIVOS DOCUMENTADA (INMUEBLES, ACCIONES, ETC.)</t>
        </is>
      </c>
      <c r="F13" s="83" t="inlineStr">
        <is>
          <t>Se acepta.</t>
        </is>
      </c>
      <c r="G13" s="83" t="inlineStr">
        <is>
          <t>Aplicado</t>
        </is>
      </c>
    </row>
    <row r="14">
      <c r="A14" s="84" t="inlineStr">
        <is>
          <t>3. BASE VARIABLES</t>
        </is>
      </c>
      <c r="B14" s="84" t="inlineStr">
        <is>
          <t>C2671</t>
        </is>
      </c>
      <c r="C14" s="84" t="inlineStr">
        <is>
          <t>DESVIACIÓN DEL FIN (V2)</t>
        </is>
      </c>
      <c r="D14" s="84" t="inlineStr">
        <is>
          <t>Comentario: «No veo una desviación»</t>
        </is>
      </c>
      <c r="E14" s="84" t="inlineStr">
        <is>
          <t>OPERACIÓN DISTINTA AL FIN DEL CONTRATO (V2)</t>
        </is>
      </c>
      <c r="F14" s="84" t="inlineStr">
        <is>
          <t>Lenguaje llano: la etiqueta «desviación del fin» no se entendía. Mismo factor FF9, mismos niveles; sigue siendo V2.</t>
        </is>
      </c>
      <c r="G14" s="84" t="inlineStr">
        <is>
          <t>Aplicado</t>
        </is>
      </c>
    </row>
    <row r="15">
      <c r="A15" s="83" t="inlineStr">
        <is>
          <t>3. BASE VARIABLES</t>
        </is>
      </c>
      <c r="B15" s="83" t="inlineStr">
        <is>
          <t>F2671</t>
        </is>
      </c>
      <c r="C15" s="83" t="inlineStr">
        <is>
          <t>SIN DESVIACIÓN DETECTADA / NO EVALUABLE (V1)</t>
        </is>
      </c>
      <c r="D15" s="83" t="inlineStr">
        <is>
          <t>(sin cambio de texto)</t>
        </is>
      </c>
      <c r="E15" s="83" t="inlineStr">
        <is>
          <t>OPERA CONFORME AL CONTRATO / AÚN NO EVALUADO</t>
        </is>
      </c>
      <c r="F15" s="83" t="inlineStr">
        <is>
          <t>Redacción en lenguaje llano.</t>
        </is>
      </c>
      <c r="G15" s="83" t="inlineStr">
        <is>
          <t>Aplicado</t>
        </is>
      </c>
    </row>
    <row r="16">
      <c r="A16" s="84" t="inlineStr">
        <is>
          <t>3. BASE VARIABLES</t>
        </is>
      </c>
      <c r="B16" s="84" t="inlineStr">
        <is>
          <t>C2672</t>
        </is>
      </c>
      <c r="C16" s="84" t="inlineStr">
        <is>
          <t>DESVIACIÓN DEL FIN (V2)</t>
        </is>
      </c>
      <c r="D16" s="84" t="inlineStr">
        <is>
          <t>Comentario: «No veo una desviación»</t>
        </is>
      </c>
      <c r="E16" s="84" t="inlineStr">
        <is>
          <t>OPERACIÓN DISTINTA AL FIN DEL CONTRATO (V2)</t>
        </is>
      </c>
      <c r="F16" s="84" t="inlineStr">
        <is>
          <t>Lenguaje llano: la etiqueta «desviación del fin» no se entendía. Mismo factor FF9, mismos niveles; sigue siendo V2.</t>
        </is>
      </c>
      <c r="G16" s="84" t="inlineStr">
        <is>
          <t>Aplicado</t>
        </is>
      </c>
    </row>
    <row r="17">
      <c r="A17" s="83" t="inlineStr">
        <is>
          <t>3. BASE VARIABLES</t>
        </is>
      </c>
      <c r="B17" s="83" t="inlineStr">
        <is>
          <t>F2672</t>
        </is>
      </c>
      <c r="C17" s="83" t="inlineStr">
        <is>
          <t>OPERACIONES ATÍPICAS VS FIN DEL CONTRATO</t>
        </is>
      </c>
      <c r="D17" s="83" t="inlineStr">
        <is>
          <t>(sin cambio de texto)</t>
        </is>
      </c>
      <c r="E17" s="83" t="inlineStr">
        <is>
          <t>OPERACIONES POCO USUALES PARA EL FIN DEL CONTRATO</t>
        </is>
      </c>
      <c r="F17" s="83" t="inlineStr">
        <is>
          <t>Redacción en lenguaje llano.</t>
        </is>
      </c>
      <c r="G17" s="83" t="inlineStr">
        <is>
          <t>Aplicado</t>
        </is>
      </c>
    </row>
    <row r="18">
      <c r="A18" s="84" t="inlineStr">
        <is>
          <t>3. BASE VARIABLES</t>
        </is>
      </c>
      <c r="B18" s="84" t="inlineStr">
        <is>
          <t>C2673</t>
        </is>
      </c>
      <c r="C18" s="84" t="inlineStr">
        <is>
          <t>DESVIACIÓN DEL FIN (V2)</t>
        </is>
      </c>
      <c r="D18" s="84" t="inlineStr">
        <is>
          <t>Comentario: «No veo una desviación»</t>
        </is>
      </c>
      <c r="E18" s="84" t="inlineStr">
        <is>
          <t>OPERACIÓN DISTINTA AL FIN DEL CONTRATO (V2)</t>
        </is>
      </c>
      <c r="F18" s="84" t="inlineStr">
        <is>
          <t>Lenguaje llano: la etiqueta «desviación del fin» no se entendía. Mismo factor FF9, mismos niveles; sigue siendo V2.</t>
        </is>
      </c>
      <c r="G18" s="84" t="inlineStr">
        <is>
          <t>Aplicado</t>
        </is>
      </c>
    </row>
    <row r="19">
      <c r="A19" s="83" t="inlineStr">
        <is>
          <t>3. BASE VARIABLES</t>
        </is>
      </c>
      <c r="B19" s="83" t="inlineStr">
        <is>
          <t>F2673</t>
        </is>
      </c>
      <c r="C19" s="83" t="inlineStr">
        <is>
          <t>OPERACIONES FUERA DEL OBJETO</t>
        </is>
      </c>
      <c r="D19" s="83" t="inlineStr">
        <is>
          <t>(sin cambio de texto)</t>
        </is>
      </c>
      <c r="E19" s="83" t="inlineStr">
        <is>
          <t>OPERACIONES FUERA DEL OBJETO DEL CONTRATO</t>
        </is>
      </c>
      <c r="F19" s="83" t="inlineStr">
        <is>
          <t>Redacción en lenguaje llano.</t>
        </is>
      </c>
      <c r="G19" s="83" t="inlineStr">
        <is>
          <t>Aplicado</t>
        </is>
      </c>
    </row>
    <row r="20">
      <c r="A20" s="84" t="inlineStr">
        <is>
          <t>3. BASE VARIABLES</t>
        </is>
      </c>
      <c r="B20" s="84" t="inlineStr">
        <is>
          <t>F2679</t>
        </is>
      </c>
      <c r="C20" s="84" t="inlineStr">
        <is>
          <t>TERCERO / GARANTE / DEPOSITARIO</t>
        </is>
      </c>
      <c r="D20" s="84" t="inlineStr">
        <is>
          <t>TERCERO ADMINISTRADOR/ GARANTE / DEPOSITARIO</t>
        </is>
      </c>
      <c r="E20" s="84" t="inlineStr">
        <is>
          <t>TERCERO ADMINISTRADOR / GARANTE / DEPOSITARIO</t>
        </is>
      </c>
      <c r="F20" s="84" t="inlineStr">
        <is>
          <t>Se acepta. A decidir: quien administra bienes tiene más control que un garante; ¿subir a nivel 2 como el apoderado?</t>
        </is>
      </c>
      <c r="G20" s="85" t="inlineStr">
        <is>
          <t>Aplicado · decidir nivel en sesión</t>
        </is>
      </c>
    </row>
    <row r="21">
      <c r="A21" s="83" t="inlineStr">
        <is>
          <t>3. BASE VARIABLES</t>
        </is>
      </c>
      <c r="B21" s="83" t="inlineStr">
        <is>
          <t>F2697</t>
        </is>
      </c>
      <c r="C21" s="83" t="inlineStr">
        <is>
          <t>EFECTIVO INTENSIVO</t>
        </is>
      </c>
      <c r="D21" s="83" t="inlineStr">
        <is>
          <t>EFECTIVO INTENSIVO???</t>
        </is>
      </c>
      <c r="E21" s="83" t="inlineStr">
        <is>
          <t>ACTIVIDAD CON ALTO MANEJO DE EFECTIVO (CASAS DE EMPEÑO, GASOLINERAS, RESTAURANTES, COMERCIO AL MENUDEO)</t>
        </is>
      </c>
      <c r="F21" s="83" t="inlineStr">
        <is>
          <t>Término técnico sustituido por descripción con ejemplos.</t>
        </is>
      </c>
      <c r="G21" s="83" t="inlineStr">
        <is>
          <t>Aplicado</t>
        </is>
      </c>
    </row>
    <row r="22">
      <c r="A22" s="84" t="inlineStr">
        <is>
          <t>5. MODELO EJEMPLO FID</t>
        </is>
      </c>
      <c r="B22" s="84" t="inlineStr">
        <is>
          <t>D8</t>
        </is>
      </c>
      <c r="C22" s="84" t="inlineStr">
        <is>
          <t>ACCIONES / PARTES SOCIALES</t>
        </is>
      </c>
      <c r="D22" s="84" t="inlineStr">
        <is>
          <t>—</t>
        </is>
      </c>
      <c r="E22" s="84" t="inlineStr">
        <is>
          <t>ACCIONES, PARTES SOCIALES Y OTROS TÍTULOS NO COTIZADOS</t>
        </is>
      </c>
      <c r="F22" s="84" t="inlineStr">
        <is>
          <t>Se actualiza el ejemplo para que siga encontrando su nivel.</t>
        </is>
      </c>
      <c r="G22" s="84" t="inlineStr">
        <is>
          <t>Aplicado</t>
        </is>
      </c>
    </row>
    <row r="23">
      <c r="A23" s="83" t="inlineStr">
        <is>
          <t>5. MODELO EJEMPLO FID</t>
        </is>
      </c>
      <c r="B23" s="83" t="inlineStr">
        <is>
          <t>B15</t>
        </is>
      </c>
      <c r="C23" s="83" t="inlineStr">
        <is>
          <t>Desviación del fin (V2)</t>
        </is>
      </c>
      <c r="D23" s="83" t="inlineStr">
        <is>
          <t>—</t>
        </is>
      </c>
      <c r="E23" s="83" t="inlineStr">
        <is>
          <t>Operación distinta al fin del contrato (V2)</t>
        </is>
      </c>
      <c r="F23" s="83" t="inlineStr">
        <is>
          <t>Homologado con BASE VARIABLES.</t>
        </is>
      </c>
      <c r="G23" s="83" t="inlineStr">
        <is>
          <t>Aplicado</t>
        </is>
      </c>
    </row>
    <row r="24">
      <c r="A24" s="84" t="inlineStr">
        <is>
          <t>5. MODELO EJEMPLO FID</t>
        </is>
      </c>
      <c r="B24" s="84" t="inlineStr">
        <is>
          <t>D15</t>
        </is>
      </c>
      <c r="C24" s="84" t="inlineStr">
        <is>
          <t>SIN DESVIACIÓN DETECTADA / NO EVALUABLE (V1)</t>
        </is>
      </c>
      <c r="D24" s="84" t="inlineStr">
        <is>
          <t>—</t>
        </is>
      </c>
      <c r="E24" s="84" t="inlineStr">
        <is>
          <t>OPERA CONFORME AL CONTRATO / AÚN NO EVALUADO</t>
        </is>
      </c>
      <c r="F24" s="84" t="inlineStr">
        <is>
          <t>Homologado con BASE VARIABLES.</t>
        </is>
      </c>
      <c r="G24" s="84" t="inlineStr">
        <is>
          <t>Aplicado</t>
        </is>
      </c>
    </row>
    <row r="26">
      <c r="A26" s="86" t="inlineStr">
        <is>
          <t>PENDIENTE DE DECIDIR EN SESIÓN</t>
        </is>
      </c>
    </row>
    <row r="27">
      <c r="A27" s="87" t="inlineStr">
        <is>
          <t>1. Nivel de «Recibido por sustitución fiduciaria» (se conservó 4).</t>
        </is>
      </c>
    </row>
    <row r="28">
      <c r="A28" s="87" t="inlineStr">
        <is>
          <t>2. Bienes muebles: ¿en la misma opción que inmuebles (nivel 3) o separados en nivel 4?</t>
        </is>
      </c>
    </row>
    <row r="29">
      <c r="A29" s="87" t="inlineStr">
        <is>
          <t>3. Tercero administrador: ¿se queda en nivel 1 o sube a 2 como el apoderado?</t>
        </is>
      </c>
    </row>
    <row r="30">
      <c r="A30" s="87" t="inlineStr">
        <is>
          <t>4. Con estos cambios, ¿la matriz queda validada por BX+ (niveles y pesos sin observación)?</t>
        </is>
      </c>
    </row>
    <row r="31">
      <c r="A31" s="87" t="inlineStr">
        <is>
          <t>Nota: la hoja 5. MODELO EJEMPLO FID conserva los pesos anteriores al repeso del Bloque A (sin FF10); es ilustrativa y se homologa en la versión de cierre.</t>
        </is>
      </c>
    </row>
    <row r="33">
      <c r="A33" s="92" t="inlineStr">
        <is>
          <t>AGREGADO 24-sep (tarde): opción NO DETERMINADO (claves 9301–9310) en los 10 factores del vehículo, nivel 2.58 = límite superior de MEDIO (258) — igual que en el Calificador v1.9. Sin información no se presume riesgo bajo; el universo sin datos queda en MEDIO documentado.</t>
        </is>
      </c>
    </row>
  </sheetData>
  <mergeCells count="7">
    <mergeCell ref="A27:G27"/>
    <mergeCell ref="A31:G31"/>
    <mergeCell ref="A30:G30"/>
    <mergeCell ref="A2:G2"/>
    <mergeCell ref="A29:G29"/>
    <mergeCell ref="A33:G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2026-08-27T19:52:21Z</dcterms:created>
  <dcterms:modified xmlns:dcterms="http://purl.org/dc/terms/" xmlns:xsi="http://www.w3.org/2001/XMLSchema-instance" xsi:type="dcterms:W3CDTF">2026-10-22T13:11:53Z</dcterms:modified>
  <cp:lastModifiedBy>Hector Manuel Camacho Sanchez</cp:lastModifiedBy>
  <cp:revision>0</cp:revision>
</cp:coreProperties>
</file>